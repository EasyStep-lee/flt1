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a29157678fc4955" /></Relationships>
</file>

<file path=xl/workbook.xml><?xml version="1.0" encoding="utf-8"?>
<x:workbook xmlns:x="http://schemas.openxmlformats.org/spreadsheetml/2006/main">
  <x:sheets>
    <x:sheet xmlns:r="http://schemas.openxmlformats.org/officeDocument/2006/relationships" name="总控看板" sheetId="1" r:id="R6d500a44fdc44cbc"/>
    <x:sheet xmlns:r="http://schemas.openxmlformats.org/officeDocument/2006/relationships" name="阶段门禁" sheetId="2" r:id="R1ac4bdde37374cee"/>
    <x:sheet xmlns:r="http://schemas.openxmlformats.org/officeDocument/2006/relationships" name="任务台账" sheetId="3" r:id="Racaf2f83bf864275"/>
    <x:sheet xmlns:r="http://schemas.openxmlformats.org/officeDocument/2006/relationships" name="P0验收矩阵" sheetId="4" r:id="R0bee08868d184d9d"/>
    <x:sheet xmlns:r="http://schemas.openxmlformats.org/officeDocument/2006/relationships" name="字段字典" sheetId="5" r:id="R6acc1ca9e653479b"/>
    <x:sheet xmlns:r="http://schemas.openxmlformats.org/officeDocument/2006/relationships" name="状态机" sheetId="6" r:id="R24b3c5b0911b4b53"/>
    <x:sheet xmlns:r="http://schemas.openxmlformats.org/officeDocument/2006/relationships" name="权限矩阵" sheetId="7" r:id="R280480f745af475c"/>
    <x:sheet xmlns:r="http://schemas.openxmlformats.org/officeDocument/2006/relationships" name="页面映射" sheetId="8" r:id="Reb9361f6e0914d91"/>
    <x:sheet xmlns:r="http://schemas.openxmlformats.org/officeDocument/2006/relationships" name="外部依赖" sheetId="9" r:id="R052440c387ce4885"/>
    <x:sheet xmlns:r="http://schemas.openxmlformats.org/officeDocument/2006/relationships" name="测试证据" sheetId="10" r:id="Rca0e8cd6d08f4e09"/>
    <x:sheet xmlns:r="http://schemas.openxmlformats.org/officeDocument/2006/relationships" name="迁移台账" sheetId="11" r:id="Ra86049a62acf490f"/>
    <x:sheet xmlns:r="http://schemas.openxmlformats.org/officeDocument/2006/relationships" name="API台账" sheetId="12" r:id="R835a22a4ef83419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be6e3a54a694d32" /><Relationship Type="http://schemas.openxmlformats.org/officeDocument/2006/relationships/theme" Target="/xl/theme/theme1.xml" Id="R6427db7cdfff4742" /><Relationship Type="http://schemas.openxmlformats.org/officeDocument/2006/relationships/sharedStrings" Target="/xl/sharedStrings.xml" Id="R022f18e2d65a4de4" /><Relationship Type="http://schemas.openxmlformats.org/officeDocument/2006/relationships/worksheet" Target="/xl/worksheets/sheet1.xml" Id="R6d500a44fdc44cbc" /><Relationship Type="http://schemas.openxmlformats.org/officeDocument/2006/relationships/worksheet" Target="/xl/worksheets/sheet2.xml" Id="R1ac4bdde37374cee" /><Relationship Type="http://schemas.openxmlformats.org/officeDocument/2006/relationships/worksheet" Target="/xl/worksheets/sheet3.xml" Id="Racaf2f83bf864275" /><Relationship Type="http://schemas.openxmlformats.org/officeDocument/2006/relationships/worksheet" Target="/xl/worksheets/sheet4.xml" Id="R0bee08868d184d9d" /><Relationship Type="http://schemas.openxmlformats.org/officeDocument/2006/relationships/worksheet" Target="/xl/worksheets/sheet5.xml" Id="R6acc1ca9e653479b" /><Relationship Type="http://schemas.openxmlformats.org/officeDocument/2006/relationships/worksheet" Target="/xl/worksheets/sheet6.xml" Id="R24b3c5b0911b4b53" /><Relationship Type="http://schemas.openxmlformats.org/officeDocument/2006/relationships/worksheet" Target="/xl/worksheets/sheet7.xml" Id="R280480f745af475c" /><Relationship Type="http://schemas.openxmlformats.org/officeDocument/2006/relationships/worksheet" Target="/xl/worksheets/sheet8.xml" Id="Reb9361f6e0914d91" /><Relationship Type="http://schemas.openxmlformats.org/officeDocument/2006/relationships/worksheet" Target="/xl/worksheets/sheet9.xml" Id="R052440c387ce4885" /><Relationship Type="http://schemas.openxmlformats.org/officeDocument/2006/relationships/worksheet" Target="/xl/worksheets/sheet10.xml" Id="Rca0e8cd6d08f4e09" /><Relationship Type="http://schemas.openxmlformats.org/officeDocument/2006/relationships/worksheet" Target="/xl/worksheets/sheet11.xml" Id="Ra86049a62acf490f" /><Relationship Type="http://schemas.openxmlformats.org/officeDocument/2006/relationships/worksheet" Target="/xl/worksheets/sheet12.xml" Id="R835a22a4ef834199" /><Relationship Type="http://schemas.microsoft.com/office/2017/10/relationships/person" Target="/xl/persons/person.xml" Id="R5a5e86196bbb4d24"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331cc0ba3bb48ce" /></Relationships>
</file>

<file path=xl/worksheets/_rels/sheet3.xml.rels>&#65279;<?xml version="1.0" encoding="utf-8"?><Relationships xmlns="http://schemas.openxmlformats.org/package/2006/relationships"><Relationship Type="http://schemas.openxmlformats.org/officeDocument/2006/relationships/table" Target="/xl/tables/table2.xml" Id="R1049544c8c60412e" /></Relationships>
</file>

<file path=xl/worksheets/_rels/sheet4.xml.rels>&#65279;<?xml version="1.0" encoding="utf-8"?><Relationships xmlns="http://schemas.openxmlformats.org/package/2006/relationships"><Relationship Type="http://schemas.openxmlformats.org/officeDocument/2006/relationships/table" Target="/xl/tables/table3.xml" Id="R22e330f09f0d4d17" /></Relationships>
</file>

<file path=xl/worksheets/_rels/sheet5.xml.rels>&#65279;<?xml version="1.0" encoding="utf-8"?><Relationships xmlns="http://schemas.openxmlformats.org/package/2006/relationships"><Relationship Type="http://schemas.openxmlformats.org/officeDocument/2006/relationships/table" Target="/xl/tables/table4.xml" Id="R0f5efd59a5e1414a" /></Relationships>
</file>

<file path=xl/worksheets/_rels/sheet6.xml.rels>&#65279;<?xml version="1.0" encoding="utf-8"?><Relationships xmlns="http://schemas.openxmlformats.org/package/2006/relationships"><Relationship Type="http://schemas.openxmlformats.org/officeDocument/2006/relationships/table" Target="/xl/tables/table5.xml" Id="Rf80634c80df64c69" /></Relationships>
</file>

<file path=xl/worksheets/_rels/sheet7.xml.rels>&#65279;<?xml version="1.0" encoding="utf-8"?><Relationships xmlns="http://schemas.openxmlformats.org/package/2006/relationships"><Relationship Type="http://schemas.openxmlformats.org/officeDocument/2006/relationships/table" Target="/xl/tables/table6.xml" Id="R6c7aea41503646ec" /></Relationships>
</file>

<file path=xl/worksheets/_rels/sheet8.xml.rels>&#65279;<?xml version="1.0" encoding="utf-8"?><Relationships xmlns="http://schemas.openxmlformats.org/package/2006/relationships"><Relationship Type="http://schemas.openxmlformats.org/officeDocument/2006/relationships/table" Target="/xl/tables/table7.xml" Id="Rda427e55dbeb4536" /></Relationships>
</file>

<file path=xl/worksheets/_rels/sheet9.xml.rels>&#65279;<?xml version="1.0" encoding="utf-8"?><Relationships xmlns="http://schemas.openxmlformats.org/package/2006/relationships"><Relationship Type="http://schemas.openxmlformats.org/officeDocument/2006/relationships/table" Target="/xl/tables/table8.xml" Id="R8e4be285bbae4a3c" /></Relationships>
</file>

<file path=xl/worksheets/_rels/sheet10.xml.rels>&#65279;<?xml version="1.0" encoding="utf-8"?><Relationships xmlns="http://schemas.openxmlformats.org/package/2006/relationships"><Relationship Type="http://schemas.openxmlformats.org/officeDocument/2006/relationships/table" Target="/xl/tables/table9.xml" Id="Re835e9e6d0ae4694" /></Relationships>
</file>

<file path=xl/worksheets/_rels/sheet11.xml.rels>&#65279;<?xml version="1.0" encoding="utf-8"?><Relationships xmlns="http://schemas.openxmlformats.org/package/2006/relationships"><Relationship Type="http://schemas.openxmlformats.org/officeDocument/2006/relationships/table" Target="/xl/tables/table10.xml" Id="Rdfc6030c17d442cb" /></Relationships>
</file>

<file path=xl/worksheets/_rels/sheet12.xml.rels>&#65279;<?xml version="1.0" encoding="utf-8"?><Relationships xmlns="http://schemas.openxmlformats.org/package/2006/relationships"><Relationship Type="http://schemas.openxmlformats.org/officeDocument/2006/relationships/table" Target="/xl/tables/table11.xml" Id="R77de10e0c6b94346"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main@9a85a641 CI_PASS · M2-P012 merged-main CI_PASS · M2-P013 LOCAL_PASS · Issue #51 · Draft PR待创建 · P0-014及以后锁定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38</x:v>
      </x:c>
      <x:c r="E6" s="83"/>
      <x:c r="F6" s="187"/>
      <x:c r="G6" s="109" t="n">
        <x:f>COUNTIF('P0验收矩阵'!$I$2:$I$120,"LOCAL_PASS")+COUNTIF('P0验收矩阵'!$I$2:$I$120,"CI_PASS")+COUNTIF('P0验收矩阵'!$I$2:$I$120,"STAGING_PASS")+COUNTIF('P0验收矩阵'!$I$2:$I$120,"DEVICE_PASS")+COUNTIF('P0验收矩阵'!$I$2:$I$120,"PRODUCTION_PASS")</x:f>
        <x:v>22</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9</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8</x:v>
      </x:c>
      <x:c r="G13" s="152" t="str">
        <x:f>INDEX('阶段门禁'!$N$2:$N$8,MATCH(A13,'阶段门禁'!$A$2:$A$8,0))</x:f>
        <x:v>IN_PROGRESS</x:v>
      </x:c>
      <x:c r="H13" s="152" t="str">
        <x:f>INDEX('阶段门禁'!$O$2:$O$8,MATCH(A13,'阶段门禁'!$A$2:$A$8,0))</x:f>
        <x:v>LOCAL_PASS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21</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PASS；M2-P006至M2-P012已合并且main CI PASS；M2-P013本地RED→GREEN完成并等待Draft PR精确head CI，P0-014及以后保持锁定。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x:c r="Q4" s="17"/>
      <x:c r="R4" s="17" t="str">
        <x:v>M2-P006至M2-P012已在main取得CI_PASS；M2-P013完成RED→GREEN、focused/API/P0和MySQL迁移演练并取得LOCAL_PASS，Draft PR最终head CI、人工合并和合并后main CI待执行；M2-P014及以后保持锁定。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331cc0ba3bb48c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46244.693564814814</x:v>
      </x:c>
      <x:c r="Y38" s="17" t="str">
        <x:v>PR #50精确head 4faae843 CI通过并按人工授权合并为main@9a85a641；合并后main CI run 31398383884通过。staging与production未执行。</x:v>
      </x:c>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LOCAL_PASS</x:v>
      </x:c>
      <x:c r="O39" s="17" t="str">
        <x:v>CODEX</x:v>
      </x:c>
      <x:c r="P39" s="17" t="str">
        <x:v>https://github.com/EasyStep-lee/flt1/issues/51</x:v>
      </x:c>
      <x:c r="Q39" s="17" t="str">
        <x:v>codex/m2-m2-p013</x:v>
      </x:c>
      <x:c r="R39" s="17" t="str">
        <x:v>codex/m2-food-detail</x:v>
      </x:c>
      <x:c r="S39" s="17" t="str">
        <x:v>989481ace2454583a3f0299dcd8606562c1c5769</x:v>
      </x:c>
      <x:c r="T39" s="17"/>
      <x:c r="U39" s="17"/>
      <x:c r="V39" s="17" t="str">
        <x:v>NO</x:v>
      </x:c>
      <x:c r="W39" s="17" t="str">
        <x:v>按原子提交回退；迁移仅向前修复</x:v>
      </x:c>
      <x:c r="X39" s="17" t="n">
        <x:v>46244.693564814814</x:v>
      </x:c>
      <x:c r="Y39" s="17" t="str">
        <x:v>行为RED已确认；FOOD模板、供应商必填校验、公开DTO白名单、公司模板预置和用户小程序详情已通过focused/API/P0/迁移验证。Draft PR最终head CI、人工合并、合并后main CI、staging与production未执行；P014保持锁定。</x:v>
      </x:c>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NOT_STARTED</x:v>
      </x:c>
      <x:c r="N40" s="17" t="str">
        <x:v>NOT_EXECUTED</x:v>
      </x:c>
      <x:c r="O40" s="17" t="str">
        <x:v>UNASSIGNED</x:v>
      </x:c>
      <x:c r="P40" s="17"/>
      <x:c r="Q40" s="17" t="str">
        <x:v>codex/m2-m2-p014</x:v>
      </x:c>
      <x:c r="R40" s="17"/>
      <x:c r="S40" s="17"/>
      <x:c r="T40" s="17"/>
      <x:c r="U40" s="17"/>
      <x:c r="V40" s="17" t="str">
        <x:v>NO</x:v>
      </x:c>
      <x:c r="W40" s="17" t="str">
        <x:v>按原子提交回退；迁移仅向前修复</x:v>
      </x:c>
      <x:c r="X40" s="17"/>
      <x:c r="Y40" s="17"/>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x:c r="Q41" s="17" t="str">
        <x:v>codex/m2-m2-p015</x:v>
      </x:c>
      <x:c r="R41" s="17"/>
      <x:c r="S41" s="17"/>
      <x:c r="T41" s="17"/>
      <x:c r="U41" s="17"/>
      <x:c r="V41" s="17" t="str">
        <x:v>NO</x:v>
      </x:c>
      <x:c r="W41" s="17" t="str">
        <x:v>按原子提交回退；迁移仅向前修复</x:v>
      </x:c>
      <x:c r="X41" s="17"/>
      <x:c r="Y41" s="17"/>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049544c8c60412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46244.693564814814</x:v>
      </x:c>
      <x:c r="Q13" s="17" t="str">
        <x:v>PR #50精确head CI与合并后main CI run 31398383884通过；模板版本化、旧版不可变和当前发布绑定均为CI_PASS。staging与production未执行。</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LOCAL_PASS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989481ace2454583a3f0299dcd8606562c1c5769</x:v>
      </x:c>
      <x:c r="O14" s="17" t="str">
        <x:v>CODEX</x:v>
      </x:c>
      <x:c r="P14" s="17" t="n">
        <x:v>46244.693564814814</x:v>
      </x:c>
      <x:c r="Q14" s="17" t="str">
        <x:v>食品六项字段、三项SKU规格和服务端固定提示已通过本地行为/API/小程序/P0及真实MySQL迁移演练；供应价、资质私有引用和内部快照未进入公开DTO。CI、staging、device、production未执行。</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NOT_EXECUTED</x:v>
      </x:c>
      <x:c r="J15" s="17" t="str">
        <x:v>NEG-M2-014-01|NEG-M2-014-02|NEG-M2-014-03</x:v>
      </x:c>
      <x:c r="K15" s="17" t="str">
        <x:v>N/A</x:v>
      </x:c>
      <x:c r="L15" s="17" t="str">
        <x:v>FRESH_REQUIRED_FIELD_MISSING；FRESH_WEIGHT_RULE_INVALID；FRESH_HISTORY_REWRITE</x:v>
      </x:c>
      <x:c r="M15" s="17" t="str">
        <x:v>artifacts/verification/M2-000/m2-contract-freeze.json#negativeTests</x:v>
      </x:c>
      <x:c r="N15" s="17"/>
      <x:c r="O15" s="17"/>
      <x:c r="P15" s="17"/>
      <x:c r="Q15" s="17" t="str">
        <x:v>M2-000仅冻结测试ID、失败行为和证据要求；业务切片须逐项先RED再实现；当前仍为NOT_EXECUTED</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NEG-M2-015-01|NEG-M2-015-02|NEG-M2-015-03</x:v>
      </x:c>
      <x:c r="K16" s="17" t="str">
        <x:v>N/A</x:v>
      </x:c>
      <x:c r="L16" s="17" t="str">
        <x:v>APPAREL_REQUIRED_FIELD_MISSING；APPAREL_SKU_DUPLICATE；APPAREL_HISTORY_REWRITE</x:v>
      </x:c>
      <x:c r="M16" s="17" t="str">
        <x:v>artifacts/verification/M2-000/m2-contract-freeze.json#negativeTests</x:v>
      </x:c>
      <x:c r="N16" s="17"/>
      <x:c r="O16" s="17"/>
      <x:c r="P16" s="17"/>
      <x:c r="Q16" s="17" t="str">
        <x:v>M2-000仅冻结测试ID、失败行为和证据要求；业务切片须逐项先RED再实现；当前仍为NOT_EXECUTED</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2e330f09f0d4d1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requires six product fields and three SKU dimensions</x:v>
      </x:c>
      <x:c r="L242" s="17" t="str">
        <x:v>按实体version或审计日志保留变更证据</x:v>
      </x:c>
      <x:c r="M242" s="4" t="str">
        <x:v>M2</x:v>
      </x:c>
      <x:c r="N242" s="4" t="str">
        <x:v>P0-012,P0-013,P0-014,P0-015,P0-016,P0-017,P0-018</x:v>
      </x:c>
      <x:c r="O242" s="4" t="str">
        <x:v>综合方案§13核心数据模型</x:v>
      </x:c>
      <x:c r="P242" s="4" t="str">
        <x:v>IMPLEMENTED_P0_013</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the GENERIC|FOOD profile discriminator cannot be overwritten</x:v>
      </x:c>
      <x:c r="L247" s="17" t="str">
        <x:v>按实体version或审计日志保留变更证据</x:v>
      </x:c>
      <x:c r="M247" s="4" t="str">
        <x:v>M2</x:v>
      </x:c>
      <x:c r="N247" s="4" t="str">
        <x:v>P0-012,P0-013,P0-014,P0-015,P0-016,P0-017,P0-018</x:v>
      </x:c>
      <x:c r="O247" s="4" t="str">
        <x:v>综合方案§13核心数据模型</x:v>
      </x:c>
      <x:c r="P247" s="4" t="str">
        <x:v>IMPLEMENTED_P0_013</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f5efd59a5e1414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80634c80df64c69"/>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c7aea41503646ec"/>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P0-007_CI_PASS;P0-011_CI_PASS;P0-012_CI_PASS;P0-013_LOCAL_PASS;P0-067_CI_PASS;P0-068_CI_PASS</x:v>
      </x:c>
      <x:c r="P6" s="17" t="str">
        <x:v>tests/e2e/p0/p0-007-company-product-approvals.spec.ts|tests/e2e/p0/p0-011-category-tree.spec.ts|tests/e2e/p0/p0-012-category-template.spec.ts|tests/e2e/p0/p0-013-food-detail.spec.ts|tests/e2e/p0/p0-067-company-workspaces.spec.ts|tests/e2e/p0/p0-068-company-workspace-completeness.spec.ts</x:v>
      </x:c>
      <x:c r="Q6" s="17" t="str">
        <x:v>商品资料审核、分类树和版本化模板位于同一固定商品运营职能页面但保持独立区块；P013新增正式食品模板预置，供应价始终NEVER_RETURN；P013仅LOCAL_PASS，CI与外部正式模板数据未执行。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PARTIAL_IMPLEMENTED_M2_P013</x:v>
      </x:c>
      <x:c r="O54" s="17" t="str">
        <x:v>P0-013_LOCAL_PASS;P0-021_NOT_EXECUTED;P0-088_NOT_EXECUTED</x:v>
      </x:c>
      <x:c r="P54" s="17" t="str">
        <x:v>apps/user-miniapp/test/product-detail-build.test.mjs|tests/e2e/p0/p0-013-food-detail.spec.ts</x:v>
      </x:c>
      <x:c r="Q54" s="17" t="str">
        <x:v>P013食品详情区块、三项SKU规格、固定提示、加载/错误/重试和miniapp-kit请求契约已实现；完整商品详情P0-021/P0-088、真机与交易能力仍未执行。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a427e55dbeb4536"/>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e4be285bbae4a3c"/>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CI_PASS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46244.693564814814</x:v>
      </x:c>
      <x:c r="N13" s="17" t="str">
        <x:v>4faae84321583c28abc7532f1093c7c2bbc95de1</x:v>
      </x:c>
      <x:c r="O13" s="17" t="str">
        <x:v>https://github.com/EasyStep-lee/flt1/actions/runs/31398383884</x:v>
      </x:c>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GITHUB_ACTIONS+CODEX</x:v>
      </x:c>
      <x:c r="R13" s="17" t="str">
        <x:v>MERGED_MAIN_CI_PASS</x:v>
      </x:c>
      <x:c r="S13" s="17" t="str">
        <x:v>staging与production未执行；EXT-007正式业务模板数据未提供</x:v>
      </x:c>
      <x:c r="T13" s="17" t="str">
        <x:v>YES</x:v>
      </x:c>
      <x:c r="U13" s="17" t="str">
        <x:v>P0-012达到CI_PASS；P0-013已解锁并取得行为RED，P0-014及以后仍锁定。</x:v>
      </x:c>
    </x:row>
    <x:row r="14" ht="23" customHeight="1">
      <x:c r="A14" s="17" t="str">
        <x:v>EVD-013</x:v>
      </x:c>
      <x:c r="B14" s="17" t="str">
        <x:v>P0-013</x:v>
      </x:c>
      <x:c r="C14" s="17" t="str">
        <x:v>M2</x:v>
      </x:c>
      <x:c r="D14" s="17" t="str">
        <x:v>M2-P013</x:v>
      </x:c>
      <x:c r="E14" s="17" t="str">
        <x:v>AUTOMATED_AND_MANUAL_AS_REQUIRED</x:v>
      </x:c>
      <x:c r="F14" s="17" t="str">
        <x:v>CI_PASS</x:v>
      </x:c>
      <x:c r="G14" s="17" t="str">
        <x:v>LOCAL_PASS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142/142、用户小程序7/7、P0 E2E 1/1、契约与迁移8/8；迁移演练empty=2/upgrade=2/restore=2/product=16/cleanup=PASS；最终pnpm verify待证据提交后执行。</x:v>
      </x:c>
      <x:c r="K14" s="17" t="str">
        <x:v>LOCAL_WINDOWS_DOCKER_MYSQL_CHROMIUM</x:v>
      </x:c>
      <x:c r="L14" s="17" t="str">
        <x:v>Node 22.23.1 / MySQL 8 / Chromium</x:v>
      </x:c>
      <x:c r="M14" s="17" t="n">
        <x:v>46244.693564814814</x:v>
      </x:c>
      <x:c r="N14" s="17" t="str">
        <x:v>989481ace2454583a3f0299dcd8606562c1c5769</x:v>
      </x:c>
      <x:c r="O14" s="17"/>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x:v>
      </x:c>
      <x:c r="Q14" s="17" t="str">
        <x:v>CODEX</x:v>
      </x:c>
      <x:c r="R14" s="17" t="str">
        <x:v>FOCUSED_AND_RELATED_GATE_CURRENT_IMPLEMENTATION_HEAD</x:v>
      </x:c>
      <x:c r="S14" s="17" t="str">
        <x:v>Draft PR最终head CI、人工合并、合并后main CI、staging、device与production未执行；EXT-007正式食品模板数据未提供</x:v>
      </x:c>
      <x:c r="T14" s="17" t="str">
        <x:v>YES</x:v>
      </x:c>
      <x:c r="U14" s="17" t="str">
        <x:v>仅P0-013本地实现；P0-021/P0-088完整商品详情未完成，M2-P014不得开始。</x:v>
      </x:c>
    </x:row>
    <x:row r="15" ht="23" customHeight="1">
      <x:c r="A15" s="17" t="str">
        <x:v>EVD-014</x:v>
      </x:c>
      <x:c r="B15" s="17" t="str">
        <x:v>P0-014</x:v>
      </x:c>
      <x:c r="C15" s="17" t="str">
        <x:v>M2</x:v>
      </x:c>
      <x:c r="D15" s="17" t="str">
        <x:v>M2-P014</x:v>
      </x:c>
      <x:c r="E15" s="17" t="str">
        <x:v>AUTOMATED_AND_MANUAL_AS_REQUIRED</x:v>
      </x:c>
      <x:c r="F15" s="17" t="str">
        <x:v>CI_PASS</x:v>
      </x:c>
      <x:c r="G15" s="17" t="str">
        <x:v>NOT_EXECUTED</x:v>
      </x:c>
      <x:c r="H15" s="17" t="str">
        <x:v>在对应切片先登记失败测试ID，再记录focused tests与pnpm verify；真机/预发布按要求执行</x:v>
      </x:c>
      <x:c r="I15" s="17" t="str">
        <x:v>产地、等级、保鲜、温区、称重和售后规则按模板展示。</x:v>
      </x:c>
      <x:c r="J15" s="17"/>
      <x:c r="K15" s="17"/>
      <x:c r="L15" s="17"/>
      <x:c r="M15" s="17"/>
      <x:c r="N15" s="17"/>
      <x:c r="O15" s="17"/>
      <x:c r="P15" s="17"/>
      <x:c r="Q15" s="17"/>
      <x:c r="R15" s="17" t="str">
        <x:v>NO_EVIDENCE_YET</x:v>
      </x:c>
      <x:c r="S15" s="17"/>
      <x:c r="T15" s="17" t="str">
        <x:v>YES</x:v>
      </x:c>
      <x:c r="U15" s="17" t="str">
        <x:v>不得以旧输出、字符串搜索、页面资产或模型自述替代</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x:c r="K16" s="17"/>
      <x:c r="L16" s="17"/>
      <x:c r="M16" s="17"/>
      <x:c r="N16" s="17"/>
      <x:c r="O16" s="17"/>
      <x:c r="P16" s="17"/>
      <x:c r="Q16" s="17"/>
      <x:c r="R16" s="17" t="str">
        <x:v>NO_EVIDENCE_YET</x:v>
      </x:c>
      <x:c r="S16" s="17"/>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835e9e6d0ae4694"/>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x:v>
      </x:c>
      <x:c r="D6" s="17" t="str">
        <x:v>MIG-007</x:v>
      </x:c>
      <x:c r="E6" s="17" t="str">
        <x:v>Category/CategoryHistory/CategoryCommand/CategoryTemplate/CategoryTemplateHistory/CategoryTemplateCommand/CategoryTemplate.profile</x:v>
      </x:c>
      <x:c r="F6" s="17" t="str">
        <x:v>三级分类树、模板版本与食品类型</x:v>
      </x:c>
      <x:c r="G6" s="17" t="str">
        <x:v>先建立公司范围三级分类与引用保护；再增加模板版本、唯一槽位和商品复合外键；P013以前向迁移增加GENERIC|FOOD不可变profile并重建已发布模板更新保护触发器</x:v>
      </x:c>
      <x:c r="H6" s="17" t="str">
        <x:v>已发布迁移不回改；失败前恢复备份或创建向前修复迁移；应用版本可回退时保持schema兼容窗口</x:v>
      </x:c>
      <x:c r="I6" s="17" t="str">
        <x:v>既有模板自动回填GENERIC；无正式FOOD数据回填；正式数据由授权运营/合规录入</x:v>
      </x:c>
      <x:c r="J6" s="17" t="str">
        <x:v>同公司启用末级绑定；模板状态机/唯一槽位/不可变历史/当前发布绑定；profile CHECK与已发布不可变；prisma validate；空库/升级/恢复dry-run；真实MySQL关键不变量探针</x:v>
      </x:c>
      <x:c r="K6" s="17" t="str">
        <x:v>BEFORE_STAGING_OR_PRODUCTION</x:v>
      </x:c>
      <x:c r="L6" s="17" t="str">
        <x:v>LOCAL_PASS</x:v>
      </x:c>
      <x:c r="M6" s="17" t="n">
        <x:v>46244.693564814814</x:v>
      </x:c>
      <x:c r="N6" s="17"/>
      <x:c r="O6" s="17"/>
      <x:c r="P6" s="17" t="str">
        <x:v>989481ace2454583a3f0299dcd8606562c1c5769</x:v>
      </x:c>
      <x:c r="Q6" s="17" t="str">
        <x:v>packages/db/prisma/migrations/20260810062000_m2_category_tree/migration.sql|packages/db/prisma/migrations/20260810094000_m2_category_templates/migration.sql|packages/db/prisma/migrations/20260810110000_m2_food_template_profile/migration.sql|tests/migrations/m2-p012-category-template-migration.contract.test.mjs|tests/migrations/m2-p013-food-template-migration.contract.test.mjs|artifacts/verification/M2-P013/food-detail.json</x:v>
      </x:c>
      <x:c r="R6" s="17" t="str">
        <x:v>三个已发布前向迁移组成分类/模板逻辑迁移组；本地演练empty=2/upgrade=2/restore=2/product=16/cleanup=PASS并实际拒绝非法profile和已发布profile改写；staging/production未应用。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x:c r="O7" s="17"/>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x:c r="O8" s="17"/>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fc6030c17d442cb"/>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x:v>
      </x:c>
      <x:c r="D19" s="17" t="str">
        <x:v>GET|POST|PATCH|POST</x:v>
      </x:c>
      <x:c r="E19" s="17" t="str">
        <x:v>/v1/company/categories/{categoryId}/template-versions|/v1/company/category-template-versions/{templateId}|/v1/company/category-template-versions/{templateId}/publish</x:v>
      </x:c>
      <x:c r="F19" s="17" t="str">
        <x:v>COMPANY_PRODUCT_OPS</x:v>
      </x:c>
      <x:c r="G19" s="17" t="str">
        <x:v>CategoryTemplateCreateRequestDto|CategoryTemplatePatchRequestDto|CategoryTemplatePublishRequestDto</x:v>
      </x:c>
      <x:c r="H19" s="17" t="str">
        <x:v>CategoryTemplateListResponseDto|CategoryTemplateResponseDto</x:v>
      </x:c>
      <x:c r="I19" s="17" t="str">
        <x:v>{success,data,error:{code,message,details?},requestId}</x:v>
      </x:c>
      <x:c r="J19" s="17" t="str">
        <x:v>TEMPLATE_SCHEMA_INVALID|TEMPLATE_NOT_FOUND|TEMPLATE_DRAFT_EXISTS|TEMPLATE_IMMUTABLE|TEMPLATE_VERSION_INACTIVE|VERSION_CONFLICT|IDEMPOTENCY_CONFLICT</x:v>
      </x:c>
      <x:c r="K19" s="17" t="str">
        <x:v>Idempotency-Key</x:v>
      </x:c>
      <x:c r="L19" s="17" t="str">
        <x:v>NEVER_RETURN; DTO白名单；companyId和职能从会话派生；不返回供应价/functionalAccountId</x:v>
      </x:c>
      <x:c r="M19" s="17" t="str">
        <x:v>N/A；本切片无金额字段</x:v>
      </x:c>
      <x:c r="N19" s="17" t="str">
        <x:v>P0-012,P0-018</x:v>
      </x:c>
      <x:c r="O19" s="17" t="str">
        <x:v>GENERATED</x:v>
      </x:c>
      <x:c r="P19" s="17" t="str">
        <x:v>IMPLEMENTED</x:v>
      </x:c>
      <x:c r="Q19" s="17" t="str">
        <x:v>IMPLEMENTED</x:v>
      </x:c>
      <x:c r="R19" s="17" t="str">
        <x:v>FREEZE:tests/contracts/m2-contract-freeze.contract.test.mjs;RUNTIME:apps/api/test/supertest/category-templates-api.test.mjs|tests/contracts/m2-p012-category-template.contract.test.mjs</x:v>
      </x:c>
      <x:c r="S19" s="17" t="str">
        <x:v>CODEX</x:v>
      </x:c>
      <x:c r="T19" s="17" t="str">
        <x:v>查询/创建草稿/修改草稿/发布四操作已实现；发布原子退役旧版并追加历史；P0-018只复用模板契约且强监管开关仍未实现</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x:v>
      </x:c>
      <x:c r="K31" s="17" t="str">
        <x:v>NONE</x:v>
      </x:c>
      <x:c r="L31" s="17" t="str">
        <x:v>NEVER_RETURN; DTO白名单；对象归属校验先于查询结果返回</x:v>
      </x:c>
      <x:c r="M31" s="17" t="str">
        <x:v>金额字段整数分；服务端重算；禁止客户端提交供应价或结算快照</x:v>
      </x:c>
      <x:c r="N31" s="17" t="str">
        <x:v>P0-013,P0-021,P0-088</x:v>
      </x:c>
      <x:c r="O31" s="17" t="str">
        <x:v>GENERATED</x:v>
      </x:c>
      <x:c r="P31" s="17" t="str">
        <x:v>IMPLEMENTED</x:v>
      </x:c>
      <x:c r="Q31" s="17" t="str">
        <x:v>IMPLEMENTED</x:v>
      </x:c>
      <x:c r="R31" s="17" t="str">
        <x:v>apps/api/test/supertest/food-product-detail-api.test.mjs|tests/contracts/m2-p013-food-detail.contract.test.mjs|tests/openapi/openapi-generation.test.mjs|packages/contracts/openapi.json</x:v>
      </x:c>
      <x:c r="S31" s="17" t="str">
        <x:v>CODEX</x:v>
      </x:c>
      <x:c r="T31" s="17" t="str">
        <x:v>P013仅细化食品详情子集：六项模板字段、三项SKU规格、公司统一销售主体和固定食品提示；P0-021/P0-088其他通用详情与完整交互仍为NOT_EXECUTED。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7de10e0c6b94346"/>
  </x:tableParts>
</x:worksheet>
</file>