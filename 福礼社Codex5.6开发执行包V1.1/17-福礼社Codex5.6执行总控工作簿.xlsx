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1bebd45a0d14286" /></Relationships>
</file>

<file path=xl/workbook.xml><?xml version="1.0" encoding="utf-8"?>
<x:workbook xmlns:x="http://schemas.openxmlformats.org/spreadsheetml/2006/main">
  <x:sheets>
    <x:sheet xmlns:r="http://schemas.openxmlformats.org/officeDocument/2006/relationships" name="总控看板" sheetId="1" r:id="R9767b47a44a04d0f"/>
    <x:sheet xmlns:r="http://schemas.openxmlformats.org/officeDocument/2006/relationships" name="阶段门禁" sheetId="2" r:id="Rfd428cbb800c40c0"/>
    <x:sheet xmlns:r="http://schemas.openxmlformats.org/officeDocument/2006/relationships" name="任务台账" sheetId="3" r:id="R14933a81cc774df5"/>
    <x:sheet xmlns:r="http://schemas.openxmlformats.org/officeDocument/2006/relationships" name="P0验收矩阵" sheetId="4" r:id="Rf96089ae69444b50"/>
    <x:sheet xmlns:r="http://schemas.openxmlformats.org/officeDocument/2006/relationships" name="字段字典" sheetId="5" r:id="R18f5699d9de24cf6"/>
    <x:sheet xmlns:r="http://schemas.openxmlformats.org/officeDocument/2006/relationships" name="状态机" sheetId="6" r:id="R41acc4920295408a"/>
    <x:sheet xmlns:r="http://schemas.openxmlformats.org/officeDocument/2006/relationships" name="权限矩阵" sheetId="7" r:id="R7cfe73c797774b59"/>
    <x:sheet xmlns:r="http://schemas.openxmlformats.org/officeDocument/2006/relationships" name="页面映射" sheetId="8" r:id="Rd19ce07e9129420c"/>
    <x:sheet xmlns:r="http://schemas.openxmlformats.org/officeDocument/2006/relationships" name="外部依赖" sheetId="9" r:id="R787050c2c98646bd"/>
    <x:sheet xmlns:r="http://schemas.openxmlformats.org/officeDocument/2006/relationships" name="测试证据" sheetId="10" r:id="Ra2213229b3e44b46"/>
    <x:sheet xmlns:r="http://schemas.openxmlformats.org/officeDocument/2006/relationships" name="迁移台账" sheetId="11" r:id="R0d108ec3219641e5"/>
    <x:sheet xmlns:r="http://schemas.openxmlformats.org/officeDocument/2006/relationships" name="API台账" sheetId="12" r:id="Raaadb780c0f0468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1f0756d6a554aa2" /><Relationship Type="http://schemas.openxmlformats.org/officeDocument/2006/relationships/theme" Target="/xl/theme/theme1.xml" Id="R6c7458ad761f4974" /><Relationship Type="http://schemas.openxmlformats.org/officeDocument/2006/relationships/sharedStrings" Target="/xl/sharedStrings.xml" Id="R65c1a126ee1743a7" /><Relationship Type="http://schemas.openxmlformats.org/officeDocument/2006/relationships/worksheet" Target="/xl/worksheets/sheet1.xml" Id="R9767b47a44a04d0f" /><Relationship Type="http://schemas.openxmlformats.org/officeDocument/2006/relationships/worksheet" Target="/xl/worksheets/sheet2.xml" Id="Rfd428cbb800c40c0" /><Relationship Type="http://schemas.openxmlformats.org/officeDocument/2006/relationships/worksheet" Target="/xl/worksheets/sheet3.xml" Id="R14933a81cc774df5" /><Relationship Type="http://schemas.openxmlformats.org/officeDocument/2006/relationships/worksheet" Target="/xl/worksheets/sheet4.xml" Id="Rf96089ae69444b50" /><Relationship Type="http://schemas.openxmlformats.org/officeDocument/2006/relationships/worksheet" Target="/xl/worksheets/sheet5.xml" Id="R18f5699d9de24cf6" /><Relationship Type="http://schemas.openxmlformats.org/officeDocument/2006/relationships/worksheet" Target="/xl/worksheets/sheet6.xml" Id="R41acc4920295408a" /><Relationship Type="http://schemas.openxmlformats.org/officeDocument/2006/relationships/worksheet" Target="/xl/worksheets/sheet7.xml" Id="R7cfe73c797774b59" /><Relationship Type="http://schemas.openxmlformats.org/officeDocument/2006/relationships/worksheet" Target="/xl/worksheets/sheet8.xml" Id="Rd19ce07e9129420c" /><Relationship Type="http://schemas.openxmlformats.org/officeDocument/2006/relationships/worksheet" Target="/xl/worksheets/sheet9.xml" Id="R787050c2c98646bd" /><Relationship Type="http://schemas.openxmlformats.org/officeDocument/2006/relationships/worksheet" Target="/xl/worksheets/sheet10.xml" Id="Ra2213229b3e44b46" /><Relationship Type="http://schemas.openxmlformats.org/officeDocument/2006/relationships/worksheet" Target="/xl/worksheets/sheet11.xml" Id="R0d108ec3219641e5" /><Relationship Type="http://schemas.openxmlformats.org/officeDocument/2006/relationships/worksheet" Target="/xl/worksheets/sheet12.xml" Id="Raaadb780c0f04685" /><Relationship Type="http://schemas.microsoft.com/office/2017/10/relationships/person" Target="/xl/persons/person.xml" Id="R476fc357fdbf4de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76c6cb970804d37" /></Relationships>
</file>

<file path=xl/worksheets/_rels/sheet3.xml.rels>&#65279;<?xml version="1.0" encoding="utf-8"?><Relationships xmlns="http://schemas.openxmlformats.org/package/2006/relationships"><Relationship Type="http://schemas.openxmlformats.org/officeDocument/2006/relationships/table" Target="/xl/tables/table2.xml" Id="R7c652c87a5504c7f" /></Relationships>
</file>

<file path=xl/worksheets/_rels/sheet4.xml.rels>&#65279;<?xml version="1.0" encoding="utf-8"?><Relationships xmlns="http://schemas.openxmlformats.org/package/2006/relationships"><Relationship Type="http://schemas.openxmlformats.org/officeDocument/2006/relationships/table" Target="/xl/tables/table3.xml" Id="R116af46399dc4dc4" /></Relationships>
</file>

<file path=xl/worksheets/_rels/sheet5.xml.rels>&#65279;<?xml version="1.0" encoding="utf-8"?><Relationships xmlns="http://schemas.openxmlformats.org/package/2006/relationships"><Relationship Type="http://schemas.openxmlformats.org/officeDocument/2006/relationships/table" Target="/xl/tables/table4.xml" Id="R1232cdcadad74a7e" /></Relationships>
</file>

<file path=xl/worksheets/_rels/sheet6.xml.rels>&#65279;<?xml version="1.0" encoding="utf-8"?><Relationships xmlns="http://schemas.openxmlformats.org/package/2006/relationships"><Relationship Type="http://schemas.openxmlformats.org/officeDocument/2006/relationships/table" Target="/xl/tables/table5.xml" Id="Rfd8aad28f1174d0a" /></Relationships>
</file>

<file path=xl/worksheets/_rels/sheet7.xml.rels>&#65279;<?xml version="1.0" encoding="utf-8"?><Relationships xmlns="http://schemas.openxmlformats.org/package/2006/relationships"><Relationship Type="http://schemas.openxmlformats.org/officeDocument/2006/relationships/table" Target="/xl/tables/table6.xml" Id="R8d632dd3bbac4461" /></Relationships>
</file>

<file path=xl/worksheets/_rels/sheet8.xml.rels>&#65279;<?xml version="1.0" encoding="utf-8"?><Relationships xmlns="http://schemas.openxmlformats.org/package/2006/relationships"><Relationship Type="http://schemas.openxmlformats.org/officeDocument/2006/relationships/table" Target="/xl/tables/table7.xml" Id="R64a921d05ebe4862" /></Relationships>
</file>

<file path=xl/worksheets/_rels/sheet9.xml.rels>&#65279;<?xml version="1.0" encoding="utf-8"?><Relationships xmlns="http://schemas.openxmlformats.org/package/2006/relationships"><Relationship Type="http://schemas.openxmlformats.org/officeDocument/2006/relationships/table" Target="/xl/tables/table8.xml" Id="R66efd1da5d154170" /></Relationships>
</file>

<file path=xl/worksheets/_rels/sheet10.xml.rels>&#65279;<?xml version="1.0" encoding="utf-8"?><Relationships xmlns="http://schemas.openxmlformats.org/package/2006/relationships"><Relationship Type="http://schemas.openxmlformats.org/officeDocument/2006/relationships/table" Target="/xl/tables/table9.xml" Id="Rb300ea5497fe4d7f" /></Relationships>
</file>

<file path=xl/worksheets/_rels/sheet11.xml.rels>&#65279;<?xml version="1.0" encoding="utf-8"?><Relationships xmlns="http://schemas.openxmlformats.org/package/2006/relationships"><Relationship Type="http://schemas.openxmlformats.org/officeDocument/2006/relationships/table" Target="/xl/tables/table10.xml" Id="Rfcb2b3b7e12a4e8e" /></Relationships>
</file>

<file path=xl/worksheets/_rels/sheet12.xml.rels>&#65279;<?xml version="1.0" encoding="utf-8"?><Relationships xmlns="http://schemas.openxmlformats.org/package/2006/relationships"><Relationship Type="http://schemas.openxmlformats.org/officeDocument/2006/relationships/table" Target="/xl/tables/table11.xml" Id="Reaaa708343354d1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main@09433c0 CI_PASS · M2-P063唯一IN_PROGRESS · 80cc4ea完整verify 17/17 LOCAL_PASS · Draft PR/CI待执行 · M2-P071及以后锁定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45</x:v>
      </x:c>
      <x:c r="E6" s="83"/>
      <x:c r="F6" s="187"/>
      <x:c r="G6" s="109" t="n">
        <x:v>30</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v>16</x:v>
      </x:c>
      <x:c r="E13" s="152" t="n">
        <x:f>COUNTIF('P0验收矩阵'!$C$2:$C$120,A13)</x:f>
        <x:v>18</x:v>
      </x:c>
      <x:c r="F13" s="152" t="n">
        <x:v>16</x:v>
      </x:c>
      <x:c r="G13" s="152" t="str">
        <x:f>INDEX('阶段门禁'!$N$2:$N$8,MATCH(A13,'阶段门禁'!$A$2:$A$8,0))</x:f>
        <x:v>IN_PROGRESS</x:v>
      </x:c>
      <x:c r="H13" s="152" t="str">
        <x:v>LOCAL_PASS</x:v>
      </x:c>
      <x:c r="I13" s="152" t="str">
        <x:v>P063 80cc4ea verify 17/17；PR/CI待执行</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29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PASS；M2-P006至M2-P061均已合并main且合并后CI_PASS；M2-P063唯一活动切片提交80cc4ea已完成RED、实现、focused、MySQL演练和完整verify 17/17；Draft PR和exact-head CI待执行；M2-P071及以后锁定。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M2-P006至M2-P061均已合并main且合并后CI_PASS；M2-P063提交80cc4ea本地focused、MySQL演练与完整verify 17/17通过，Draft PR及exact-head CI待执行；M2-P071及M3锁定。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76c6cb970804d3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IN_PROGRESS</x:v>
      </x:c>
      <x:c r="N48" s="17" t="str">
        <x:v>LOCAL_PASS</x:v>
      </x:c>
      <x:c r="O48" s="17" t="str">
        <x:v>CODEX</x:v>
      </x:c>
      <x:c r="P48" s="17" t="str">
        <x:v>https://github.com/EasyStep-lee/flt1/issues/69</x:v>
      </x:c>
      <x:c r="Q48" s="17" t="str">
        <x:v>codex/m2-m2-p063</x:v>
      </x:c>
      <x:c r="R48" s="17" t="str">
        <x:v>codex/m2-shared-inventory-balance</x:v>
      </x:c>
      <x:c r="S48" s="17" t="str">
        <x:v>80cc4eaf4cf39650c480dbeefce243cd88784d9e</x:v>
      </x:c>
      <x:c r="T48" s="17" t="str"/>
      <x:c r="U48" s="17" t="str">
        <x:v>NOT_EXECUTED</x:v>
      </x:c>
      <x:c r="V48" s="17" t="str">
        <x:v>NO</x:v>
      </x:c>
      <x:c r="W48" s="17" t="str">
        <x:v>回退应用代码；已应用环境保留库存历史并使用向前迁移修复</x:v>
      </x:c>
      <x:c r="X48" s="17" t="n">
        <x:v>46246.49118055555</x:v>
      </x:c>
      <x:c r="Y48" s="17" t="str">
        <x:v>RED API 2/2因路由404；GREEN focused API/领域/契约/迁移/页面/P0及MySQL演练通过；提交80cc4ea完整pnpm verify 17/17 PASS。订单/支付/福利卡/超时任务不在范围；Draft PR与exact-head CI未执行。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c652c87a5504c7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LOCAL_PASS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x:v>
      </x:c>
      <x:c r="N64" s="17" t="str">
        <x:v>80cc4eaf4cf39650c480dbeefce243cd88784d9e</x:v>
      </x:c>
      <x:c r="O64" s="17" t="str">
        <x:v>CODEX</x:v>
      </x:c>
      <x:c r="P64" s="17" t="n">
        <x:v>46246.49118055555</x:v>
      </x:c>
      <x:c r="Q64" s="17" t="str">
        <x:v>唯一skuId余额、非负与版本约束、串行事务/乐观锁、幂等命令快照、追加流水和供应商归属由focused及完整verify 17/17证明；内部reserve/release/confirmSale仅为M3稳定领域契约且未开放订单API。CI/staging/device/production未执行。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6af46399dc4dc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232cdcadad74a7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d8aad28f1174d0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d632dd3bbac446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4a921d05ebe486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6efd1da5d15417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LOCAL_PASS</x:v>
      </x:c>
      <x:c r="H64" s="17" t="str">
        <x:v>RED: focused API 2/2因库存路由404；GREEN: focused API/内部领域/契约/迁移/供应商端/P0 E2E；prisma validate；OpenAPI check；MySQL迁移演练；完整pnpm verify。</x:v>
      </x:c>
      <x:c r="I64" s="17" t="str">
        <x:v>个人与企业渠道引用同一SKU唯一InventoryBalance；预扣/释放/确认销售使用同一版本化余额且流水追加、幂等、不为负。</x:v>
      </x:c>
      <x:c r="J64" s="17" t="str">
        <x:v>GREEN focused全通过；MySQL empty=2/upgrade=2/restore=2/product=24/cleanup=PASS；提交80cc4ea完整verify 17/17 PASS。</x:v>
      </x:c>
      <x:c r="K64" s="17" t="str">
        <x:v>LOCAL_WINDOWS_DOCKER_MYSQL_CHROMIUM</x:v>
      </x:c>
      <x:c r="L64" s="17" t="str">
        <x:v>Node 22.23.1；MySQL 8.4.11；Chromium</x:v>
      </x:c>
      <x:c r="M64" s="17" t="n">
        <x:v>46246.49118055555</x:v>
      </x:c>
      <x:c r="N64" s="17" t="str">
        <x:v>80cc4eaf4cf39650c480dbeefce243cd88784d9e</x:v>
      </x:c>
      <x:c r="O64" s="17" t="str"/>
      <x:c r="P64" s="17" t="str">
        <x:v>apps/api/test/supertest/shared-inventory-balance-api.test.mjs|apps/api/test/unit/shared-inventory-domain.test.mjs|tests/contracts/m2-p063-shared-inventory.contract.test.mjs|tests/migrations/m2-p063-shared-inventory-migration.contract.test.mjs|tests/e2e/p0/p0-063-shared-inventory.spec.ts|artifacts/test-results/verification/pnpm-verify.json</x:v>
      </x:c>
      <x:c r="Q64" s="17" t="str">
        <x:v>CODEX</x:v>
      </x:c>
      <x:c r="R64" s="17" t="str">
        <x:v>FRESH_LOCAL_CURRENT_HEAD</x:v>
      </x:c>
      <x:c r="S64" s="17" t="str">
        <x:v>CI/staging/device/production未执行；M3订单公开API未实现</x:v>
      </x:c>
      <x:c r="T64" s="17" t="str">
        <x:v>NO</x:v>
      </x:c>
      <x:c r="U64" s="17" t="str">
        <x:v>PR创建后读取exact-head Actions；不得用LOCAL_PASS宣称CI_PASS。</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300ea5497fe4d7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cb2b3b7e12a4e8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aaa708343354d10"/>
  </x:tableParts>
</x:worksheet>
</file>