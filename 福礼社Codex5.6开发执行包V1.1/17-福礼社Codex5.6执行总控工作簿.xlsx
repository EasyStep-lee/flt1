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5058f5e06f3d4f8b" /></Relationships>
</file>

<file path=xl/workbook.xml><?xml version="1.0" encoding="utf-8"?>
<x:workbook xmlns:x="http://schemas.openxmlformats.org/spreadsheetml/2006/main">
  <x:sheets>
    <x:sheet xmlns:r="http://schemas.openxmlformats.org/officeDocument/2006/relationships" name="总控看板" sheetId="1" r:id="R279183463c4542ce"/>
    <x:sheet xmlns:r="http://schemas.openxmlformats.org/officeDocument/2006/relationships" name="阶段门禁" sheetId="2" r:id="R8537a946c3f54641"/>
    <x:sheet xmlns:r="http://schemas.openxmlformats.org/officeDocument/2006/relationships" name="任务台账" sheetId="3" r:id="Re2a94d0a09944b4b"/>
    <x:sheet xmlns:r="http://schemas.openxmlformats.org/officeDocument/2006/relationships" name="P0验收矩阵" sheetId="4" r:id="Rfca1ea24756947eb"/>
    <x:sheet xmlns:r="http://schemas.openxmlformats.org/officeDocument/2006/relationships" name="字段字典" sheetId="5" r:id="R414f2f76a85a44d7"/>
    <x:sheet xmlns:r="http://schemas.openxmlformats.org/officeDocument/2006/relationships" name="状态机" sheetId="6" r:id="R75ff2f2e752e4f24"/>
    <x:sheet xmlns:r="http://schemas.openxmlformats.org/officeDocument/2006/relationships" name="权限矩阵" sheetId="7" r:id="R7bce3418acb7441f"/>
    <x:sheet xmlns:r="http://schemas.openxmlformats.org/officeDocument/2006/relationships" name="页面映射" sheetId="8" r:id="Rb0a6234d53c7458e"/>
    <x:sheet xmlns:r="http://schemas.openxmlformats.org/officeDocument/2006/relationships" name="外部依赖" sheetId="9" r:id="R023c8f3e2ef6446e"/>
    <x:sheet xmlns:r="http://schemas.openxmlformats.org/officeDocument/2006/relationships" name="测试证据" sheetId="10" r:id="Rd8104698b0654703"/>
    <x:sheet xmlns:r="http://schemas.openxmlformats.org/officeDocument/2006/relationships" name="迁移台账" sheetId="11" r:id="Rf794a73a99774611"/>
    <x:sheet xmlns:r="http://schemas.openxmlformats.org/officeDocument/2006/relationships" name="API台账" sheetId="12" r:id="R1e3cd47c799c4e5b"/>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yyyy-mm-dd hh:mm"/>
  </x:numFmts>
  <x:fonts count="12">
    <x:font>
      <x:sz val="11"/>
      <x:name val="Carlito"/>
    </x:font>
    <x:font>
      <x:sz val="10"/>
      <x:color rgb="FF17202A"/>
      <x:name val="Microsoft YaHei"/>
    </x:font>
    <x:font>
      <x:b/>
      <x:sz val="10"/>
      <x:color rgb="FFFFFFFF"/>
      <x:name val="Microsoft YaHei"/>
    </x:font>
    <x:font>
      <x:b/>
      <x:sz val="22"/>
      <x:color rgb="FFFFFFFF"/>
      <x:name val="Microsoft YaHei"/>
    </x:font>
    <x:font>
      <x:b/>
      <x:sz val="10"/>
      <x:color rgb="FF075985"/>
      <x:name val="Microsoft YaHei"/>
    </x:font>
    <x:font>
      <x:b/>
      <x:sz val="24"/>
      <x:color rgb="FF0F766E"/>
      <x:name val="Microsoft YaHei"/>
    </x:font>
    <x:font>
      <x:b/>
      <x:sz val="24"/>
      <x:color rgb="FF15803D"/>
      <x:name val="Microsoft YaHei"/>
    </x:font>
    <x:font>
      <x:b/>
      <x:sz val="24"/>
      <x:color rgb="FFE15241"/>
      <x:name val="Microsoft YaHei"/>
    </x:font>
    <x:font>
      <x:b/>
      <x:sz val="24"/>
      <x:color rgb="FFD97706"/>
      <x:name val="Microsoft YaHei"/>
    </x:font>
    <x:font>
      <x:sz val="10"/>
      <x:color rgb="FF7A271A"/>
      <x:name val="Microsoft YaHei"/>
    </x:font>
    <x:font>
      <x:b/>
      <x:sz val="10"/>
      <x:color rgb="FF115E59"/>
      <x:name val="Microsoft YaHei"/>
    </x:font>
    <x:font>
      <x:sz val="11"/>
      <x:name val="Microsoft YaHei"/>
    </x:font>
  </x:fonts>
  <x:fills count="12">
    <x:fill>
      <x:patternFill patternType="none"/>
    </x:fill>
    <x:fill>
      <x:patternFill patternType="gray125"/>
    </x:fill>
    <x:fill>
      <x:patternFill patternType="solid">
        <x:fgColor rgb="FF115E59"/>
      </x:patternFill>
    </x:fill>
    <x:fill>
      <x:patternFill patternType="solid">
        <x:fgColor rgb="FF075985"/>
      </x:patternFill>
    </x:fill>
    <x:fill>
      <x:patternFill patternType="solid">
        <x:fgColor rgb="FFE15241"/>
      </x:patternFill>
    </x:fill>
    <x:fill>
      <x:patternFill patternType="solid">
        <x:fgColor rgb="FFE0F2FE"/>
      </x:patternFill>
    </x:fill>
    <x:fill>
      <x:patternFill patternType="solid">
        <x:fgColor rgb="FF0F766E"/>
      </x:patternFill>
    </x:fill>
    <x:fill>
      <x:patternFill patternType="solid">
        <x:fgColor rgb="FFFFFFFF"/>
      </x:patternFill>
    </x:fill>
    <x:fill>
      <x:patternFill patternType="solid">
        <x:fgColor rgb="FF15803D"/>
      </x:patternFill>
    </x:fill>
    <x:fill>
      <x:patternFill patternType="solid">
        <x:fgColor rgb="FFD97706"/>
      </x:patternFill>
    </x:fill>
    <x:fill>
      <x:patternFill patternType="solid">
        <x:fgColor rgb="FFFDE8E5"/>
      </x:patternFill>
    </x:fill>
    <x:fill>
      <x:patternFill patternType="solid">
        <x:fgColor rgb="FFDFF4EF"/>
      </x:patternFill>
    </x:fill>
  </x:fills>
  <x:borders count="34">
    <x:border/>
    <x:border>
      <x:bottom style="thin">
        <x:color rgb="FFE2E8F0"/>
      </x:bottom>
    </x:border>
    <x:border>
      <x:top style="thin">
        <x:color rgb="FFE2E8F0"/>
      </x:top>
      <x:bottom style="thin">
        <x:color rgb="FFE2E8F0"/>
      </x:bottom>
    </x:border>
    <x:border>
      <x:top style="thin">
        <x:color rgb="FFE2E8F0"/>
      </x:top>
      <x:bottom style="thin">
        <x:color rgb="FFCBD5E1"/>
      </x:bottom>
    </x:border>
    <x:border>
      <x:left style="medium">
        <x:color rgb="FF115E59"/>
      </x:left>
      <x:top style="medium">
        <x:color rgb="FF115E59"/>
      </x:top>
      <x:bottom style="medium">
        <x:color rgb="FF115E59"/>
      </x:bottom>
    </x:border>
    <x:border>
      <x:top style="medium">
        <x:color rgb="FF115E59"/>
      </x:top>
      <x:bottom style="medium">
        <x:color rgb="FF115E59"/>
      </x:bottom>
    </x:border>
    <x:border>
      <x:right style="medium">
        <x:color rgb="FF115E59"/>
      </x:right>
      <x:top style="medium">
        <x:color rgb="FF115E59"/>
      </x:top>
      <x:bottom style="medium">
        <x:color rgb="FF115E59"/>
      </x:bottom>
    </x:border>
    <x:border>
      <x:left style="medium">
        <x:color rgb="FF0F766E"/>
      </x:left>
      <x:top style="medium">
        <x:color rgb="FF0F766E"/>
      </x:top>
    </x:border>
    <x:border>
      <x:right style="medium">
        <x:color rgb="FF0F766E"/>
      </x:right>
      <x:top style="medium">
        <x:color rgb="FF0F766E"/>
      </x:top>
    </x:border>
    <x:border>
      <x:left style="medium">
        <x:color rgb="FF0F766E"/>
      </x:left>
    </x:border>
    <x:border>
      <x:right style="medium">
        <x:color rgb="FF0F766E"/>
      </x:right>
    </x:border>
    <x:border>
      <x:left style="medium">
        <x:color rgb="FF0F766E"/>
      </x:left>
      <x:bottom style="medium">
        <x:color rgb="FF0F766E"/>
      </x:bottom>
    </x:border>
    <x:border>
      <x:right style="medium">
        <x:color rgb="FF0F766E"/>
      </x:right>
      <x:bottom style="medium">
        <x:color rgb="FF0F766E"/>
      </x:bottom>
    </x:border>
    <x:border>
      <x:left style="medium">
        <x:color rgb="FF15803D"/>
      </x:left>
      <x:top style="medium">
        <x:color rgb="FF15803D"/>
      </x:top>
    </x:border>
    <x:border>
      <x:right style="medium">
        <x:color rgb="FF15803D"/>
      </x:right>
      <x:top style="medium">
        <x:color rgb="FF15803D"/>
      </x:top>
    </x:border>
    <x:border>
      <x:left style="medium">
        <x:color rgb="FF15803D"/>
      </x:left>
    </x:border>
    <x:border>
      <x:right style="medium">
        <x:color rgb="FF15803D"/>
      </x:right>
    </x:border>
    <x:border>
      <x:left style="medium">
        <x:color rgb="FF15803D"/>
      </x:left>
      <x:bottom style="medium">
        <x:color rgb="FF15803D"/>
      </x:bottom>
    </x:border>
    <x:border>
      <x:right style="medium">
        <x:color rgb="FF15803D"/>
      </x:right>
      <x:bottom style="medium">
        <x:color rgb="FF15803D"/>
      </x:bottom>
    </x:border>
    <x:border>
      <x:left style="medium">
        <x:color rgb="FFE15241"/>
      </x:left>
      <x:top style="medium">
        <x:color rgb="FFE15241"/>
      </x:top>
    </x:border>
    <x:border>
      <x:right style="medium">
        <x:color rgb="FFE15241"/>
      </x:right>
      <x:top style="medium">
        <x:color rgb="FFE15241"/>
      </x:top>
    </x:border>
    <x:border>
      <x:left style="medium">
        <x:color rgb="FFE15241"/>
      </x:left>
    </x:border>
    <x:border>
      <x:right style="medium">
        <x:color rgb="FFE15241"/>
      </x:right>
    </x:border>
    <x:border>
      <x:left style="medium">
        <x:color rgb="FFE15241"/>
      </x:left>
      <x:bottom style="medium">
        <x:color rgb="FFE15241"/>
      </x:bottom>
    </x:border>
    <x:border>
      <x:right style="medium">
        <x:color rgb="FFE15241"/>
      </x:right>
      <x:bottom style="medium">
        <x:color rgb="FFE15241"/>
      </x:bottom>
    </x:border>
    <x:border>
      <x:left style="medium">
        <x:color rgb="FFD97706"/>
      </x:left>
      <x:top style="medium">
        <x:color rgb="FFD97706"/>
      </x:top>
    </x:border>
    <x:border>
      <x:right style="medium">
        <x:color rgb="FFD97706"/>
      </x:right>
      <x:top style="medium">
        <x:color rgb="FFD97706"/>
      </x:top>
    </x:border>
    <x:border>
      <x:left style="medium">
        <x:color rgb="FFD97706"/>
      </x:left>
    </x:border>
    <x:border>
      <x:right style="medium">
        <x:color rgb="FFD97706"/>
      </x:right>
    </x:border>
    <x:border>
      <x:left style="medium">
        <x:color rgb="FFD97706"/>
      </x:left>
      <x:bottom style="medium">
        <x:color rgb="FFD97706"/>
      </x:bottom>
    </x:border>
    <x:border>
      <x:right style="medium">
        <x:color rgb="FFD97706"/>
      </x:right>
      <x:bottom style="medium">
        <x:color rgb="FFD97706"/>
      </x:bottom>
    </x:border>
    <x:border>
      <x:left style="thin">
        <x:color rgb="FFCBD5E1"/>
      </x:left>
      <x:right style="thin">
        <x:color rgb="FFCBD5E1"/>
      </x:right>
      <x:top style="thin">
        <x:color rgb="FFCBD5E1"/>
      </x:top>
      <x:bottom style="thin">
        <x:color rgb="FFCBD5E1"/>
      </x:bottom>
    </x:border>
    <x:border>
      <x:top style="medium">
        <x:color rgb="FFE15241"/>
      </x:top>
    </x:border>
    <x:border>
      <x:bottom style="medium">
        <x:color rgb="FFE15241"/>
      </x:bottom>
    </x:border>
  </x:borders>
  <x:cellStyleXfs count="1">
    <x:xf numFmtId="0" fontId="0" fillId="0" borderId="0"/>
  </x:cellStyleXfs>
  <x:cellXfs count="192">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1" fillId="0" borderId="1" xfId="0" applyNumberFormat="1" applyFont="1" applyFill="1" applyBorder="1" applyAlignment="1">
      <x:alignment vertical="center"/>
    </x:xf>
    <x:xf numFmtId="0" fontId="1" fillId="0" borderId="2" xfId="0" applyNumberFormat="1" applyFont="1" applyFill="1" applyBorder="1" applyAlignment="1">
      <x:alignment vertical="center"/>
    </x:xf>
    <x:xf numFmtId="0" fontId="1" fillId="0" borderId="3" xfId="0" applyNumberFormat="1" applyFont="1" applyFill="1" applyBorder="1" applyAlignment="1">
      <x:alignment vertical="center"/>
    </x:xf>
    <x:xf numFmtId="0" fontId="1" fillId="2" borderId="1" xfId="0" applyNumberFormat="1" applyFont="1" applyFill="1" applyBorder="1" applyAlignment="1">
      <x:alignment vertical="center"/>
    </x:xf>
    <x:xf numFmtId="0" fontId="2" fillId="2" borderId="1" xfId="0" applyNumberFormat="1" applyFont="1" applyFill="1" applyBorder="1" applyAlignment="1">
      <x:alignment vertical="center"/>
    </x:xf>
    <x:xf numFmtId="0" fontId="2" fillId="2" borderId="4" xfId="0" applyNumberFormat="1" applyFont="1" applyFill="1" applyBorder="1" applyAlignment="1">
      <x:alignment vertical="center"/>
    </x:xf>
    <x:xf numFmtId="0" fontId="2" fillId="2" borderId="5" xfId="0" applyNumberFormat="1" applyFont="1" applyFill="1" applyBorder="1" applyAlignment="1">
      <x:alignment vertical="center"/>
    </x:xf>
    <x:xf numFmtId="0" fontId="2" fillId="2" borderId="6" xfId="0" applyNumberFormat="1" applyFont="1" applyFill="1" applyBorder="1" applyAlignment="1">
      <x:alignment vertical="center"/>
    </x:xf>
    <x:xf numFmtId="0" fontId="2" fillId="2" borderId="4" xfId="0" applyNumberFormat="1" applyFont="1" applyFill="1" applyBorder="1" applyAlignment="1">
      <x:alignment vertical="center" wrapText="1"/>
    </x:xf>
    <x:xf numFmtId="0" fontId="2" fillId="2" borderId="5" xfId="0" applyNumberFormat="1" applyFont="1" applyFill="1" applyBorder="1" applyAlignment="1">
      <x:alignment vertical="center" wrapText="1"/>
    </x:xf>
    <x:xf numFmtId="0" fontId="2" fillId="2" borderId="6" xfId="0" applyNumberFormat="1" applyFont="1" applyFill="1" applyBorder="1" applyAlignment="1">
      <x:alignment vertical="center" wrapText="1"/>
    </x:xf>
    <x:xf numFmtId="0" fontId="2" fillId="2" borderId="4" xfId="0" applyNumberFormat="1" applyFont="1" applyFill="1" applyBorder="1" applyAlignment="1">
      <x:alignment horizontal="center" vertical="center" wrapText="1"/>
    </x:xf>
    <x:xf numFmtId="0" fontId="2" fillId="2" borderId="5" xfId="0" applyNumberFormat="1" applyFont="1" applyFill="1" applyBorder="1" applyAlignment="1">
      <x:alignment horizontal="center" vertical="center" wrapText="1"/>
    </x:xf>
    <x:xf numFmtId="0" fontId="2" fillId="2" borderId="6" xfId="0" applyNumberFormat="1" applyFont="1" applyFill="1" applyBorder="1" applyAlignment="1">
      <x:alignment horizontal="center" vertical="center" wrapText="1"/>
    </x:xf>
    <x:xf numFmtId="0" fontId="1" fillId="0" borderId="2" xfId="0" applyNumberFormat="1" applyFont="1" applyFill="1" applyBorder="1" applyAlignment="1">
      <x:alignment vertical="center" wrapText="1"/>
    </x:xf>
    <x:xf numFmtId="0" fontId="1" fillId="0" borderId="3" xfId="0" applyNumberFormat="1" applyFont="1" applyFill="1" applyBorder="1" applyAlignment="1">
      <x:alignment vertical="center" wrapText="1"/>
    </x:xf>
    <x:xf numFmtId="0" fontId="0" fillId="3" borderId="0" xfId="0" applyNumberFormat="1" applyFont="1" applyFill="1" applyBorder="1"/>
    <x:xf numFmtId="0" fontId="3" fillId="3" borderId="0" xfId="0" applyNumberFormat="1" applyFont="1" applyFill="1" applyBorder="1"/>
    <x:xf numFmtId="0" fontId="3" fillId="3" borderId="0" xfId="0" applyNumberFormat="1" applyFont="1" applyFill="1" applyBorder="1" applyAlignment="1">
      <x:alignment horizontal="left"/>
    </x:xf>
    <x:xf numFmtId="0" fontId="3" fillId="3" borderId="0" xfId="0" applyNumberFormat="1" applyFont="1" applyFill="1" applyBorder="1" applyAlignment="1">
      <x:alignment horizontal="left" vertical="center"/>
    </x:xf>
    <x:xf numFmtId="0" fontId="0" fillId="4" borderId="0" xfId="0" applyNumberFormat="1" applyFont="1" applyFill="1" applyBorder="1"/>
    <x:xf numFmtId="0" fontId="2" fillId="4" borderId="0" xfId="0" applyNumberFormat="1" applyFont="1" applyFill="1" applyBorder="1"/>
    <x:xf numFmtId="0" fontId="2" fillId="4" borderId="0" xfId="0" applyNumberFormat="1" applyFont="1" applyFill="1" applyBorder="1" applyAlignment="1">
      <x:alignment vertical="center"/>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vertical="center"/>
    </x:xf>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horizontal="center"/>
    </x:xf>
    <x:xf numFmtId="0" fontId="2" fillId="6" borderId="0" xfId="0" applyNumberFormat="1" applyFont="1" applyFill="1" applyBorder="1" applyAlignment="1">
      <x:alignment horizontal="center" vertical="center"/>
    </x:xf>
    <x:xf numFmtId="0" fontId="0" fillId="7" borderId="0" xfId="0" applyNumberFormat="1" applyFont="1" applyFill="1" applyBorder="1"/>
    <x:xf numFmtId="0" fontId="5" fillId="7" borderId="0" xfId="0" applyNumberFormat="1" applyFont="1" applyFill="1" applyBorder="1"/>
    <x:xf numFmtId="0" fontId="5" fillId="7" borderId="7" xfId="0" applyNumberFormat="1" applyFont="1" applyFill="1" applyBorder="1"/>
    <x:xf numFmtId="0" fontId="5" fillId="7" borderId="8" xfId="0" applyNumberFormat="1" applyFont="1" applyFill="1" applyBorder="1"/>
    <x:xf numFmtId="0" fontId="5" fillId="7" borderId="9" xfId="0" applyNumberFormat="1" applyFont="1" applyFill="1" applyBorder="1"/>
    <x:xf numFmtId="0" fontId="5" fillId="7" borderId="10" xfId="0" applyNumberFormat="1" applyFont="1" applyFill="1" applyBorder="1"/>
    <x:xf numFmtId="0" fontId="5" fillId="7" borderId="11" xfId="0" applyNumberFormat="1" applyFont="1" applyFill="1" applyBorder="1"/>
    <x:xf numFmtId="0" fontId="5" fillId="7" borderId="12" xfId="0" applyNumberFormat="1" applyFont="1" applyFill="1" applyBorder="1"/>
    <x:xf numFmtId="200" fontId="5" fillId="7" borderId="7" xfId="0" applyNumberFormat="1" applyFont="1" applyFill="1" applyBorder="1"/>
    <x:xf numFmtId="200" fontId="5" fillId="7" borderId="8" xfId="0" applyNumberFormat="1" applyFont="1" applyFill="1" applyBorder="1"/>
    <x:xf numFmtId="200" fontId="5" fillId="7" borderId="9" xfId="0" applyNumberFormat="1" applyFont="1" applyFill="1" applyBorder="1"/>
    <x:xf numFmtId="200" fontId="5" fillId="7" borderId="10" xfId="0" applyNumberFormat="1" applyFont="1" applyFill="1" applyBorder="1"/>
    <x:xf numFmtId="200" fontId="5" fillId="7" borderId="11" xfId="0" applyNumberFormat="1" applyFont="1" applyFill="1" applyBorder="1"/>
    <x:xf numFmtId="200" fontId="5" fillId="7" borderId="12" xfId="0" applyNumberFormat="1" applyFont="1" applyFill="1" applyBorder="1"/>
    <x:xf numFmtId="200" fontId="5" fillId="7" borderId="7" xfId="0" applyNumberFormat="1" applyFont="1" applyFill="1" applyBorder="1" applyAlignment="1">
      <x:alignment horizontal="center"/>
    </x:xf>
    <x:xf numFmtId="200" fontId="5" fillId="7" borderId="8" xfId="0" applyNumberFormat="1" applyFont="1" applyFill="1" applyBorder="1" applyAlignment="1">
      <x:alignment horizontal="center"/>
    </x:xf>
    <x:xf numFmtId="200" fontId="5" fillId="7" borderId="9" xfId="0" applyNumberFormat="1" applyFont="1" applyFill="1" applyBorder="1" applyAlignment="1">
      <x:alignment horizontal="center"/>
    </x:xf>
    <x:xf numFmtId="200" fontId="5" fillId="7" borderId="10" xfId="0" applyNumberFormat="1" applyFont="1" applyFill="1" applyBorder="1" applyAlignment="1">
      <x:alignment horizontal="center"/>
    </x:xf>
    <x:xf numFmtId="200" fontId="5" fillId="7" borderId="11" xfId="0" applyNumberFormat="1" applyFont="1" applyFill="1" applyBorder="1" applyAlignment="1">
      <x:alignment horizontal="center"/>
    </x:xf>
    <x:xf numFmtId="200" fontId="5" fillId="7" borderId="12" xfId="0" applyNumberFormat="1" applyFont="1" applyFill="1" applyBorder="1" applyAlignment="1">
      <x:alignment horizontal="center"/>
    </x:xf>
    <x:xf numFmtId="200" fontId="5" fillId="7" borderId="7" xfId="0" applyNumberFormat="1" applyFont="1" applyFill="1" applyBorder="1" applyAlignment="1">
      <x:alignment horizontal="center" vertical="center"/>
    </x:xf>
    <x:xf numFmtId="200" fontId="5" fillId="7" borderId="8" xfId="0" applyNumberFormat="1" applyFont="1" applyFill="1" applyBorder="1" applyAlignment="1">
      <x:alignment horizontal="center" vertical="center"/>
    </x:xf>
    <x:xf numFmtId="200" fontId="5" fillId="7" borderId="9" xfId="0" applyNumberFormat="1" applyFont="1" applyFill="1" applyBorder="1" applyAlignment="1">
      <x:alignment horizontal="center" vertical="center"/>
    </x:xf>
    <x:xf numFmtId="200" fontId="5" fillId="7" borderId="10" xfId="0" applyNumberFormat="1" applyFont="1" applyFill="1" applyBorder="1" applyAlignment="1">
      <x:alignment horizontal="center" vertical="center"/>
    </x:xf>
    <x:xf numFmtId="200" fontId="5" fillId="7" borderId="11" xfId="0" applyNumberFormat="1" applyFont="1" applyFill="1" applyBorder="1" applyAlignment="1">
      <x:alignment horizontal="center" vertical="center"/>
    </x:xf>
    <x:xf numFmtId="200" fontId="5" fillId="7" borderId="12" xfId="0" applyNumberFormat="1" applyFont="1" applyFill="1" applyBorder="1" applyAlignment="1">
      <x:alignment horizontal="center" vertical="center"/>
    </x:xf>
    <x:xf numFmtId="0" fontId="0" fillId="8" borderId="0" xfId="0" applyNumberFormat="1" applyFont="1" applyFill="1" applyBorder="1"/>
    <x:xf numFmtId="0" fontId="2" fillId="8" borderId="0" xfId="0" applyNumberFormat="1" applyFont="1" applyFill="1" applyBorder="1"/>
    <x:xf numFmtId="0" fontId="2" fillId="8" borderId="0" xfId="0" applyNumberFormat="1" applyFont="1" applyFill="1" applyBorder="1" applyAlignment="1">
      <x:alignment horizontal="center"/>
    </x:xf>
    <x:xf numFmtId="0" fontId="2" fillId="8" borderId="0" xfId="0" applyNumberFormat="1" applyFont="1" applyFill="1" applyBorder="1" applyAlignment="1">
      <x:alignment horizontal="center" vertical="center"/>
    </x:xf>
    <x:xf numFmtId="0" fontId="6" fillId="7" borderId="0" xfId="0" applyNumberFormat="1" applyFont="1" applyFill="1" applyBorder="1"/>
    <x:xf numFmtId="0" fontId="6" fillId="7" borderId="13" xfId="0" applyNumberFormat="1" applyFont="1" applyFill="1" applyBorder="1"/>
    <x:xf numFmtId="0" fontId="6" fillId="7" borderId="14" xfId="0" applyNumberFormat="1" applyFont="1" applyFill="1" applyBorder="1"/>
    <x:xf numFmtId="0" fontId="6" fillId="7" borderId="15" xfId="0" applyNumberFormat="1" applyFont="1" applyFill="1" applyBorder="1"/>
    <x:xf numFmtId="0" fontId="6" fillId="7" borderId="16" xfId="0" applyNumberFormat="1" applyFont="1" applyFill="1" applyBorder="1"/>
    <x:xf numFmtId="0" fontId="6" fillId="7" borderId="17" xfId="0" applyNumberFormat="1" applyFont="1" applyFill="1" applyBorder="1"/>
    <x:xf numFmtId="0" fontId="6" fillId="7" borderId="18" xfId="0" applyNumberFormat="1" applyFont="1" applyFill="1" applyBorder="1"/>
    <x:xf numFmtId="200" fontId="6" fillId="7" borderId="13" xfId="0" applyNumberFormat="1" applyFont="1" applyFill="1" applyBorder="1"/>
    <x:xf numFmtId="200" fontId="6" fillId="7" borderId="14" xfId="0" applyNumberFormat="1" applyFont="1" applyFill="1" applyBorder="1"/>
    <x:xf numFmtId="200" fontId="6" fillId="7" borderId="15" xfId="0" applyNumberFormat="1" applyFont="1" applyFill="1" applyBorder="1"/>
    <x:xf numFmtId="200" fontId="6" fillId="7" borderId="16" xfId="0" applyNumberFormat="1" applyFont="1" applyFill="1" applyBorder="1"/>
    <x:xf numFmtId="200" fontId="6" fillId="7" borderId="17" xfId="0" applyNumberFormat="1" applyFont="1" applyFill="1" applyBorder="1"/>
    <x:xf numFmtId="200" fontId="6" fillId="7" borderId="18" xfId="0" applyNumberFormat="1" applyFont="1" applyFill="1" applyBorder="1"/>
    <x:xf numFmtId="200" fontId="6" fillId="7" borderId="13" xfId="0" applyNumberFormat="1" applyFont="1" applyFill="1" applyBorder="1" applyAlignment="1">
      <x:alignment horizontal="center"/>
    </x:xf>
    <x:xf numFmtId="200" fontId="6" fillId="7" borderId="14" xfId="0" applyNumberFormat="1" applyFont="1" applyFill="1" applyBorder="1" applyAlignment="1">
      <x:alignment horizontal="center"/>
    </x:xf>
    <x:xf numFmtId="200" fontId="6" fillId="7" borderId="15" xfId="0" applyNumberFormat="1" applyFont="1" applyFill="1" applyBorder="1" applyAlignment="1">
      <x:alignment horizontal="center"/>
    </x:xf>
    <x:xf numFmtId="200" fontId="6" fillId="7" borderId="16" xfId="0" applyNumberFormat="1" applyFont="1" applyFill="1" applyBorder="1" applyAlignment="1">
      <x:alignment horizontal="center"/>
    </x:xf>
    <x:xf numFmtId="200" fontId="6" fillId="7" borderId="17" xfId="0" applyNumberFormat="1" applyFont="1" applyFill="1" applyBorder="1" applyAlignment="1">
      <x:alignment horizontal="center"/>
    </x:xf>
    <x:xf numFmtId="200" fontId="6" fillId="7" borderId="18" xfId="0" applyNumberFormat="1" applyFont="1" applyFill="1" applyBorder="1" applyAlignment="1">
      <x:alignment horizontal="center"/>
    </x:xf>
    <x:xf numFmtId="200" fontId="6" fillId="7" borderId="13" xfId="0" applyNumberFormat="1" applyFont="1" applyFill="1" applyBorder="1" applyAlignment="1">
      <x:alignment horizontal="center" vertical="center"/>
    </x:xf>
    <x:xf numFmtId="200" fontId="6" fillId="7" borderId="14" xfId="0" applyNumberFormat="1" applyFont="1" applyFill="1" applyBorder="1" applyAlignment="1">
      <x:alignment horizontal="center" vertical="center"/>
    </x:xf>
    <x:xf numFmtId="200" fontId="6" fillId="7" borderId="15" xfId="0" applyNumberFormat="1" applyFont="1" applyFill="1" applyBorder="1" applyAlignment="1">
      <x:alignment horizontal="center" vertical="center"/>
    </x:xf>
    <x:xf numFmtId="200" fontId="6" fillId="7" borderId="16" xfId="0" applyNumberFormat="1" applyFont="1" applyFill="1" applyBorder="1" applyAlignment="1">
      <x:alignment horizontal="center" vertical="center"/>
    </x:xf>
    <x:xf numFmtId="200" fontId="6" fillId="7" borderId="17" xfId="0" applyNumberFormat="1" applyFont="1" applyFill="1" applyBorder="1" applyAlignment="1">
      <x:alignment horizontal="center" vertical="center"/>
    </x:xf>
    <x:xf numFmtId="200" fontId="6" fillId="7" borderId="18" xfId="0" applyNumberFormat="1" applyFont="1" applyFill="1" applyBorder="1" applyAlignment="1">
      <x:alignment horizontal="center" vertical="center"/>
    </x:xf>
    <x:xf numFmtId="0" fontId="2" fillId="4" borderId="0" xfId="0" applyNumberFormat="1" applyFont="1" applyFill="1" applyBorder="1" applyAlignment="1">
      <x:alignment horizontal="center"/>
    </x:xf>
    <x:xf numFmtId="0" fontId="2" fillId="4" borderId="0" xfId="0" applyNumberFormat="1" applyFont="1" applyFill="1" applyBorder="1" applyAlignment="1">
      <x:alignment horizontal="center" vertical="center"/>
    </x:xf>
    <x:xf numFmtId="0" fontId="7" fillId="7" borderId="0" xfId="0" applyNumberFormat="1" applyFont="1" applyFill="1" applyBorder="1"/>
    <x:xf numFmtId="0" fontId="7" fillId="7" borderId="19" xfId="0" applyNumberFormat="1" applyFont="1" applyFill="1" applyBorder="1"/>
    <x:xf numFmtId="0" fontId="7" fillId="7" borderId="20" xfId="0" applyNumberFormat="1" applyFont="1" applyFill="1" applyBorder="1"/>
    <x:xf numFmtId="0" fontId="7" fillId="7" borderId="21" xfId="0" applyNumberFormat="1" applyFont="1" applyFill="1" applyBorder="1"/>
    <x:xf numFmtId="0" fontId="7" fillId="7" borderId="22" xfId="0" applyNumberFormat="1" applyFont="1" applyFill="1" applyBorder="1"/>
    <x:xf numFmtId="0" fontId="7" fillId="7" borderId="23" xfId="0" applyNumberFormat="1" applyFont="1" applyFill="1" applyBorder="1"/>
    <x:xf numFmtId="0" fontId="7" fillId="7" borderId="24" xfId="0" applyNumberFormat="1" applyFont="1" applyFill="1" applyBorder="1"/>
    <x:xf numFmtId="200" fontId="7" fillId="7" borderId="19" xfId="0" applyNumberFormat="1" applyFont="1" applyFill="1" applyBorder="1"/>
    <x:xf numFmtId="200" fontId="7" fillId="7" borderId="20" xfId="0" applyNumberFormat="1" applyFont="1" applyFill="1" applyBorder="1"/>
    <x:xf numFmtId="200" fontId="7" fillId="7" borderId="21" xfId="0" applyNumberFormat="1" applyFont="1" applyFill="1" applyBorder="1"/>
    <x:xf numFmtId="200" fontId="7" fillId="7" borderId="22" xfId="0" applyNumberFormat="1" applyFont="1" applyFill="1" applyBorder="1"/>
    <x:xf numFmtId="200" fontId="7" fillId="7" borderId="23" xfId="0" applyNumberFormat="1" applyFont="1" applyFill="1" applyBorder="1"/>
    <x:xf numFmtId="200" fontId="7" fillId="7" borderId="24" xfId="0" applyNumberFormat="1" applyFont="1" applyFill="1" applyBorder="1"/>
    <x:xf numFmtId="200" fontId="7" fillId="7" borderId="19" xfId="0" applyNumberFormat="1" applyFont="1" applyFill="1" applyBorder="1" applyAlignment="1">
      <x:alignment horizontal="center"/>
    </x:xf>
    <x:xf numFmtId="200" fontId="7" fillId="7" borderId="20" xfId="0" applyNumberFormat="1" applyFont="1" applyFill="1" applyBorder="1" applyAlignment="1">
      <x:alignment horizontal="center"/>
    </x:xf>
    <x:xf numFmtId="200" fontId="7" fillId="7" borderId="21" xfId="0" applyNumberFormat="1" applyFont="1" applyFill="1" applyBorder="1" applyAlignment="1">
      <x:alignment horizontal="center"/>
    </x:xf>
    <x:xf numFmtId="200" fontId="7" fillId="7" borderId="22" xfId="0" applyNumberFormat="1" applyFont="1" applyFill="1" applyBorder="1" applyAlignment="1">
      <x:alignment horizontal="center"/>
    </x:xf>
    <x:xf numFmtId="200" fontId="7" fillId="7" borderId="23" xfId="0" applyNumberFormat="1" applyFont="1" applyFill="1" applyBorder="1" applyAlignment="1">
      <x:alignment horizontal="center"/>
    </x:xf>
    <x:xf numFmtId="200" fontId="7" fillId="7" borderId="24" xfId="0" applyNumberFormat="1" applyFont="1" applyFill="1" applyBorder="1" applyAlignment="1">
      <x:alignment horizontal="center"/>
    </x:xf>
    <x:xf numFmtId="200" fontId="7" fillId="7" borderId="19" xfId="0" applyNumberFormat="1" applyFont="1" applyFill="1" applyBorder="1" applyAlignment="1">
      <x:alignment horizontal="center" vertical="center"/>
    </x:xf>
    <x:xf numFmtId="200" fontId="7" fillId="7" borderId="20" xfId="0" applyNumberFormat="1" applyFont="1" applyFill="1" applyBorder="1" applyAlignment="1">
      <x:alignment horizontal="center" vertical="center"/>
    </x:xf>
    <x:xf numFmtId="200" fontId="7" fillId="7" borderId="21" xfId="0" applyNumberFormat="1" applyFont="1" applyFill="1" applyBorder="1" applyAlignment="1">
      <x:alignment horizontal="center" vertical="center"/>
    </x:xf>
    <x:xf numFmtId="200" fontId="7" fillId="7" borderId="22" xfId="0" applyNumberFormat="1" applyFont="1" applyFill="1" applyBorder="1" applyAlignment="1">
      <x:alignment horizontal="center" vertical="center"/>
    </x:xf>
    <x:xf numFmtId="200" fontId="7" fillId="7" borderId="23" xfId="0" applyNumberFormat="1" applyFont="1" applyFill="1" applyBorder="1" applyAlignment="1">
      <x:alignment horizontal="center" vertical="center"/>
    </x:xf>
    <x:xf numFmtId="200" fontId="7" fillId="7" borderId="24" xfId="0" applyNumberFormat="1" applyFont="1" applyFill="1" applyBorder="1" applyAlignment="1">
      <x:alignment horizontal="center" vertical="center"/>
    </x:xf>
    <x:xf numFmtId="0" fontId="0" fillId="9" borderId="0" xfId="0" applyNumberFormat="1" applyFont="1" applyFill="1" applyBorder="1"/>
    <x:xf numFmtId="0" fontId="2" fillId="9" borderId="0" xfId="0" applyNumberFormat="1" applyFont="1" applyFill="1" applyBorder="1"/>
    <x:xf numFmtId="0" fontId="2" fillId="9" borderId="0" xfId="0" applyNumberFormat="1" applyFont="1" applyFill="1" applyBorder="1" applyAlignment="1">
      <x:alignment horizontal="center"/>
    </x:xf>
    <x:xf numFmtId="0" fontId="2" fillId="9" borderId="0" xfId="0" applyNumberFormat="1" applyFont="1" applyFill="1" applyBorder="1" applyAlignment="1">
      <x:alignment horizontal="center" vertical="center"/>
    </x:xf>
    <x:xf numFmtId="0" fontId="8" fillId="7" borderId="0" xfId="0" applyNumberFormat="1" applyFont="1" applyFill="1" applyBorder="1"/>
    <x:xf numFmtId="0" fontId="8" fillId="7" borderId="25" xfId="0" applyNumberFormat="1" applyFont="1" applyFill="1" applyBorder="1"/>
    <x:xf numFmtId="0" fontId="8" fillId="7" borderId="26" xfId="0" applyNumberFormat="1" applyFont="1" applyFill="1" applyBorder="1"/>
    <x:xf numFmtId="0" fontId="8" fillId="7" borderId="27" xfId="0" applyNumberFormat="1" applyFont="1" applyFill="1" applyBorder="1"/>
    <x:xf numFmtId="0" fontId="8" fillId="7" borderId="28" xfId="0" applyNumberFormat="1" applyFont="1" applyFill="1" applyBorder="1"/>
    <x:xf numFmtId="0" fontId="8" fillId="7" borderId="29" xfId="0" applyNumberFormat="1" applyFont="1" applyFill="1" applyBorder="1"/>
    <x:xf numFmtId="0" fontId="8" fillId="7" borderId="30" xfId="0" applyNumberFormat="1" applyFont="1" applyFill="1" applyBorder="1"/>
    <x:xf numFmtId="200" fontId="8" fillId="7" borderId="25" xfId="0" applyNumberFormat="1" applyFont="1" applyFill="1" applyBorder="1"/>
    <x:xf numFmtId="200" fontId="8" fillId="7" borderId="26" xfId="0" applyNumberFormat="1" applyFont="1" applyFill="1" applyBorder="1"/>
    <x:xf numFmtId="200" fontId="8" fillId="7" borderId="27" xfId="0" applyNumberFormat="1" applyFont="1" applyFill="1" applyBorder="1"/>
    <x:xf numFmtId="200" fontId="8" fillId="7" borderId="28" xfId="0" applyNumberFormat="1" applyFont="1" applyFill="1" applyBorder="1"/>
    <x:xf numFmtId="200" fontId="8" fillId="7" borderId="29" xfId="0" applyNumberFormat="1" applyFont="1" applyFill="1" applyBorder="1"/>
    <x:xf numFmtId="200" fontId="8" fillId="7" borderId="30" xfId="0" applyNumberFormat="1" applyFont="1" applyFill="1" applyBorder="1"/>
    <x:xf numFmtId="200" fontId="8" fillId="7" borderId="25" xfId="0" applyNumberFormat="1" applyFont="1" applyFill="1" applyBorder="1" applyAlignment="1">
      <x:alignment horizontal="center"/>
    </x:xf>
    <x:xf numFmtId="200" fontId="8" fillId="7" borderId="26" xfId="0" applyNumberFormat="1" applyFont="1" applyFill="1" applyBorder="1" applyAlignment="1">
      <x:alignment horizontal="center"/>
    </x:xf>
    <x:xf numFmtId="200" fontId="8" fillId="7" borderId="27" xfId="0" applyNumberFormat="1" applyFont="1" applyFill="1" applyBorder="1" applyAlignment="1">
      <x:alignment horizontal="center"/>
    </x:xf>
    <x:xf numFmtId="200" fontId="8" fillId="7" borderId="28" xfId="0" applyNumberFormat="1" applyFont="1" applyFill="1" applyBorder="1" applyAlignment="1">
      <x:alignment horizontal="center"/>
    </x:xf>
    <x:xf numFmtId="200" fontId="8" fillId="7" borderId="29" xfId="0" applyNumberFormat="1" applyFont="1" applyFill="1" applyBorder="1" applyAlignment="1">
      <x:alignment horizontal="center"/>
    </x:xf>
    <x:xf numFmtId="200" fontId="8" fillId="7" borderId="30" xfId="0" applyNumberFormat="1" applyFont="1" applyFill="1" applyBorder="1" applyAlignment="1">
      <x:alignment horizontal="center"/>
    </x:xf>
    <x:xf numFmtId="200" fontId="8" fillId="7" borderId="25" xfId="0" applyNumberFormat="1" applyFont="1" applyFill="1" applyBorder="1" applyAlignment="1">
      <x:alignment horizontal="center" vertical="center"/>
    </x:xf>
    <x:xf numFmtId="200" fontId="8" fillId="7" borderId="26" xfId="0" applyNumberFormat="1" applyFont="1" applyFill="1" applyBorder="1" applyAlignment="1">
      <x:alignment horizontal="center" vertical="center"/>
    </x:xf>
    <x:xf numFmtId="200" fontId="8" fillId="7" borderId="27" xfId="0" applyNumberFormat="1" applyFont="1" applyFill="1" applyBorder="1" applyAlignment="1">
      <x:alignment horizontal="center" vertical="center"/>
    </x:xf>
    <x:xf numFmtId="200" fontId="8" fillId="7" borderId="28" xfId="0" applyNumberFormat="1" applyFont="1" applyFill="1" applyBorder="1" applyAlignment="1">
      <x:alignment horizontal="center" vertical="center"/>
    </x:xf>
    <x:xf numFmtId="200" fontId="8" fillId="7" borderId="29" xfId="0" applyNumberFormat="1" applyFont="1" applyFill="1" applyBorder="1" applyAlignment="1">
      <x:alignment horizontal="center" vertical="center"/>
    </x:xf>
    <x:xf numFmtId="200" fontId="8" fillId="7" borderId="30" xfId="0" applyNumberFormat="1" applyFont="1" applyFill="1" applyBorder="1" applyAlignment="1">
      <x:alignment horizontal="center" vertical="center"/>
    </x:xf>
    <x:xf numFmtId="0" fontId="0" fillId="2" borderId="0" xfId="0" applyNumberFormat="1" applyFont="1" applyFill="1" applyBorder="1"/>
    <x:xf numFmtId="0" fontId="2" fillId="2" borderId="0" xfId="0" applyNumberFormat="1" applyFont="1" applyFill="1" applyBorder="1"/>
    <x:xf numFmtId="0" fontId="2" fillId="2" borderId="0" xfId="0" applyNumberFormat="1" applyFont="1" applyFill="1" applyBorder="1" applyAlignment="1">
      <x:alignment wrapText="1"/>
    </x:xf>
    <x:xf numFmtId="0" fontId="2" fillId="2" borderId="0" xfId="0" applyNumberFormat="1" applyFont="1" applyFill="1" applyBorder="1" applyAlignment="1">
      <x:alignment horizontal="center" wrapText="1"/>
    </x:xf>
    <x:xf numFmtId="0" fontId="2" fillId="2" borderId="0" xfId="0" applyNumberFormat="1" applyFont="1" applyFill="1" applyBorder="1" applyAlignment="1">
      <x:alignment horizontal="center" vertical="center" wrapText="1"/>
    </x:xf>
    <x:xf numFmtId="0" fontId="2" fillId="2" borderId="31" xfId="0" applyNumberFormat="1" applyFont="1" applyFill="1" applyBorder="1" applyAlignment="1">
      <x:alignment horizontal="center" vertical="center" wrapText="1"/>
    </x:xf>
    <x:xf numFmtId="0" fontId="0" fillId="0" borderId="31" xfId="0" applyNumberFormat="1" applyFont="1" applyFill="1" applyBorder="1"/>
    <x:xf numFmtId="0" fontId="1" fillId="0" borderId="31" xfId="0" applyNumberFormat="1" applyFont="1" applyFill="1" applyBorder="1"/>
    <x:xf numFmtId="0" fontId="1" fillId="0" borderId="31" xfId="0" applyNumberFormat="1" applyFont="1" applyFill="1" applyBorder="1" applyAlignment="1">
      <x:alignment vertical="center"/>
    </x:xf>
    <x:xf numFmtId="0" fontId="2" fillId="3" borderId="0" xfId="0" applyNumberFormat="1" applyFont="1" applyFill="1" applyBorder="1"/>
    <x:xf numFmtId="0" fontId="2" fillId="3" borderId="0" xfId="0" applyNumberFormat="1" applyFont="1" applyFill="1" applyBorder="1" applyAlignment="1">
      <x:alignment horizontal="center"/>
    </x:xf>
    <x:xf numFmtId="0" fontId="2" fillId="3" borderId="31" xfId="0" applyNumberFormat="1" applyFont="1" applyFill="1" applyBorder="1" applyAlignment="1">
      <x:alignment horizontal="center"/>
    </x:xf>
    <x:xf numFmtId="0" fontId="0" fillId="10" borderId="0" xfId="0" applyNumberFormat="1" applyFont="1" applyFill="1" applyBorder="1"/>
    <x:xf numFmtId="0" fontId="9" fillId="10" borderId="0" xfId="0" applyNumberFormat="1" applyFont="1" applyFill="1" applyBorder="1"/>
    <x:xf numFmtId="0" fontId="9" fillId="10" borderId="19" xfId="0" applyNumberFormat="1" applyFont="1" applyFill="1" applyBorder="1"/>
    <x:xf numFmtId="0" fontId="9" fillId="10" borderId="32" xfId="0" applyNumberFormat="1" applyFont="1" applyFill="1" applyBorder="1"/>
    <x:xf numFmtId="0" fontId="9" fillId="10" borderId="20" xfId="0" applyNumberFormat="1" applyFont="1" applyFill="1" applyBorder="1"/>
    <x:xf numFmtId="0" fontId="9" fillId="10" borderId="21" xfId="0" applyNumberFormat="1" applyFont="1" applyFill="1" applyBorder="1"/>
    <x:xf numFmtId="0" fontId="9" fillId="10" borderId="22" xfId="0" applyNumberFormat="1" applyFont="1" applyFill="1" applyBorder="1"/>
    <x:xf numFmtId="0" fontId="9" fillId="10" borderId="23" xfId="0" applyNumberFormat="1" applyFont="1" applyFill="1" applyBorder="1"/>
    <x:xf numFmtId="0" fontId="9" fillId="10" borderId="33" xfId="0" applyNumberFormat="1" applyFont="1" applyFill="1" applyBorder="1"/>
    <x:xf numFmtId="0" fontId="9" fillId="10" borderId="24" xfId="0" applyNumberFormat="1" applyFont="1" applyFill="1" applyBorder="1"/>
    <x:xf numFmtId="0" fontId="9" fillId="10" borderId="19" xfId="0" applyNumberFormat="1" applyFont="1" applyFill="1" applyBorder="1" applyAlignment="1">
      <x:alignment wrapText="1"/>
    </x:xf>
    <x:xf numFmtId="0" fontId="9" fillId="10" borderId="32" xfId="0" applyNumberFormat="1" applyFont="1" applyFill="1" applyBorder="1" applyAlignment="1">
      <x:alignment wrapText="1"/>
    </x:xf>
    <x:xf numFmtId="0" fontId="9" fillId="10" borderId="20" xfId="0" applyNumberFormat="1" applyFont="1" applyFill="1" applyBorder="1" applyAlignment="1">
      <x:alignment wrapText="1"/>
    </x:xf>
    <x:xf numFmtId="0" fontId="9" fillId="10" borderId="21" xfId="0" applyNumberFormat="1" applyFont="1" applyFill="1" applyBorder="1" applyAlignment="1">
      <x:alignment wrapText="1"/>
    </x:xf>
    <x:xf numFmtId="0" fontId="9" fillId="10" borderId="0" xfId="0" applyNumberFormat="1" applyFont="1" applyFill="1" applyBorder="1" applyAlignment="1">
      <x:alignment wrapText="1"/>
    </x:xf>
    <x:xf numFmtId="0" fontId="9" fillId="10" borderId="22" xfId="0" applyNumberFormat="1" applyFont="1" applyFill="1" applyBorder="1" applyAlignment="1">
      <x:alignment wrapText="1"/>
    </x:xf>
    <x:xf numFmtId="0" fontId="9" fillId="10" borderId="23" xfId="0" applyNumberFormat="1" applyFont="1" applyFill="1" applyBorder="1" applyAlignment="1">
      <x:alignment wrapText="1"/>
    </x:xf>
    <x:xf numFmtId="0" fontId="9" fillId="10" borderId="33" xfId="0" applyNumberFormat="1" applyFont="1" applyFill="1" applyBorder="1" applyAlignment="1">
      <x:alignment wrapText="1"/>
    </x:xf>
    <x:xf numFmtId="0" fontId="9" fillId="10" borderId="24" xfId="0" applyNumberFormat="1" applyFont="1" applyFill="1" applyBorder="1" applyAlignment="1">
      <x:alignment wrapText="1"/>
    </x:xf>
    <x:xf numFmtId="0" fontId="9" fillId="10" borderId="19" xfId="0" applyNumberFormat="1" applyFont="1" applyFill="1" applyBorder="1" applyAlignment="1">
      <x:alignment vertical="top" wrapText="1"/>
    </x:xf>
    <x:xf numFmtId="0" fontId="9" fillId="10" borderId="32" xfId="0" applyNumberFormat="1" applyFont="1" applyFill="1" applyBorder="1" applyAlignment="1">
      <x:alignment vertical="top" wrapText="1"/>
    </x:xf>
    <x:xf numFmtId="0" fontId="9" fillId="10" borderId="20" xfId="0" applyNumberFormat="1" applyFont="1" applyFill="1" applyBorder="1" applyAlignment="1">
      <x:alignment vertical="top" wrapText="1"/>
    </x:xf>
    <x:xf numFmtId="0" fontId="9" fillId="10" borderId="21" xfId="0" applyNumberFormat="1" applyFont="1" applyFill="1" applyBorder="1" applyAlignment="1">
      <x:alignment vertical="top" wrapText="1"/>
    </x:xf>
    <x:xf numFmtId="0" fontId="9" fillId="10" borderId="0" xfId="0" applyNumberFormat="1" applyFont="1" applyFill="1" applyBorder="1" applyAlignment="1">
      <x:alignment vertical="top" wrapText="1"/>
    </x:xf>
    <x:xf numFmtId="0" fontId="9" fillId="10" borderId="22" xfId="0" applyNumberFormat="1" applyFont="1" applyFill="1" applyBorder="1" applyAlignment="1">
      <x:alignment vertical="top" wrapText="1"/>
    </x:xf>
    <x:xf numFmtId="0" fontId="9" fillId="10" borderId="23" xfId="0" applyNumberFormat="1" applyFont="1" applyFill="1" applyBorder="1" applyAlignment="1">
      <x:alignment vertical="top" wrapText="1"/>
    </x:xf>
    <x:xf numFmtId="0" fontId="9" fillId="10" borderId="33" xfId="0" applyNumberFormat="1" applyFont="1" applyFill="1" applyBorder="1" applyAlignment="1">
      <x:alignment vertical="top" wrapText="1"/>
    </x:xf>
    <x:xf numFmtId="0" fontId="9" fillId="10" borderId="24" xfId="0" applyNumberFormat="1" applyFont="1" applyFill="1" applyBorder="1" applyAlignment="1">
      <x:alignment vertical="top" wrapText="1"/>
    </x:xf>
    <x:xf numFmtId="0" fontId="0" fillId="11" borderId="0" xfId="0" applyNumberFormat="1" applyFont="1" applyFill="1" applyBorder="1"/>
    <x:xf numFmtId="0" fontId="10" fillId="11" borderId="0" xfId="0" applyNumberFormat="1" applyFont="1" applyFill="1" applyBorder="1"/>
    <x:xf numFmtId="0" fontId="10" fillId="11" borderId="0" xfId="0" applyNumberFormat="1" applyFont="1" applyFill="1" applyBorder="1" applyAlignment="1">
      <x:alignment vertical="center"/>
    </x:xf>
    <x:xf numFmtId="0" fontId="11" fillId="0" borderId="0" xfId="0" applyNumberFormat="1" applyFont="1" applyFill="1" applyBorder="1"/>
    <x:xf numFmtId="0" fontId="11" fillId="0" borderId="31" xfId="0" applyNumberFormat="1" applyFont="1" applyFill="1" applyBorder="1"/>
    <x:xf numFmtId="0" fontId="0" fillId="0" borderId="0" xfId="0" applyNumberFormat="1" applyFont="1" applyFill="1" applyBorder="1" applyAlignment="1">
      <x:alignment wrapText="1"/>
    </x:xf>
    <x:xf numFmtId="201" fontId="1" fillId="0" borderId="2" xfId="0" applyNumberFormat="1" applyFont="1" applyFill="1" applyBorder="1" applyAlignment="1">
      <x:alignment vertical="center"/>
    </x:xf>
    <x:xf numFmtId="201" fontId="1" fillId="0" borderId="2" xfId="0" applyNumberFormat="1" applyFont="1" applyFill="1" applyBorder="1" applyAlignment="1">
      <x:alignment vertical="center" wrapText="1"/>
    </x:xf>
  </x:cellXfs>
  <x:cellStyles count="1">
    <x:cellStyle name="Normal" xfId="0"/>
  </x:cellStyles>
  <x:dxfs count="240">
    <x:dxf>
      <x:font>
        <x:b/>
        <x:color rgb="FF115E59"/>
      </x:font>
      <x:fill>
        <x:patternFill>
          <x:bgColor rgb="FFDFF4EF"/>
        </x:patternFill>
      </x:fill>
    </x:dxf>
    <x:dxf>
      <x:font>
        <x:b/>
        <x:color rgb="FF15803D"/>
      </x:font>
      <x:fill>
        <x:patternFill>
          <x:bgColor rgb="FFDCFCE7"/>
        </x:patternFill>
      </x:fill>
    </x:dxf>
    <x:dxf>
      <x:font>
        <x:b/>
        <x:color rgb="FF15803D"/>
      </x:font>
      <x:fill>
        <x:patternFill>
          <x:bgColor rgb="FFDCFCE7"/>
        </x:patternFill>
      </x:fill>
    </x:dxf>
    <x:dxf>
      <x:font>
        <x:b/>
        <x:color rgb="FF15803D"/>
      </x:font>
      <x:fill>
        <x:patternFill>
          <x:bgColor rgb="FFDCFCE7"/>
        </x:patternFill>
      </x:fill>
    </x:dxf>
    <x:dxf>
      <x:font>
        <x:b/>
        <x:color rgb="FF15803D"/>
      </x:font>
      <x:fill>
        <x:patternFill>
          <x:bgColor rgb="FFDCFCE7"/>
        </x:patternFill>
      </x:fill>
    </x:dxf>
    <x:dxf>
      <x:font>
        <x:b/>
        <x:color rgb="FF15803D"/>
      </x:font>
      <x:fill>
        <x:patternFill>
          <x:bgColor rgb="FFDCFCE7"/>
        </x:patternFill>
      </x:fill>
    </x:dxf>
    <x:dxf>
      <x:font>
        <x:b/>
        <x:color rgb="FF15803D"/>
      </x:font>
      <x:fill>
        <x:patternFill>
          <x:bgColor rgb="FFDCFCE7"/>
        </x:patternFill>
      </x:fill>
    </x:dxf>
    <x:dxf>
      <x:font>
        <x:b/>
        <x:color rgb="FFB42318"/>
      </x:font>
      <x:fill>
        <x:patternFill>
          <x:bgColor rgb="FFFDE8E5"/>
        </x:patternFill>
      </x:fill>
    </x:dxf>
    <x:dxf>
      <x:font>
        <x:b/>
        <x:color rgb="FF92400E"/>
      </x:font>
      <x:fill>
        <x:patternFill>
          <x:bgColor rgb="FFFEF3C7"/>
        </x:patternFill>
      </x:fill>
    </x:dxf>
    <x:dxf>
      <x:font>
        <x:b/>
        <x:color rgb="FF92400E"/>
      </x:font>
      <x:fill>
        <x:patternFill>
          <x:bgColor rgb="FFFEF3C7"/>
        </x:patternFill>
      </x:fill>
    </x:dxf>
    <x:dxf>
      <x:font>
        <x:b/>
        <x:color rgb="FF475569"/>
      </x:font>
      <x:fill>
        <x:patternFill>
          <x:bgColor rgb="FFF1F5F9"/>
        </x:patternFill>
      </x:fill>
    </x:dxf>
    <x:dxf>
      <x:font>
        <x:b/>
        <x:color rgb="FF475569"/>
      </x:font>
      <x:fill>
        <x:patternFill>
          <x:bgColor rgb="FFF1F5F9"/>
        </x:patternFill>
      </x:fill>
    </x:dxf>
    <x:dxf>
      <x:font>
        <x:b/>
        <x:color rgb="FF475569"/>
      </x:font>
      <x:fill>
        <x:patternFill>
          <x:bgColor rgb="FFF1F5F9"/>
        </x:patternFill>
      </x:fill>
    </x:dxf>
    <x:dxf>
      <x:font>
        <x:b/>
        <x:color rgb="FF075985"/>
      </x:font>
      <x:fill>
        <x:patternFill>
          <x:bgColor rgb="FFDBEAFE"/>
        </x:patternFill>
      </x:fill>
    </x:dxf>
    <x:dxf>
      <x:font>
        <x:b/>
        <x:color rgb="FF075985"/>
      </x:font>
      <x:fill>
        <x:patternFill>
          <x:bgColor rgb="FFE0F2FE"/>
        </x:patternFill>
      </x:fill>
    </x:dxf>
    <x:dxf>
      <x:font>
        <x:b/>
        <x:color rgb="FF115E59"/>
      </x:font>
      <x:fill>
        <x:patternFill>
          <x:bgColor rgb="FFDFF4EF"/>
        </x:patternFill>
      </x:fill>
    </x:dxf>
    <x:dxf>
      <x:font>
        <x:b/>
        <x:color rgb="FF15803D"/>
      </x:font>
      <x:fill>
        <x:patternFill>
          <x:bgColor rgb="FFDCFCE7"/>
        </x:patternFill>
      </x:fill>
    </x:dxf>
    <x:dxf>
      <x:font>
        <x:b/>
        <x:color rgb="FF15803D"/>
      </x:font>
      <x:fill>
        <x:patternFill>
          <x:bgColor rgb="FFDCFCE7"/>
        </x:patternFill>
      </x:fill>
    </x:dxf>
    <x:dxf>
      <x:font>
        <x:b/>
        <x:color rgb="FF15803D"/>
      </x:font>
      <x:fill>
        <x:patternFill>
          <x:bgColor rgb="FFDCFCE7"/>
        </x:patternFill>
      </x:fill>
    </x:dxf>
    <x:dxf>
      <x:font>
        <x:b/>
        <x:color rgb="FF15803D"/>
      </x:font>
      <x:fill>
        <x:patternFill>
          <x:bgColor rgb="FFDCFCE7"/>
        </x:patternFill>
      </x:fill>
    </x:dxf>
    <x:dxf>
      <x:font>
        <x:b/>
        <x:color rgb="FF15803D"/>
      </x:font>
      <x:fill>
        <x:patternFill>
          <x:bgColor rgb="FFDCFCE7"/>
        </x:patternFill>
      </x:fill>
    </x:dxf>
    <x:dxf>
      <x:font>
        <x:b/>
        <x:color rgb="FF15803D"/>
      </x:font>
      <x:fill>
        <x:patternFill>
          <x:bgColor rgb="FFDCFCE7"/>
        </x:patternFill>
      </x:fill>
    </x:dxf>
    <x:dxf>
      <x:font>
        <x:b/>
        <x:color rgb="FFB42318"/>
      </x:font>
      <x:fill>
        <x:patternFill>
          <x:bgColor rgb="FFFDE8E5"/>
        </x:patternFill>
      </x:fill>
    </x:dxf>
    <x:dxf>
      <x:font>
        <x:b/>
        <x:color rgb="FF92400E"/>
      </x:font>
      <x:fill>
        <x:patternFill>
          <x:bgColor rgb="FFFEF3C7"/>
        </x:patternFill>
      </x:fill>
    </x:dxf>
    <x:dxf>
      <x:font>
        <x:b/>
        <x:color rgb="FF92400E"/>
      </x:font>
      <x:fill>
        <x:patternFill>
          <x:bgColor rgb="FFFEF3C7"/>
        </x:patternFill>
      </x:fill>
    </x:dxf>
    <x:dxf>
      <x:font>
        <x:b/>
        <x:color rgb="FF475569"/>
      </x:font>
      <x:fill>
        <x:patternFill>
          <x:bgColor rgb="FFF1F5F9"/>
        </x:patternFill>
      </x:fill>
    </x:dxf>
    <x:dxf>
      <x:font>
        <x:b/>
        <x:color rgb="FF475569"/>
      </x:font>
      <x:fill>
        <x:patternFill>
          <x:bgColor rgb="FFF1F5F9"/>
        </x:patternFill>
      </x:fill>
    </x:dxf>
    <x:dxf>
      <x:font>
        <x:b/>
        <x:color rgb="FF475569"/>
      </x:font>
      <x:fill>
        <x:patternFill>
          <x:bgColor rgb="FFF1F5F9"/>
        </x:patternFill>
      </x:fill>
    </x:dxf>
    <x:dxf>
      <x:font>
        <x:b/>
        <x:color rgb="FF075985"/>
      </x:font>
      <x:fill>
        <x:patternFill>
          <x:bgColor rgb="FFDBEAFE"/>
        </x:patternFill>
      </x:fill>
    </x:dxf>
    <x:dxf>
      <x:font>
        <x:b/>
        <x:color rgb="FF075985"/>
      </x:font>
      <x:fill>
        <x:patternFill>
          <x:bgColor rgb="FFE0F2FE"/>
        </x:patternFill>
      </x:fill>
    </x:dxf>
    <x:dxf>
      <x:font>
        <x:b/>
        <x:color rgb="FF115E59"/>
      </x:font>
      <x:fill>
        <x:patternFill>
          <x:bgColor rgb="FFDFF4EF"/>
        </x:patternFill>
      </x:fill>
    </x:dxf>
    <x:dxf>
      <x:font>
        <x:b/>
        <x:color rgb="FF15803D"/>
      </x:font>
      <x:fill>
        <x:patternFill>
          <x:bgColor rgb="FFDCFCE7"/>
        </x:patternFill>
      </x:fill>
    </x:dxf>
    <x:dxf>
      <x:font>
        <x:b/>
        <x:color rgb="FF15803D"/>
      </x:font>
      <x:fill>
        <x:patternFill>
          <x:bgColor rgb="FFDCFCE7"/>
        </x:patternFill>
      </x:fill>
    </x:dxf>
    <x:dxf>
      <x:font>
        <x:b/>
        <x:color rgb="FF15803D"/>
      </x:font>
      <x:fill>
        <x:patternFill>
          <x:bgColor rgb="FFDCFCE7"/>
        </x:patternFill>
      </x:fill>
    </x:dxf>
    <x:dxf>
      <x:font>
        <x:b/>
        <x:color rgb="FF15803D"/>
      </x:font>
      <x:fill>
        <x:patternFill>
          <x:bgColor rgb="FFDCFCE7"/>
        </x:patternFill>
      </x:fill>
    </x:dxf>
    <x:dxf>
      <x:font>
        <x:b/>
        <x:color rgb="FF15803D"/>
      </x:font>
      <x:fill>
        <x:patternFill>
          <x:bgColor rgb="FFDCFCE7"/>
        </x:patternFill>
      </x:fill>
    </x:dxf>
    <x:dxf>
      <x:font>
        <x:b/>
        <x:color rgb="FF15803D"/>
      </x:font>
      <x:fill>
        <x:patternFill>
          <x:bgColor rgb="FFDCFCE7"/>
        </x:patternFill>
      </x:fill>
    </x:dxf>
    <x:dxf>
      <x:font>
        <x:b/>
        <x:color rgb="FFB42318"/>
      </x:font>
      <x:fill>
        <x:patternFill>
          <x:bgColor rgb="FFFDE8E5"/>
        </x:patternFill>
      </x:fill>
    </x:dxf>
    <x:dxf>
      <x:font>
        <x:b/>
        <x:color rgb="FF92400E"/>
      </x:font>
      <x:fill>
        <x:patternFill>
          <x:bgColor rgb="FFFEF3C7"/>
        </x:patternFill>
      </x:fill>
    </x:dxf>
    <x:dxf>
      <x:font>
        <x:b/>
        <x:color rgb="FF92400E"/>
      </x:font>
      <x:fill>
        <x:patternFill>
          <x:bgColor rgb="FFFEF3C7"/>
        </x:patternFill>
      </x:fill>
    </x:dxf>
    <x:dxf>
      <x:font>
        <x:b/>
        <x:color rgb="FF475569"/>
      </x:font>
      <x:fill>
        <x:patternFill>
          <x:bgColor rgb="FFF1F5F9"/>
        </x:patternFill>
      </x:fill>
    </x:dxf>
    <x:dxf>
      <x:font>
        <x:b/>
        <x:color rgb="FF475569"/>
      </x:font>
      <x:fill>
        <x:patternFill>
          <x:bgColor rgb="FFF1F5F9"/>
        </x:patternFill>
      </x:fill>
    </x:dxf>
    <x:dxf>
      <x:font>
        <x:b/>
        <x:color rgb="FF475569"/>
      </x:font>
      <x:fill>
        <x:patternFill>
          <x:bgColor rgb="FFF1F5F9"/>
        </x:patternFill>
      </x:fill>
    </x:dxf>
    <x:dxf>
      <x:font>
        <x:b/>
        <x:color rgb="FF075985"/>
      </x:font>
      <x:fill>
        <x:patternFill>
          <x:bgColor rgb="FFDBEAFE"/>
        </x:patternFill>
      </x:fill>
    </x:dxf>
    <x:dxf>
      <x:font>
        <x:b/>
        <x:color rgb="FF075985"/>
      </x:font>
      <x:fill>
        <x:patternFill>
          <x:bgColor rgb="FFE0F2FE"/>
        </x:patternFill>
      </x:fill>
    </x:dxf>
    <x:dxf>
      <x:font>
        <x:b/>
        <x:color rgb="FF115E59"/>
      </x:font>
      <x:fill>
        <x:patternFill>
          <x:bgColor rgb="FFDFF4EF"/>
        </x:patternFill>
      </x:fill>
    </x:dxf>
    <x:dxf>
      <x:font>
        <x:b/>
        <x:color rgb="FF15803D"/>
      </x:font>
      <x:fill>
        <x:patternFill>
          <x:bgColor rgb="FFDCFCE7"/>
        </x:patternFill>
      </x:fill>
    </x:dxf>
    <x:dxf>
      <x:font>
        <x:b/>
        <x:color rgb="FF15803D"/>
      </x:font>
      <x:fill>
        <x:patternFill>
          <x:bgColor rgb="FFDCFCE7"/>
        </x:patternFill>
      </x:fill>
    </x:dxf>
    <x:dxf>
      <x:font>
        <x:b/>
        <x:color rgb="FF15803D"/>
      </x:font>
      <x:fill>
        <x:patternFill>
          <x:bgColor rgb="FFDCFCE7"/>
        </x:patternFill>
      </x:fill>
    </x:dxf>
    <x:dxf>
      <x:font>
        <x:b/>
        <x:color rgb="FF15803D"/>
      </x:font>
      <x:fill>
        <x:patternFill>
          <x:bgColor rgb="FFDCFCE7"/>
        </x:patternFill>
      </x:fill>
    </x:dxf>
    <x:dxf>
      <x:font>
        <x:b/>
        <x:color rgb="FF15803D"/>
      </x:font>
      <x:fill>
        <x:patternFill>
          <x:bgColor rgb="FFDCFCE7"/>
        </x:patternFill>
      </x:fill>
    </x:dxf>
    <x:dxf>
      <x:font>
        <x:b/>
        <x:color rgb="FF15803D"/>
      </x:font>
      <x:fill>
        <x:patternFill>
          <x:bgColor rgb="FFDCFCE7"/>
        </x:patternFill>
      </x:fill>
    </x:dxf>
    <x:dxf>
      <x:font>
        <x:b/>
        <x:color rgb="FFB42318"/>
      </x:font>
      <x:fill>
        <x:patternFill>
          <x:bgColor rgb="FFFDE8E5"/>
        </x:patternFill>
      </x:fill>
    </x:dxf>
    <x:dxf>
      <x:font>
        <x:b/>
        <x:color rgb="FF92400E"/>
      </x:font>
      <x:fill>
        <x:patternFill>
          <x:bgColor rgb="FFFEF3C7"/>
        </x:patternFill>
      </x:fill>
    </x:dxf>
    <x:dxf>
      <x:font>
        <x:b/>
        <x:color rgb="FF92400E"/>
      </x:font>
      <x:fill>
        <x:patternFill>
          <x:bgColor rgb="FFFEF3C7"/>
        </x:patternFill>
      </x:fill>
    </x:dxf>
    <x:dxf>
      <x:font>
        <x:b/>
        <x:color rgb="FF475569"/>
      </x:font>
      <x:fill>
        <x:patternFill>
          <x:bgColor rgb="FFF1F5F9"/>
        </x:patternFill>
      </x:fill>
    </x:dxf>
    <x:dxf>
      <x:font>
        <x:b/>
        <x:color rgb="FF475569"/>
      </x:font>
      <x:fill>
        <x:patternFill>
          <x:bgColor rgb="FFF1F5F9"/>
        </x:patternFill>
      </x:fill>
    </x:dxf>
    <x:dxf>
      <x:font>
        <x:b/>
        <x:color rgb="FF475569"/>
      </x:font>
      <x:fill>
        <x:patternFill>
          <x:bgColor rgb="FFF1F5F9"/>
        </x:patternFill>
      </x:fill>
    </x:dxf>
    <x:dxf>
      <x:font>
        <x:b/>
        <x:color rgb="FF075985"/>
      </x:font>
      <x:fill>
        <x:patternFill>
          <x:bgColor rgb="FFDBEAFE"/>
        </x:patternFill>
      </x:fill>
    </x:dxf>
    <x:dxf>
      <x:font>
        <x:b/>
        <x:color rgb="FF075985"/>
      </x:font>
      <x:fill>
        <x:patternFill>
          <x:bgColor rgb="FFE0F2FE"/>
        </x:patternFill>
      </x:fill>
    </x:dxf>
    <x:dxf>
      <x:font>
        <x:b/>
        <x:color rgb="FF115E59"/>
      </x:font>
      <x:fill>
        <x:patternFill>
          <x:bgColor rgb="FFDFF4EF"/>
        </x:patternFill>
      </x:fill>
    </x:dxf>
    <x:dxf>
      <x:font>
        <x:b/>
        <x:color rgb="FF15803D"/>
      </x:font>
      <x:fill>
        <x:patternFill>
          <x:bgColor rgb="FFDCFCE7"/>
        </x:patternFill>
      </x:fill>
    </x:dxf>
    <x:dxf>
      <x:font>
        <x:b/>
        <x:color rgb="FF15803D"/>
      </x:font>
      <x:fill>
        <x:patternFill>
          <x:bgColor rgb="FFDCFCE7"/>
        </x:patternFill>
      </x:fill>
    </x:dxf>
    <x:dxf>
      <x:font>
        <x:b/>
        <x:color rgb="FF15803D"/>
      </x:font>
      <x:fill>
        <x:patternFill>
          <x:bgColor rgb="FFDCFCE7"/>
        </x:patternFill>
      </x:fill>
    </x:dxf>
    <x:dxf>
      <x:font>
        <x:b/>
        <x:color rgb="FF15803D"/>
      </x:font>
      <x:fill>
        <x:patternFill>
          <x:bgColor rgb="FFDCFCE7"/>
        </x:patternFill>
      </x:fill>
    </x:dxf>
    <x:dxf>
      <x:font>
        <x:b/>
        <x:color rgb="FF15803D"/>
      </x:font>
      <x:fill>
        <x:patternFill>
          <x:bgColor rgb="FFDCFCE7"/>
        </x:patternFill>
      </x:fill>
    </x:dxf>
    <x:dxf>
      <x:font>
        <x:b/>
        <x:color rgb="FF15803D"/>
      </x:font>
      <x:fill>
        <x:patternFill>
          <x:bgColor rgb="FFDCFCE7"/>
        </x:patternFill>
      </x:fill>
    </x:dxf>
    <x:dxf>
      <x:font>
        <x:b/>
        <x:color rgb="FFB42318"/>
      </x:font>
      <x:fill>
        <x:patternFill>
          <x:bgColor rgb="FFFDE8E5"/>
        </x:patternFill>
      </x:fill>
    </x:dxf>
    <x:dxf>
      <x:font>
        <x:b/>
        <x:color rgb="FF92400E"/>
      </x:font>
      <x:fill>
        <x:patternFill>
          <x:bgColor rgb="FFFEF3C7"/>
        </x:patternFill>
      </x:fill>
    </x:dxf>
    <x:dxf>
      <x:font>
        <x:b/>
        <x:color rgb="FF92400E"/>
      </x:font>
      <x:fill>
        <x:patternFill>
          <x:bgColor rgb="FFFEF3C7"/>
        </x:patternFill>
      </x:fill>
    </x:dxf>
    <x:dxf>
      <x:font>
        <x:b/>
        <x:color rgb="FF475569"/>
      </x:font>
      <x:fill>
        <x:patternFill>
          <x:bgColor rgb="FFF1F5F9"/>
        </x:patternFill>
      </x:fill>
    </x:dxf>
    <x:dxf>
      <x:font>
        <x:b/>
        <x:color rgb="FF475569"/>
      </x:font>
      <x:fill>
        <x:patternFill>
          <x:bgColor rgb="FFF1F5F9"/>
        </x:patternFill>
      </x:fill>
    </x:dxf>
    <x:dxf>
      <x:font>
        <x:b/>
        <x:color rgb="FF475569"/>
      </x:font>
      <x:fill>
        <x:patternFill>
          <x:bgColor rgb="FFF1F5F9"/>
        </x:patternFill>
      </x:fill>
    </x:dxf>
    <x:dxf>
      <x:font>
        <x:b/>
        <x:color rgb="FF075985"/>
      </x:font>
      <x:fill>
        <x:patternFill>
          <x:bgColor rgb="FFDBEAFE"/>
        </x:patternFill>
      </x:fill>
    </x:dxf>
    <x:dxf>
      <x:font>
        <x:b/>
        <x:color rgb="FF075985"/>
      </x:font>
      <x:fill>
        <x:patternFill>
          <x:bgColor rgb="FFE0F2FE"/>
        </x:patternFill>
      </x:fill>
    </x:dxf>
    <x:dxf>
      <x:font>
        <x:b/>
        <x:color rgb="FF115E59"/>
      </x:font>
      <x:fill>
        <x:patternFill>
          <x:bgColor rgb="FFDFF4EF"/>
        </x:patternFill>
      </x:fill>
    </x:dxf>
    <x:dxf>
      <x:font>
        <x:b/>
        <x:color rgb="FF15803D"/>
      </x:font>
      <x:fill>
        <x:patternFill>
          <x:bgColor rgb="FFDCFCE7"/>
        </x:patternFill>
      </x:fill>
    </x:dxf>
    <x:dxf>
      <x:font>
        <x:b/>
        <x:color rgb="FF15803D"/>
      </x:font>
      <x:fill>
        <x:patternFill>
          <x:bgColor rgb="FFDCFCE7"/>
        </x:patternFill>
      </x:fill>
    </x:dxf>
    <x:dxf>
      <x:font>
        <x:b/>
        <x:color rgb="FF15803D"/>
      </x:font>
      <x:fill>
        <x:patternFill>
          <x:bgColor rgb="FFDCFCE7"/>
        </x:patternFill>
      </x:fill>
    </x:dxf>
    <x:dxf>
      <x:font>
        <x:b/>
        <x:color rgb="FF15803D"/>
      </x:font>
      <x:fill>
        <x:patternFill>
          <x:bgColor rgb="FFDCFCE7"/>
        </x:patternFill>
      </x:fill>
    </x:dxf>
    <x:dxf>
      <x:font>
        <x:b/>
        <x:color rgb="FF15803D"/>
      </x:font>
      <x:fill>
        <x:patternFill>
          <x:bgColor rgb="FFDCFCE7"/>
        </x:patternFill>
      </x:fill>
    </x:dxf>
    <x:dxf>
      <x:font>
        <x:b/>
        <x:color rgb="FF15803D"/>
      </x:font>
      <x:fill>
        <x:patternFill>
          <x:bgColor rgb="FFDCFCE7"/>
        </x:patternFill>
      </x:fill>
    </x:dxf>
    <x:dxf>
      <x:font>
        <x:b/>
        <x:color rgb="FFB42318"/>
      </x:font>
      <x:fill>
        <x:patternFill>
          <x:bgColor rgb="FFFDE8E5"/>
        </x:patternFill>
      </x:fill>
    </x:dxf>
    <x:dxf>
      <x:font>
        <x:b/>
        <x:color rgb="FF92400E"/>
      </x:font>
      <x:fill>
        <x:patternFill>
          <x:bgColor rgb="FFFEF3C7"/>
        </x:patternFill>
      </x:fill>
    </x:dxf>
    <x:dxf>
      <x:font>
        <x:b/>
        <x:color rgb="FF92400E"/>
      </x:font>
      <x:fill>
        <x:patternFill>
          <x:bgColor rgb="FFFEF3C7"/>
        </x:patternFill>
      </x:fill>
    </x:dxf>
    <x:dxf>
      <x:font>
        <x:b/>
        <x:color rgb="FF475569"/>
      </x:font>
      <x:fill>
        <x:patternFill>
          <x:bgColor rgb="FFF1F5F9"/>
        </x:patternFill>
      </x:fill>
    </x:dxf>
    <x:dxf>
      <x:font>
        <x:b/>
        <x:color rgb="FF475569"/>
      </x:font>
      <x:fill>
        <x:patternFill>
          <x:bgColor rgb="FFF1F5F9"/>
        </x:patternFill>
      </x:fill>
    </x:dxf>
    <x:dxf>
      <x:font>
        <x:b/>
        <x:color rgb="FF475569"/>
      </x:font>
      <x:fill>
        <x:patternFill>
          <x:bgColor rgb="FFF1F5F9"/>
        </x:patternFill>
      </x:fill>
    </x:dxf>
    <x:dxf>
      <x:font>
        <x:b/>
        <x:color rgb="FF075985"/>
      </x:font>
      <x:fill>
        <x:patternFill>
          <x:bgColor rgb="FFDBEAFE"/>
        </x:patternFill>
      </x:fill>
    </x:dxf>
    <x:dxf>
      <x:font>
        <x:b/>
        <x:color rgb="FF075985"/>
      </x:font>
      <x:fill>
        <x:patternFill>
          <x:bgColor rgb="FFE0F2FE"/>
        </x:patternFill>
      </x:fill>
    </x:dxf>
    <x:dxf>
      <x:font>
        <x:b/>
        <x:color rgb="FF115E59"/>
      </x:font>
      <x:fill>
        <x:patternFill>
          <x:bgColor rgb="FFDFF4EF"/>
        </x:patternFill>
      </x:fill>
    </x:dxf>
    <x:dxf>
      <x:font>
        <x:b/>
        <x:color rgb="FF15803D"/>
      </x:font>
      <x:fill>
        <x:patternFill>
          <x:bgColor rgb="FFDCFCE7"/>
        </x:patternFill>
      </x:fill>
    </x:dxf>
    <x:dxf>
      <x:font>
        <x:b/>
        <x:color rgb="FF15803D"/>
      </x:font>
      <x:fill>
        <x:patternFill>
          <x:bgColor rgb="FFDCFCE7"/>
        </x:patternFill>
      </x:fill>
    </x:dxf>
    <x:dxf>
      <x:font>
        <x:b/>
        <x:color rgb="FF15803D"/>
      </x:font>
      <x:fill>
        <x:patternFill>
          <x:bgColor rgb="FFDCFCE7"/>
        </x:patternFill>
      </x:fill>
    </x:dxf>
    <x:dxf>
      <x:font>
        <x:b/>
        <x:color rgb="FF15803D"/>
      </x:font>
      <x:fill>
        <x:patternFill>
          <x:bgColor rgb="FFDCFCE7"/>
        </x:patternFill>
      </x:fill>
    </x:dxf>
    <x:dxf>
      <x:font>
        <x:b/>
        <x:color rgb="FF15803D"/>
      </x:font>
      <x:fill>
        <x:patternFill>
          <x:bgColor rgb="FFDCFCE7"/>
        </x:patternFill>
      </x:fill>
    </x:dxf>
    <x:dxf>
      <x:font>
        <x:b/>
        <x:color rgb="FF15803D"/>
      </x:font>
      <x:fill>
        <x:patternFill>
          <x:bgColor rgb="FFDCFCE7"/>
        </x:patternFill>
      </x:fill>
    </x:dxf>
    <x:dxf>
      <x:font>
        <x:b/>
        <x:color rgb="FFB42318"/>
      </x:font>
      <x:fill>
        <x:patternFill>
          <x:bgColor rgb="FFFDE8E5"/>
        </x:patternFill>
      </x:fill>
    </x:dxf>
    <x:dxf>
      <x:font>
        <x:b/>
        <x:color rgb="FF92400E"/>
      </x:font>
      <x:fill>
        <x:patternFill>
          <x:bgColor rgb="FFFEF3C7"/>
        </x:patternFill>
      </x:fill>
    </x:dxf>
    <x:dxf>
      <x:font>
        <x:b/>
        <x:color rgb="FF92400E"/>
      </x:font>
      <x:fill>
        <x:patternFill>
          <x:bgColor rgb="FFFEF3C7"/>
        </x:patternFill>
      </x:fill>
    </x:dxf>
    <x:dxf>
      <x:font>
        <x:b/>
        <x:color rgb="FF475569"/>
      </x:font>
      <x:fill>
        <x:patternFill>
          <x:bgColor rgb="FFF1F5F9"/>
        </x:patternFill>
      </x:fill>
    </x:dxf>
    <x:dxf>
      <x:font>
        <x:b/>
        <x:color rgb="FF475569"/>
      </x:font>
      <x:fill>
        <x:patternFill>
          <x:bgColor rgb="FFF1F5F9"/>
        </x:patternFill>
      </x:fill>
    </x:dxf>
    <x:dxf>
      <x:font>
        <x:b/>
        <x:color rgb="FF475569"/>
      </x:font>
      <x:fill>
        <x:patternFill>
          <x:bgColor rgb="FFF1F5F9"/>
        </x:patternFill>
      </x:fill>
    </x:dxf>
    <x:dxf>
      <x:font>
        <x:b/>
        <x:color rgb="FF075985"/>
      </x:font>
      <x:fill>
        <x:patternFill>
          <x:bgColor rgb="FFDBEAFE"/>
        </x:patternFill>
      </x:fill>
    </x:dxf>
    <x:dxf>
      <x:font>
        <x:b/>
        <x:color rgb="FF075985"/>
      </x:font>
      <x:fill>
        <x:patternFill>
          <x:bgColor rgb="FFE0F2FE"/>
        </x:patternFill>
      </x:fill>
    </x:dxf>
    <x:dxf>
      <x:font>
        <x:b/>
        <x:color rgb="FF115E59"/>
      </x:font>
      <x:fill>
        <x:patternFill>
          <x:bgColor rgb="FFDFF4EF"/>
        </x:patternFill>
      </x:fill>
    </x:dxf>
    <x:dxf>
      <x:font>
        <x:b/>
        <x:color rgb="FF15803D"/>
      </x:font>
      <x:fill>
        <x:patternFill>
          <x:bgColor rgb="FFDCFCE7"/>
        </x:patternFill>
      </x:fill>
    </x:dxf>
    <x:dxf>
      <x:font>
        <x:b/>
        <x:color rgb="FF15803D"/>
      </x:font>
      <x:fill>
        <x:patternFill>
          <x:bgColor rgb="FFDCFCE7"/>
        </x:patternFill>
      </x:fill>
    </x:dxf>
    <x:dxf>
      <x:font>
        <x:b/>
        <x:color rgb="FF15803D"/>
      </x:font>
      <x:fill>
        <x:patternFill>
          <x:bgColor rgb="FFDCFCE7"/>
        </x:patternFill>
      </x:fill>
    </x:dxf>
    <x:dxf>
      <x:font>
        <x:b/>
        <x:color rgb="FF15803D"/>
      </x:font>
      <x:fill>
        <x:patternFill>
          <x:bgColor rgb="FFDCFCE7"/>
        </x:patternFill>
      </x:fill>
    </x:dxf>
    <x:dxf>
      <x:font>
        <x:b/>
        <x:color rgb="FF15803D"/>
      </x:font>
      <x:fill>
        <x:patternFill>
          <x:bgColor rgb="FFDCFCE7"/>
        </x:patternFill>
      </x:fill>
    </x:dxf>
    <x:dxf>
      <x:font>
        <x:b/>
        <x:color rgb="FF15803D"/>
      </x:font>
      <x:fill>
        <x:patternFill>
          <x:bgColor rgb="FFDCFCE7"/>
        </x:patternFill>
      </x:fill>
    </x:dxf>
    <x:dxf>
      <x:font>
        <x:b/>
        <x:color rgb="FFB42318"/>
      </x:font>
      <x:fill>
        <x:patternFill>
          <x:bgColor rgb="FFFDE8E5"/>
        </x:patternFill>
      </x:fill>
    </x:dxf>
    <x:dxf>
      <x:font>
        <x:b/>
        <x:color rgb="FF92400E"/>
      </x:font>
      <x:fill>
        <x:patternFill>
          <x:bgColor rgb="FFFEF3C7"/>
        </x:patternFill>
      </x:fill>
    </x:dxf>
    <x:dxf>
      <x:font>
        <x:b/>
        <x:color rgb="FF92400E"/>
      </x:font>
      <x:fill>
        <x:patternFill>
          <x:bgColor rgb="FFFEF3C7"/>
        </x:patternFill>
      </x:fill>
    </x:dxf>
    <x:dxf>
      <x:font>
        <x:b/>
        <x:color rgb="FF475569"/>
      </x:font>
      <x:fill>
        <x:patternFill>
          <x:bgColor rgb="FFF1F5F9"/>
        </x:patternFill>
      </x:fill>
    </x:dxf>
    <x:dxf>
      <x:font>
        <x:b/>
        <x:color rgb="FF475569"/>
      </x:font>
      <x:fill>
        <x:patternFill>
          <x:bgColor rgb="FFF1F5F9"/>
        </x:patternFill>
      </x:fill>
    </x:dxf>
    <x:dxf>
      <x:font>
        <x:b/>
        <x:color rgb="FF475569"/>
      </x:font>
      <x:fill>
        <x:patternFill>
          <x:bgColor rgb="FFF1F5F9"/>
        </x:patternFill>
      </x:fill>
    </x:dxf>
    <x:dxf>
      <x:font>
        <x:b/>
        <x:color rgb="FF075985"/>
      </x:font>
      <x:fill>
        <x:patternFill>
          <x:bgColor rgb="FFDBEAFE"/>
        </x:patternFill>
      </x:fill>
    </x:dxf>
    <x:dxf>
      <x:font>
        <x:b/>
        <x:color rgb="FF075985"/>
      </x:font>
      <x:fill>
        <x:patternFill>
          <x:bgColor rgb="FFE0F2FE"/>
        </x:patternFill>
      </x:fill>
    </x:dxf>
    <x:dxf>
      <x:font>
        <x:b/>
        <x:color rgb="FF115E59"/>
      </x:font>
      <x:fill>
        <x:patternFill>
          <x:bgColor rgb="FFDFF4EF"/>
        </x:patternFill>
      </x:fill>
    </x:dxf>
    <x:dxf>
      <x:font>
        <x:b/>
        <x:color rgb="FF15803D"/>
      </x:font>
      <x:fill>
        <x:patternFill>
          <x:bgColor rgb="FFDCFCE7"/>
        </x:patternFill>
      </x:fill>
    </x:dxf>
    <x:dxf>
      <x:font>
        <x:b/>
        <x:color rgb="FF15803D"/>
      </x:font>
      <x:fill>
        <x:patternFill>
          <x:bgColor rgb="FFDCFCE7"/>
        </x:patternFill>
      </x:fill>
    </x:dxf>
    <x:dxf>
      <x:font>
        <x:b/>
        <x:color rgb="FF15803D"/>
      </x:font>
      <x:fill>
        <x:patternFill>
          <x:bgColor rgb="FFDCFCE7"/>
        </x:patternFill>
      </x:fill>
    </x:dxf>
    <x:dxf>
      <x:font>
        <x:b/>
        <x:color rgb="FF15803D"/>
      </x:font>
      <x:fill>
        <x:patternFill>
          <x:bgColor rgb="FFDCFCE7"/>
        </x:patternFill>
      </x:fill>
    </x:dxf>
    <x:dxf>
      <x:font>
        <x:b/>
        <x:color rgb="FF15803D"/>
      </x:font>
      <x:fill>
        <x:patternFill>
          <x:bgColor rgb="FFDCFCE7"/>
        </x:patternFill>
      </x:fill>
    </x:dxf>
    <x:dxf>
      <x:font>
        <x:b/>
        <x:color rgb="FF15803D"/>
      </x:font>
      <x:fill>
        <x:patternFill>
          <x:bgColor rgb="FFDCFCE7"/>
        </x:patternFill>
      </x:fill>
    </x:dxf>
    <x:dxf>
      <x:font>
        <x:b/>
        <x:color rgb="FFB42318"/>
      </x:font>
      <x:fill>
        <x:patternFill>
          <x:bgColor rgb="FFFDE8E5"/>
        </x:patternFill>
      </x:fill>
    </x:dxf>
    <x:dxf>
      <x:font>
        <x:b/>
        <x:color rgb="FF92400E"/>
      </x:font>
      <x:fill>
        <x:patternFill>
          <x:bgColor rgb="FFFEF3C7"/>
        </x:patternFill>
      </x:fill>
    </x:dxf>
    <x:dxf>
      <x:font>
        <x:b/>
        <x:color rgb="FF92400E"/>
      </x:font>
      <x:fill>
        <x:patternFill>
          <x:bgColor rgb="FFFEF3C7"/>
        </x:patternFill>
      </x:fill>
    </x:dxf>
    <x:dxf>
      <x:font>
        <x:b/>
        <x:color rgb="FF475569"/>
      </x:font>
      <x:fill>
        <x:patternFill>
          <x:bgColor rgb="FFF1F5F9"/>
        </x:patternFill>
      </x:fill>
    </x:dxf>
    <x:dxf>
      <x:font>
        <x:b/>
        <x:color rgb="FF475569"/>
      </x:font>
      <x:fill>
        <x:patternFill>
          <x:bgColor rgb="FFF1F5F9"/>
        </x:patternFill>
      </x:fill>
    </x:dxf>
    <x:dxf>
      <x:font>
        <x:b/>
        <x:color rgb="FF475569"/>
      </x:font>
      <x:fill>
        <x:patternFill>
          <x:bgColor rgb="FFF1F5F9"/>
        </x:patternFill>
      </x:fill>
    </x:dxf>
    <x:dxf>
      <x:font>
        <x:b/>
        <x:color rgb="FF075985"/>
      </x:font>
      <x:fill>
        <x:patternFill>
          <x:bgColor rgb="FFDBEAFE"/>
        </x:patternFill>
      </x:fill>
    </x:dxf>
    <x:dxf>
      <x:font>
        <x:b/>
        <x:color rgb="FF075985"/>
      </x:font>
      <x:fill>
        <x:patternFill>
          <x:bgColor rgb="FFE0F2FE"/>
        </x:patternFill>
      </x:fill>
    </x:dxf>
    <x:dxf>
      <x:font>
        <x:b/>
        <x:color rgb="FF115E59"/>
      </x:font>
      <x:fill>
        <x:patternFill>
          <x:bgColor rgb="FFDFF4EF"/>
        </x:patternFill>
      </x:fill>
    </x:dxf>
    <x:dxf>
      <x:font>
        <x:b/>
        <x:color rgb="FF15803D"/>
      </x:font>
      <x:fill>
        <x:patternFill>
          <x:bgColor rgb="FFDCFCE7"/>
        </x:patternFill>
      </x:fill>
    </x:dxf>
    <x:dxf>
      <x:font>
        <x:b/>
        <x:color rgb="FF15803D"/>
      </x:font>
      <x:fill>
        <x:patternFill>
          <x:bgColor rgb="FFDCFCE7"/>
        </x:patternFill>
      </x:fill>
    </x:dxf>
    <x:dxf>
      <x:font>
        <x:b/>
        <x:color rgb="FF15803D"/>
      </x:font>
      <x:fill>
        <x:patternFill>
          <x:bgColor rgb="FFDCFCE7"/>
        </x:patternFill>
      </x:fill>
    </x:dxf>
    <x:dxf>
      <x:font>
        <x:b/>
        <x:color rgb="FF15803D"/>
      </x:font>
      <x:fill>
        <x:patternFill>
          <x:bgColor rgb="FFDCFCE7"/>
        </x:patternFill>
      </x:fill>
    </x:dxf>
    <x:dxf>
      <x:font>
        <x:b/>
        <x:color rgb="FF15803D"/>
      </x:font>
      <x:fill>
        <x:patternFill>
          <x:bgColor rgb="FFDCFCE7"/>
        </x:patternFill>
      </x:fill>
    </x:dxf>
    <x:dxf>
      <x:font>
        <x:b/>
        <x:color rgb="FF15803D"/>
      </x:font>
      <x:fill>
        <x:patternFill>
          <x:bgColor rgb="FFDCFCE7"/>
        </x:patternFill>
      </x:fill>
    </x:dxf>
    <x:dxf>
      <x:font>
        <x:b/>
        <x:color rgb="FFB42318"/>
      </x:font>
      <x:fill>
        <x:patternFill>
          <x:bgColor rgb="FFFDE8E5"/>
        </x:patternFill>
      </x:fill>
    </x:dxf>
    <x:dxf>
      <x:font>
        <x:b/>
        <x:color rgb="FF92400E"/>
      </x:font>
      <x:fill>
        <x:patternFill>
          <x:bgColor rgb="FFFEF3C7"/>
        </x:patternFill>
      </x:fill>
    </x:dxf>
    <x:dxf>
      <x:font>
        <x:b/>
        <x:color rgb="FF92400E"/>
      </x:font>
      <x:fill>
        <x:patternFill>
          <x:bgColor rgb="FFFEF3C7"/>
        </x:patternFill>
      </x:fill>
    </x:dxf>
    <x:dxf>
      <x:font>
        <x:b/>
        <x:color rgb="FF475569"/>
      </x:font>
      <x:fill>
        <x:patternFill>
          <x:bgColor rgb="FFF1F5F9"/>
        </x:patternFill>
      </x:fill>
    </x:dxf>
    <x:dxf>
      <x:font>
        <x:b/>
        <x:color rgb="FF475569"/>
      </x:font>
      <x:fill>
        <x:patternFill>
          <x:bgColor rgb="FFF1F5F9"/>
        </x:patternFill>
      </x:fill>
    </x:dxf>
    <x:dxf>
      <x:font>
        <x:b/>
        <x:color rgb="FF475569"/>
      </x:font>
      <x:fill>
        <x:patternFill>
          <x:bgColor rgb="FFF1F5F9"/>
        </x:patternFill>
      </x:fill>
    </x:dxf>
    <x:dxf>
      <x:font>
        <x:b/>
        <x:color rgb="FF075985"/>
      </x:font>
      <x:fill>
        <x:patternFill>
          <x:bgColor rgb="FFDBEAFE"/>
        </x:patternFill>
      </x:fill>
    </x:dxf>
    <x:dxf>
      <x:font>
        <x:b/>
        <x:color rgb="FF075985"/>
      </x:font>
      <x:fill>
        <x:patternFill>
          <x:bgColor rgb="FFE0F2FE"/>
        </x:patternFill>
      </x:fill>
    </x:dxf>
    <x:dxf>
      <x:font>
        <x:b/>
        <x:color rgb="FF115E59"/>
      </x:font>
      <x:fill>
        <x:patternFill>
          <x:bgColor rgb="FFDFF4EF"/>
        </x:patternFill>
      </x:fill>
    </x:dxf>
    <x:dxf>
      <x:font>
        <x:b/>
        <x:color rgb="FF15803D"/>
      </x:font>
      <x:fill>
        <x:patternFill>
          <x:bgColor rgb="FFDCFCE7"/>
        </x:patternFill>
      </x:fill>
    </x:dxf>
    <x:dxf>
      <x:font>
        <x:b/>
        <x:color rgb="FF15803D"/>
      </x:font>
      <x:fill>
        <x:patternFill>
          <x:bgColor rgb="FFDCFCE7"/>
        </x:patternFill>
      </x:fill>
    </x:dxf>
    <x:dxf>
      <x:font>
        <x:b/>
        <x:color rgb="FF15803D"/>
      </x:font>
      <x:fill>
        <x:patternFill>
          <x:bgColor rgb="FFDCFCE7"/>
        </x:patternFill>
      </x:fill>
    </x:dxf>
    <x:dxf>
      <x:font>
        <x:b/>
        <x:color rgb="FF15803D"/>
      </x:font>
      <x:fill>
        <x:patternFill>
          <x:bgColor rgb="FFDCFCE7"/>
        </x:patternFill>
      </x:fill>
    </x:dxf>
    <x:dxf>
      <x:font>
        <x:b/>
        <x:color rgb="FF15803D"/>
      </x:font>
      <x:fill>
        <x:patternFill>
          <x:bgColor rgb="FFDCFCE7"/>
        </x:patternFill>
      </x:fill>
    </x:dxf>
    <x:dxf>
      <x:font>
        <x:b/>
        <x:color rgb="FF15803D"/>
      </x:font>
      <x:fill>
        <x:patternFill>
          <x:bgColor rgb="FFDCFCE7"/>
        </x:patternFill>
      </x:fill>
    </x:dxf>
    <x:dxf>
      <x:font>
        <x:b/>
        <x:color rgb="FFB42318"/>
      </x:font>
      <x:fill>
        <x:patternFill>
          <x:bgColor rgb="FFFDE8E5"/>
        </x:patternFill>
      </x:fill>
    </x:dxf>
    <x:dxf>
      <x:font>
        <x:b/>
        <x:color rgb="FF92400E"/>
      </x:font>
      <x:fill>
        <x:patternFill>
          <x:bgColor rgb="FFFEF3C7"/>
        </x:patternFill>
      </x:fill>
    </x:dxf>
    <x:dxf>
      <x:font>
        <x:b/>
        <x:color rgb="FF92400E"/>
      </x:font>
      <x:fill>
        <x:patternFill>
          <x:bgColor rgb="FFFEF3C7"/>
        </x:patternFill>
      </x:fill>
    </x:dxf>
    <x:dxf>
      <x:font>
        <x:b/>
        <x:color rgb="FF475569"/>
      </x:font>
      <x:fill>
        <x:patternFill>
          <x:bgColor rgb="FFF1F5F9"/>
        </x:patternFill>
      </x:fill>
    </x:dxf>
    <x:dxf>
      <x:font>
        <x:b/>
        <x:color rgb="FF475569"/>
      </x:font>
      <x:fill>
        <x:patternFill>
          <x:bgColor rgb="FFF1F5F9"/>
        </x:patternFill>
      </x:fill>
    </x:dxf>
    <x:dxf>
      <x:font>
        <x:b/>
        <x:color rgb="FF475569"/>
      </x:font>
      <x:fill>
        <x:patternFill>
          <x:bgColor rgb="FFF1F5F9"/>
        </x:patternFill>
      </x:fill>
    </x:dxf>
    <x:dxf>
      <x:font>
        <x:b/>
        <x:color rgb="FF075985"/>
      </x:font>
      <x:fill>
        <x:patternFill>
          <x:bgColor rgb="FFDBEAFE"/>
        </x:patternFill>
      </x:fill>
    </x:dxf>
    <x:dxf>
      <x:font>
        <x:b/>
        <x:color rgb="FF075985"/>
      </x:font>
      <x:fill>
        <x:patternFill>
          <x:bgColor rgb="FFE0F2FE"/>
        </x:patternFill>
      </x:fill>
    </x:dxf>
    <x:dxf>
      <x:font>
        <x:b/>
        <x:color rgb="FF115E59"/>
      </x:font>
      <x:fill>
        <x:patternFill>
          <x:bgColor rgb="FFDFF4EF"/>
        </x:patternFill>
      </x:fill>
    </x:dxf>
    <x:dxf>
      <x:font>
        <x:b/>
        <x:color rgb="FF15803D"/>
      </x:font>
      <x:fill>
        <x:patternFill>
          <x:bgColor rgb="FFDCFCE7"/>
        </x:patternFill>
      </x:fill>
    </x:dxf>
    <x:dxf>
      <x:font>
        <x:b/>
        <x:color rgb="FF15803D"/>
      </x:font>
      <x:fill>
        <x:patternFill>
          <x:bgColor rgb="FFDCFCE7"/>
        </x:patternFill>
      </x:fill>
    </x:dxf>
    <x:dxf>
      <x:font>
        <x:b/>
        <x:color rgb="FF15803D"/>
      </x:font>
      <x:fill>
        <x:patternFill>
          <x:bgColor rgb="FFDCFCE7"/>
        </x:patternFill>
      </x:fill>
    </x:dxf>
    <x:dxf>
      <x:font>
        <x:b/>
        <x:color rgb="FF15803D"/>
      </x:font>
      <x:fill>
        <x:patternFill>
          <x:bgColor rgb="FFDCFCE7"/>
        </x:patternFill>
      </x:fill>
    </x:dxf>
    <x:dxf>
      <x:font>
        <x:b/>
        <x:color rgb="FF15803D"/>
      </x:font>
      <x:fill>
        <x:patternFill>
          <x:bgColor rgb="FFDCFCE7"/>
        </x:patternFill>
      </x:fill>
    </x:dxf>
    <x:dxf>
      <x:font>
        <x:b/>
        <x:color rgb="FF15803D"/>
      </x:font>
      <x:fill>
        <x:patternFill>
          <x:bgColor rgb="FFDCFCE7"/>
        </x:patternFill>
      </x:fill>
    </x:dxf>
    <x:dxf>
      <x:font>
        <x:b/>
        <x:color rgb="FFB42318"/>
      </x:font>
      <x:fill>
        <x:patternFill>
          <x:bgColor rgb="FFFDE8E5"/>
        </x:patternFill>
      </x:fill>
    </x:dxf>
    <x:dxf>
      <x:font>
        <x:b/>
        <x:color rgb="FF92400E"/>
      </x:font>
      <x:fill>
        <x:patternFill>
          <x:bgColor rgb="FFFEF3C7"/>
        </x:patternFill>
      </x:fill>
    </x:dxf>
    <x:dxf>
      <x:font>
        <x:b/>
        <x:color rgb="FF92400E"/>
      </x:font>
      <x:fill>
        <x:patternFill>
          <x:bgColor rgb="FFFEF3C7"/>
        </x:patternFill>
      </x:fill>
    </x:dxf>
    <x:dxf>
      <x:font>
        <x:b/>
        <x:color rgb="FF475569"/>
      </x:font>
      <x:fill>
        <x:patternFill>
          <x:bgColor rgb="FFF1F5F9"/>
        </x:patternFill>
      </x:fill>
    </x:dxf>
    <x:dxf>
      <x:font>
        <x:b/>
        <x:color rgb="FF475569"/>
      </x:font>
      <x:fill>
        <x:patternFill>
          <x:bgColor rgb="FFF1F5F9"/>
        </x:patternFill>
      </x:fill>
    </x:dxf>
    <x:dxf>
      <x:font>
        <x:b/>
        <x:color rgb="FF475569"/>
      </x:font>
      <x:fill>
        <x:patternFill>
          <x:bgColor rgb="FFF1F5F9"/>
        </x:patternFill>
      </x:fill>
    </x:dxf>
    <x:dxf>
      <x:font>
        <x:b/>
        <x:color rgb="FF075985"/>
      </x:font>
      <x:fill>
        <x:patternFill>
          <x:bgColor rgb="FFDBEAFE"/>
        </x:patternFill>
      </x:fill>
    </x:dxf>
    <x:dxf>
      <x:font>
        <x:b/>
        <x:color rgb="FF075985"/>
      </x:font>
      <x:fill>
        <x:patternFill>
          <x:bgColor rgb="FFE0F2FE"/>
        </x:patternFill>
      </x:fill>
    </x:dxf>
    <x:dxf>
      <x:font>
        <x:b/>
        <x:color rgb="FF115E59"/>
      </x:font>
      <x:fill>
        <x:patternFill>
          <x:bgColor rgb="FFDFF4EF"/>
        </x:patternFill>
      </x:fill>
    </x:dxf>
    <x:dxf>
      <x:font>
        <x:b/>
        <x:color rgb="FF15803D"/>
      </x:font>
      <x:fill>
        <x:patternFill>
          <x:bgColor rgb="FFDCFCE7"/>
        </x:patternFill>
      </x:fill>
    </x:dxf>
    <x:dxf>
      <x:font>
        <x:b/>
        <x:color rgb="FF15803D"/>
      </x:font>
      <x:fill>
        <x:patternFill>
          <x:bgColor rgb="FFDCFCE7"/>
        </x:patternFill>
      </x:fill>
    </x:dxf>
    <x:dxf>
      <x:font>
        <x:b/>
        <x:color rgb="FF15803D"/>
      </x:font>
      <x:fill>
        <x:patternFill>
          <x:bgColor rgb="FFDCFCE7"/>
        </x:patternFill>
      </x:fill>
    </x:dxf>
    <x:dxf>
      <x:font>
        <x:b/>
        <x:color rgb="FF15803D"/>
      </x:font>
      <x:fill>
        <x:patternFill>
          <x:bgColor rgb="FFDCFCE7"/>
        </x:patternFill>
      </x:fill>
    </x:dxf>
    <x:dxf>
      <x:font>
        <x:b/>
        <x:color rgb="FF15803D"/>
      </x:font>
      <x:fill>
        <x:patternFill>
          <x:bgColor rgb="FFDCFCE7"/>
        </x:patternFill>
      </x:fill>
    </x:dxf>
    <x:dxf>
      <x:font>
        <x:b/>
        <x:color rgb="FF15803D"/>
      </x:font>
      <x:fill>
        <x:patternFill>
          <x:bgColor rgb="FFDCFCE7"/>
        </x:patternFill>
      </x:fill>
    </x:dxf>
    <x:dxf>
      <x:font>
        <x:b/>
        <x:color rgb="FFB42318"/>
      </x:font>
      <x:fill>
        <x:patternFill>
          <x:bgColor rgb="FFFDE8E5"/>
        </x:patternFill>
      </x:fill>
    </x:dxf>
    <x:dxf>
      <x:font>
        <x:b/>
        <x:color rgb="FF92400E"/>
      </x:font>
      <x:fill>
        <x:patternFill>
          <x:bgColor rgb="FFFEF3C7"/>
        </x:patternFill>
      </x:fill>
    </x:dxf>
    <x:dxf>
      <x:font>
        <x:b/>
        <x:color rgb="FF92400E"/>
      </x:font>
      <x:fill>
        <x:patternFill>
          <x:bgColor rgb="FFFEF3C7"/>
        </x:patternFill>
      </x:fill>
    </x:dxf>
    <x:dxf>
      <x:font>
        <x:b/>
        <x:color rgb="FF475569"/>
      </x:font>
      <x:fill>
        <x:patternFill>
          <x:bgColor rgb="FFF1F5F9"/>
        </x:patternFill>
      </x:fill>
    </x:dxf>
    <x:dxf>
      <x:font>
        <x:b/>
        <x:color rgb="FF475569"/>
      </x:font>
      <x:fill>
        <x:patternFill>
          <x:bgColor rgb="FFF1F5F9"/>
        </x:patternFill>
      </x:fill>
    </x:dxf>
    <x:dxf>
      <x:font>
        <x:b/>
        <x:color rgb="FF475569"/>
      </x:font>
      <x:fill>
        <x:patternFill>
          <x:bgColor rgb="FFF1F5F9"/>
        </x:patternFill>
      </x:fill>
    </x:dxf>
    <x:dxf>
      <x:font>
        <x:b/>
        <x:color rgb="FF075985"/>
      </x:font>
      <x:fill>
        <x:patternFill>
          <x:bgColor rgb="FFDBEAFE"/>
        </x:patternFill>
      </x:fill>
    </x:dxf>
    <x:dxf>
      <x:font>
        <x:b/>
        <x:color rgb="FF075985"/>
      </x:font>
      <x:fill>
        <x:patternFill>
          <x:bgColor rgb="FFE0F2FE"/>
        </x:patternFill>
      </x:fill>
    </x:dxf>
    <x:dxf>
      <x:font>
        <x:b/>
        <x:color rgb="FF115E59"/>
      </x:font>
      <x:fill>
        <x:patternFill>
          <x:bgColor rgb="FFDFF4EF"/>
        </x:patternFill>
      </x:fill>
    </x:dxf>
    <x:dxf>
      <x:font>
        <x:b/>
        <x:color rgb="FF15803D"/>
      </x:font>
      <x:fill>
        <x:patternFill>
          <x:bgColor rgb="FFDCFCE7"/>
        </x:patternFill>
      </x:fill>
    </x:dxf>
    <x:dxf>
      <x:font>
        <x:b/>
        <x:color rgb="FF15803D"/>
      </x:font>
      <x:fill>
        <x:patternFill>
          <x:bgColor rgb="FFDCFCE7"/>
        </x:patternFill>
      </x:fill>
    </x:dxf>
    <x:dxf>
      <x:font>
        <x:b/>
        <x:color rgb="FF15803D"/>
      </x:font>
      <x:fill>
        <x:patternFill>
          <x:bgColor rgb="FFDCFCE7"/>
        </x:patternFill>
      </x:fill>
    </x:dxf>
    <x:dxf>
      <x:font>
        <x:b/>
        <x:color rgb="FF15803D"/>
      </x:font>
      <x:fill>
        <x:patternFill>
          <x:bgColor rgb="FFDCFCE7"/>
        </x:patternFill>
      </x:fill>
    </x:dxf>
    <x:dxf>
      <x:font>
        <x:b/>
        <x:color rgb="FF15803D"/>
      </x:font>
      <x:fill>
        <x:patternFill>
          <x:bgColor rgb="FFDCFCE7"/>
        </x:patternFill>
      </x:fill>
    </x:dxf>
    <x:dxf>
      <x:font>
        <x:b/>
        <x:color rgb="FF15803D"/>
      </x:font>
      <x:fill>
        <x:patternFill>
          <x:bgColor rgb="FFDCFCE7"/>
        </x:patternFill>
      </x:fill>
    </x:dxf>
    <x:dxf>
      <x:font>
        <x:b/>
        <x:color rgb="FFB42318"/>
      </x:font>
      <x:fill>
        <x:patternFill>
          <x:bgColor rgb="FFFDE8E5"/>
        </x:patternFill>
      </x:fill>
    </x:dxf>
    <x:dxf>
      <x:font>
        <x:b/>
        <x:color rgb="FF92400E"/>
      </x:font>
      <x:fill>
        <x:patternFill>
          <x:bgColor rgb="FFFEF3C7"/>
        </x:patternFill>
      </x:fill>
    </x:dxf>
    <x:dxf>
      <x:font>
        <x:b/>
        <x:color rgb="FF92400E"/>
      </x:font>
      <x:fill>
        <x:patternFill>
          <x:bgColor rgb="FFFEF3C7"/>
        </x:patternFill>
      </x:fill>
    </x:dxf>
    <x:dxf>
      <x:font>
        <x:b/>
        <x:color rgb="FF475569"/>
      </x:font>
      <x:fill>
        <x:patternFill>
          <x:bgColor rgb="FFF1F5F9"/>
        </x:patternFill>
      </x:fill>
    </x:dxf>
    <x:dxf>
      <x:font>
        <x:b/>
        <x:color rgb="FF475569"/>
      </x:font>
      <x:fill>
        <x:patternFill>
          <x:bgColor rgb="FFF1F5F9"/>
        </x:patternFill>
      </x:fill>
    </x:dxf>
    <x:dxf>
      <x:font>
        <x:b/>
        <x:color rgb="FF475569"/>
      </x:font>
      <x:fill>
        <x:patternFill>
          <x:bgColor rgb="FFF1F5F9"/>
        </x:patternFill>
      </x:fill>
    </x:dxf>
    <x:dxf>
      <x:font>
        <x:b/>
        <x:color rgb="FF075985"/>
      </x:font>
      <x:fill>
        <x:patternFill>
          <x:bgColor rgb="FFDBEAFE"/>
        </x:patternFill>
      </x:fill>
    </x:dxf>
    <x:dxf>
      <x:font>
        <x:b/>
        <x:color rgb="FF075985"/>
      </x:font>
      <x:fill>
        <x:patternFill>
          <x:bgColor rgb="FFE0F2FE"/>
        </x:patternFill>
      </x:fill>
    </x:dxf>
    <x:dxf>
      <x:font>
        <x:b/>
        <x:color rgb="FF115E59"/>
      </x:font>
      <x:fill>
        <x:patternFill>
          <x:bgColor rgb="FFDFF4EF"/>
        </x:patternFill>
      </x:fill>
    </x:dxf>
    <x:dxf>
      <x:font>
        <x:b/>
        <x:color rgb="FF15803D"/>
      </x:font>
      <x:fill>
        <x:patternFill>
          <x:bgColor rgb="FFDCFCE7"/>
        </x:patternFill>
      </x:fill>
    </x:dxf>
    <x:dxf>
      <x:font>
        <x:b/>
        <x:color rgb="FF15803D"/>
      </x:font>
      <x:fill>
        <x:patternFill>
          <x:bgColor rgb="FFDCFCE7"/>
        </x:patternFill>
      </x:fill>
    </x:dxf>
    <x:dxf>
      <x:font>
        <x:b/>
        <x:color rgb="FF15803D"/>
      </x:font>
      <x:fill>
        <x:patternFill>
          <x:bgColor rgb="FFDCFCE7"/>
        </x:patternFill>
      </x:fill>
    </x:dxf>
    <x:dxf>
      <x:font>
        <x:b/>
        <x:color rgb="FF15803D"/>
      </x:font>
      <x:fill>
        <x:patternFill>
          <x:bgColor rgb="FFDCFCE7"/>
        </x:patternFill>
      </x:fill>
    </x:dxf>
    <x:dxf>
      <x:font>
        <x:b/>
        <x:color rgb="FF15803D"/>
      </x:font>
      <x:fill>
        <x:patternFill>
          <x:bgColor rgb="FFDCFCE7"/>
        </x:patternFill>
      </x:fill>
    </x:dxf>
    <x:dxf>
      <x:font>
        <x:b/>
        <x:color rgb="FF15803D"/>
      </x:font>
      <x:fill>
        <x:patternFill>
          <x:bgColor rgb="FFDCFCE7"/>
        </x:patternFill>
      </x:fill>
    </x:dxf>
    <x:dxf>
      <x:font>
        <x:b/>
        <x:color rgb="FFB42318"/>
      </x:font>
      <x:fill>
        <x:patternFill>
          <x:bgColor rgb="FFFDE8E5"/>
        </x:patternFill>
      </x:fill>
    </x:dxf>
    <x:dxf>
      <x:font>
        <x:b/>
        <x:color rgb="FF92400E"/>
      </x:font>
      <x:fill>
        <x:patternFill>
          <x:bgColor rgb="FFFEF3C7"/>
        </x:patternFill>
      </x:fill>
    </x:dxf>
    <x:dxf>
      <x:font>
        <x:b/>
        <x:color rgb="FF92400E"/>
      </x:font>
      <x:fill>
        <x:patternFill>
          <x:bgColor rgb="FFFEF3C7"/>
        </x:patternFill>
      </x:fill>
    </x:dxf>
    <x:dxf>
      <x:font>
        <x:b/>
        <x:color rgb="FF475569"/>
      </x:font>
      <x:fill>
        <x:patternFill>
          <x:bgColor rgb="FFF1F5F9"/>
        </x:patternFill>
      </x:fill>
    </x:dxf>
    <x:dxf>
      <x:font>
        <x:b/>
        <x:color rgb="FF475569"/>
      </x:font>
      <x:fill>
        <x:patternFill>
          <x:bgColor rgb="FFF1F5F9"/>
        </x:patternFill>
      </x:fill>
    </x:dxf>
    <x:dxf>
      <x:font>
        <x:b/>
        <x:color rgb="FF475569"/>
      </x:font>
      <x:fill>
        <x:patternFill>
          <x:bgColor rgb="FFF1F5F9"/>
        </x:patternFill>
      </x:fill>
    </x:dxf>
    <x:dxf>
      <x:font>
        <x:b/>
        <x:color rgb="FF075985"/>
      </x:font>
      <x:fill>
        <x:patternFill>
          <x:bgColor rgb="FFDBEAFE"/>
        </x:patternFill>
      </x:fill>
    </x:dxf>
    <x:dxf>
      <x:font>
        <x:b/>
        <x:color rgb="FF075985"/>
      </x:font>
      <x:fill>
        <x:patternFill>
          <x:bgColor rgb="FFE0F2FE"/>
        </x:patternFill>
      </x:fill>
    </x:dxf>
    <x:dxf>
      <x:font>
        <x:b/>
        <x:color rgb="FF115E59"/>
      </x:font>
      <x:fill>
        <x:patternFill>
          <x:bgColor rgb="FFDFF4EF"/>
        </x:patternFill>
      </x:fill>
    </x:dxf>
    <x:dxf>
      <x:font>
        <x:b/>
        <x:color rgb="FF15803D"/>
      </x:font>
      <x:fill>
        <x:patternFill>
          <x:bgColor rgb="FFDCFCE7"/>
        </x:patternFill>
      </x:fill>
    </x:dxf>
    <x:dxf>
      <x:font>
        <x:b/>
        <x:color rgb="FF15803D"/>
      </x:font>
      <x:fill>
        <x:patternFill>
          <x:bgColor rgb="FFDCFCE7"/>
        </x:patternFill>
      </x:fill>
    </x:dxf>
    <x:dxf>
      <x:font>
        <x:b/>
        <x:color rgb="FF15803D"/>
      </x:font>
      <x:fill>
        <x:patternFill>
          <x:bgColor rgb="FFDCFCE7"/>
        </x:patternFill>
      </x:fill>
    </x:dxf>
    <x:dxf>
      <x:font>
        <x:b/>
        <x:color rgb="FF15803D"/>
      </x:font>
      <x:fill>
        <x:patternFill>
          <x:bgColor rgb="FFDCFCE7"/>
        </x:patternFill>
      </x:fill>
    </x:dxf>
    <x:dxf>
      <x:font>
        <x:b/>
        <x:color rgb="FF15803D"/>
      </x:font>
      <x:fill>
        <x:patternFill>
          <x:bgColor rgb="FFDCFCE7"/>
        </x:patternFill>
      </x:fill>
    </x:dxf>
    <x:dxf>
      <x:font>
        <x:b/>
        <x:color rgb="FF15803D"/>
      </x:font>
      <x:fill>
        <x:patternFill>
          <x:bgColor rgb="FFDCFCE7"/>
        </x:patternFill>
      </x:fill>
    </x:dxf>
    <x:dxf>
      <x:font>
        <x:b/>
        <x:color rgb="FFB42318"/>
      </x:font>
      <x:fill>
        <x:patternFill>
          <x:bgColor rgb="FFFDE8E5"/>
        </x:patternFill>
      </x:fill>
    </x:dxf>
    <x:dxf>
      <x:font>
        <x:b/>
        <x:color rgb="FF92400E"/>
      </x:font>
      <x:fill>
        <x:patternFill>
          <x:bgColor rgb="FFFEF3C7"/>
        </x:patternFill>
      </x:fill>
    </x:dxf>
    <x:dxf>
      <x:font>
        <x:b/>
        <x:color rgb="FF92400E"/>
      </x:font>
      <x:fill>
        <x:patternFill>
          <x:bgColor rgb="FFFEF3C7"/>
        </x:patternFill>
      </x:fill>
    </x:dxf>
    <x:dxf>
      <x:font>
        <x:b/>
        <x:color rgb="FF475569"/>
      </x:font>
      <x:fill>
        <x:patternFill>
          <x:bgColor rgb="FFF1F5F9"/>
        </x:patternFill>
      </x:fill>
    </x:dxf>
    <x:dxf>
      <x:font>
        <x:b/>
        <x:color rgb="FF475569"/>
      </x:font>
      <x:fill>
        <x:patternFill>
          <x:bgColor rgb="FFF1F5F9"/>
        </x:patternFill>
      </x:fill>
    </x:dxf>
    <x:dxf>
      <x:font>
        <x:b/>
        <x:color rgb="FF475569"/>
      </x:font>
      <x:fill>
        <x:patternFill>
          <x:bgColor rgb="FFF1F5F9"/>
        </x:patternFill>
      </x:fill>
    </x:dxf>
    <x:dxf>
      <x:font>
        <x:b/>
        <x:color rgb="FF075985"/>
      </x:font>
      <x:fill>
        <x:patternFill>
          <x:bgColor rgb="FFDBEAFE"/>
        </x:patternFill>
      </x:fill>
    </x:dxf>
    <x:dxf>
      <x:font>
        <x:b/>
        <x:color rgb="FF075985"/>
      </x:font>
      <x:fill>
        <x:patternFill>
          <x:bgColor rgb="FFE0F2FE"/>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7ceba3572bd434a" /><Relationship Type="http://schemas.openxmlformats.org/officeDocument/2006/relationships/theme" Target="/xl/theme/theme1.xml" Id="R3bf6c0c39c2d4755" /><Relationship Type="http://schemas.openxmlformats.org/officeDocument/2006/relationships/sharedStrings" Target="/xl/sharedStrings.xml" Id="Ra1bb941e7b9045d6" /><Relationship Type="http://schemas.openxmlformats.org/officeDocument/2006/relationships/worksheet" Target="/xl/worksheets/sheet1.xml" Id="R279183463c4542ce" /><Relationship Type="http://schemas.openxmlformats.org/officeDocument/2006/relationships/worksheet" Target="/xl/worksheets/sheet2.xml" Id="R8537a946c3f54641" /><Relationship Type="http://schemas.openxmlformats.org/officeDocument/2006/relationships/worksheet" Target="/xl/worksheets/sheet3.xml" Id="Re2a94d0a09944b4b" /><Relationship Type="http://schemas.openxmlformats.org/officeDocument/2006/relationships/worksheet" Target="/xl/worksheets/sheet4.xml" Id="Rfca1ea24756947eb" /><Relationship Type="http://schemas.openxmlformats.org/officeDocument/2006/relationships/worksheet" Target="/xl/worksheets/sheet5.xml" Id="R414f2f76a85a44d7" /><Relationship Type="http://schemas.openxmlformats.org/officeDocument/2006/relationships/worksheet" Target="/xl/worksheets/sheet6.xml" Id="R75ff2f2e752e4f24" /><Relationship Type="http://schemas.openxmlformats.org/officeDocument/2006/relationships/worksheet" Target="/xl/worksheets/sheet7.xml" Id="R7bce3418acb7441f" /><Relationship Type="http://schemas.openxmlformats.org/officeDocument/2006/relationships/worksheet" Target="/xl/worksheets/sheet8.xml" Id="Rb0a6234d53c7458e" /><Relationship Type="http://schemas.openxmlformats.org/officeDocument/2006/relationships/worksheet" Target="/xl/worksheets/sheet9.xml" Id="R023c8f3e2ef6446e" /><Relationship Type="http://schemas.openxmlformats.org/officeDocument/2006/relationships/worksheet" Target="/xl/worksheets/sheet10.xml" Id="Rd8104698b0654703" /><Relationship Type="http://schemas.openxmlformats.org/officeDocument/2006/relationships/worksheet" Target="/xl/worksheets/sheet11.xml" Id="Rf794a73a99774611" /><Relationship Type="http://schemas.openxmlformats.org/officeDocument/2006/relationships/worksheet" Target="/xl/worksheets/sheet12.xml" Id="R1e3cd47c799c4e5b" /><Relationship Type="http://schemas.microsoft.com/office/2017/10/relationships/person" Target="/xl/persons/person.xml" Id="Rd71a8cb4807643e0" /></Relationships>
</file>

<file path=xl/persons/person.xml><?xml version="1.0" encoding="utf-8"?>
<xltc:personList xmlns:xltc="http://schemas.microsoft.com/office/spreadsheetml/2018/threadedcomments">
  <xltc:person displayName="Codex" id="{3E4C6151-A0F9-4EFB-AF39-8EA672B7F786}"/>
  <xltc:person displayName="Codex" id="{A4304EA5-E14E-4917-9DB9-ABFC9AB8F037}"/>
  <xltc:person displayName="Codex" id="{E81B5927-004E-4E83-A0D8-BB5889B3171F}"/>
  <xltc:person displayName="Codex" id="{E10E169B-600F-4377-99C6-6C0CE13DADF7}"/>
</xltc:personList>
</file>

<file path=xl/tables/table1.xml><?xml version="1.0" encoding="utf-8"?>
<x:table xmlns:x="http://schemas.openxmlformats.org/spreadsheetml/2006/main" id="1" name="StageGates" displayName="StageGates" ref="A1:R8" headerRowCount="1" totalsRowCount="0" totalsRowShown="0">
  <x:tableColumns count="18">
    <x:tableColumn id="1" name="Stage"/>
    <x:tableColumn id="2" name="顺序"/>
    <x:tableColumn id="3" name="名称"/>
    <x:tableColumn id="4" name="目标"/>
    <x:tableColumn id="5" name="非目标"/>
    <x:tableColumn id="6" name="进入门禁"/>
    <x:tableColumn id="7" name="退出门禁"/>
    <x:tableColumn id="8" name="人工门槛"/>
    <x:tableColumn id="9" name="依赖"/>
    <x:tableColumn id="10" name="任务数"/>
    <x:tableColumn id="11" name="P0数"/>
    <x:tableColumn id="12" name="P0范围"/>
    <x:tableColumn id="13" name="门禁任务"/>
    <x:tableColumn id="14" name="状态"/>
    <x:tableColumn id="15" name="证据状态"/>
    <x:tableColumn id="16" name="批准人"/>
    <x:tableColumn id="17" name="批准时间"/>
    <x:tableColumn id="18" name="备注"/>
  </x:tableColumns>
  <x:tableStyleInfo name="TableStyleMedium2" showFirstColumn="0" showLastColumn="0" showRowStripes="1" showColumnStripes="0"/>
</x:table>
</file>

<file path=xl/tables/table2.xml><?xml version="1.0" encoding="utf-8"?>
<x:table xmlns:x="http://schemas.openxmlformats.org/spreadsheetml/2006/main" id="2" name="ExecutionTasks" displayName="ExecutionTasks" ref="A1:Y150" headerRowCount="1" totalsRowCount="0" totalsRowShown="0">
  <x:tableColumns count="25">
    <x:tableColumn id="1" name="TaskID"/>
    <x:tableColumn id="2" name="执行顺序"/>
    <x:tableColumn id="3" name="阶段"/>
    <x:tableColumn id="4" name="类型"/>
    <x:tableColumn id="5" name="优先级"/>
    <x:tableColumn id="6" name="标题"/>
    <x:tableColumn id="7" name="方案来源"/>
    <x:tableColumn id="8" name="P0编号"/>
    <x:tableColumn id="9" name="任务依赖"/>
    <x:tableColumn id="10" name="交付物"/>
    <x:tableColumn id="11" name="完成定义"/>
    <x:tableColumn id="12" name="测试类型"/>
    <x:tableColumn id="13" name="状态"/>
    <x:tableColumn id="14" name="证据状态"/>
    <x:tableColumn id="15" name="负责人"/>
    <x:tableColumn id="16" name="GitHub Issue"/>
    <x:tableColumn id="17" name="建议分支"/>
    <x:tableColumn id="18" name="实际分支"/>
    <x:tableColumn id="19" name="提交SHA"/>
    <x:tableColumn id="20" name="Pull Request"/>
    <x:tableColumn id="21" name="CI"/>
    <x:tableColumn id="22" name="人工门槛"/>
    <x:tableColumn id="23" name="回滚"/>
    <x:tableColumn id="24" name="更新时间"/>
    <x:tableColumn id="25" name="备注"/>
  </x:tableColumns>
  <x:tableStyleInfo name="TableStyleMedium2" showFirstColumn="0" showLastColumn="0" showRowStripes="1" showColumnStripes="0"/>
</x:table>
</file>

<file path=xl/tables/table3.xml><?xml version="1.0" encoding="utf-8"?>
<x:table xmlns:x="http://schemas.openxmlformats.org/spreadsheetml/2006/main" id="3" name="P0Acceptance" displayName="P0Acceptance" ref="A1:Q120" headerRowCount="1" totalsRowCount="0" totalsRowShown="0">
  <x:tableColumns count="17">
    <x:tableColumn id="1" name="P0ID"/>
    <x:tableColumn id="2" name="序号"/>
    <x:tableColumn id="3" name="阶段"/>
    <x:tableColumn id="4" name="场景"/>
    <x:tableColumn id="5" name="完成定义"/>
    <x:tableColumn id="6" name="方案来源"/>
    <x:tableColumn id="7" name="主任务"/>
    <x:tableColumn id="8" name="要求证据等级"/>
    <x:tableColumn id="9" name="当前证据"/>
    <x:tableColumn id="10" name="自动化测试ID"/>
    <x:tableColumn id="11" name="人工用例ID"/>
    <x:tableColumn id="12" name="负向检查"/>
    <x:tableColumn id="13" name="证据链接"/>
    <x:tableColumn id="14" name="最后验证提交"/>
    <x:tableColumn id="15" name="验证人"/>
    <x:tableColumn id="16" name="验证时间"/>
    <x:tableColumn id="17" name="备注"/>
  </x:tableColumns>
  <x:tableStyleInfo name="TableStyleMedium2" showFirstColumn="0" showLastColumn="0" showRowStripes="1" showColumnStripes="0"/>
</x:table>
</file>

<file path=xl/tables/table4.xml><?xml version="1.0" encoding="utf-8"?>
<x:table xmlns:x="http://schemas.openxmlformats.org/spreadsheetml/2006/main" id="24" name="FieldDictionary" displayName="FieldDictionary" ref="A1:P659" headerRowCount="1" totalsRowCount="0" totalsRowShown="0">
  <x:tableColumns count="16">
    <x:tableColumn id="1" name="Entity"/>
    <x:tableColumn id="2" name="Field"/>
    <x:tableColumn id="3" name="RawDefinition"/>
    <x:tableColumn id="4" name="Position"/>
    <x:tableColumn id="5" name="SuggestedType"/>
    <x:tableColumn id="6" name="Required"/>
    <x:tableColumn id="7" name="UnitOrFormat"/>
    <x:tableColumn id="8" name="Sensitivity"/>
    <x:tableColumn id="9" name="Visibility"/>
    <x:tableColumn id="10" name="ForbiddenExposure"/>
    <x:tableColumn id="11" name="Validation"/>
    <x:tableColumn id="12" name="HistoryRule"/>
    <x:tableColumn id="13" name="Stage"/>
    <x:tableColumn id="14" name="P0"/>
    <x:tableColumn id="15" name="Source"/>
    <x:tableColumn id="16" name="Status"/>
  </x:tableColumns>
  <x:tableStyleInfo name="TableStyleMedium2" showFirstColumn="0" showLastColumn="0" showRowStripes="1" showColumnStripes="0"/>
</x:table>
</file>

<file path=xl/tables/table5.xml><?xml version="1.0" encoding="utf-8"?>
<x:table xmlns:x="http://schemas.openxmlformats.org/spreadsheetml/2006/main" id="25" name="StateMachines" displayName="StateMachines" ref="A1:N105" headerRowCount="1" totalsRowCount="0" totalsRowShown="0">
  <x:tableColumns count="14">
    <x:tableColumn id="1" name="StateMachine"/>
    <x:tableColumn id="2" name="Stage"/>
    <x:tableColumn id="3" name="CurrentState"/>
    <x:tableColumn id="4" name="Event"/>
    <x:tableColumn id="5" name="NextState"/>
    <x:tableColumn id="6" name="AllowedActor"/>
    <x:tableColumn id="7" name="Guard"/>
    <x:tableColumn id="8" name="SideEffect"/>
    <x:tableColumn id="9" name="Idempotency"/>
    <x:tableColumn id="10" name="IllegalTransition"/>
    <x:tableColumn id="11" name="ConcurrencyControl"/>
    <x:tableColumn id="12" name="History"/>
    <x:tableColumn id="13" name="P0"/>
    <x:tableColumn id="14" name="Status"/>
  </x:tableColumns>
  <x:tableStyleInfo name="TableStyleMedium2" showFirstColumn="0" showLastColumn="0" showRowStripes="1" showColumnStripes="0"/>
</x:table>
</file>

<file path=xl/tables/table6.xml><?xml version="1.0" encoding="utf-8"?>
<x:table xmlns:x="http://schemas.openxmlformats.org/spreadsheetml/2006/main" id="6" name="PermissionMatrix" displayName="PermissionMatrix" ref="A1:O23" headerRowCount="1" totalsRowCount="0" totalsRowShown="0">
  <x:tableColumns count="15">
    <x:tableColumn id="1" name="OwnerType"/>
    <x:tableColumn id="2" name="角色编码"/>
    <x:tableColumn id="3" name="角色名称"/>
    <x:tableColumn id="4" name="独立入口"/>
    <x:tableColumn id="5" name="可读范围"/>
    <x:tableColumn id="6" name="可写范围"/>
    <x:tableColumn id="7" name="审批权限"/>
    <x:tableColumn id="8" name="供应价可见性"/>
    <x:tableColumn id="9" name="数据域"/>
    <x:tableColumn id="10" name="禁止操作"/>
    <x:tableColumn id="11" name="二次验证"/>
    <x:tableColumn id="12" name="会话边界"/>
    <x:tableColumn id="13" name="阶段"/>
    <x:tableColumn id="14" name="P0"/>
    <x:tableColumn id="15" name="状态"/>
  </x:tableColumns>
  <x:tableStyleInfo name="TableStyleMedium2" showFirstColumn="0" showLastColumn="0" showRowStripes="1" showColumnStripes="0"/>
</x:table>
</file>

<file path=xl/tables/table7.xml><?xml version="1.0" encoding="utf-8"?>
<x:table xmlns:x="http://schemas.openxmlformats.org/spreadsheetml/2006/main" id="7" name="PageMap" displayName="PageMap" ref="A1:Q81" headerRowCount="1" totalsRowCount="0" totalsRowShown="0">
  <x:tableColumns count="17">
    <x:tableColumn id="1" name="PageID"/>
    <x:tableColumn id="2" name="终端"/>
    <x:tableColumn id="3" name="页面名称"/>
    <x:tableColumn id="4" name="路由"/>
    <x:tableColumn id="5" name="UI资产"/>
    <x:tableColumn id="6" name="阶段"/>
    <x:tableColumn id="7" name="角色"/>
    <x:tableColumn id="8" name="P0"/>
    <x:tableColumn id="9" name="认证策略"/>
    <x:tableColumn id="10" name="供应价策略"/>
    <x:tableColumn id="11" name="API域"/>
    <x:tableColumn id="12" name="必备页面状态"/>
    <x:tableColumn id="13" name="响应式/设备"/>
    <x:tableColumn id="14" name="实现状态"/>
    <x:tableColumn id="15" name="验收状态"/>
    <x:tableColumn id="16" name="路由测试"/>
    <x:tableColumn id="17" name="备注"/>
  </x:tableColumns>
  <x:tableStyleInfo name="TableStyleMedium2" showFirstColumn="0" showLastColumn="0" showRowStripes="1" showColumnStripes="0"/>
</x:table>
</file>

<file path=xl/tables/table8.xml><?xml version="1.0" encoding="utf-8"?>
<x:table xmlns:x="http://schemas.openxmlformats.org/spreadsheetml/2006/main" id="8" name="ExternalDependencies" displayName="ExternalDependencies" ref="A1:N29" headerRowCount="1" totalsRowCount="0" totalsRowShown="0">
  <x:tableColumns count="14">
    <x:tableColumn id="1" name="DependencyID"/>
    <x:tableColumn id="2" name="最早阶段"/>
    <x:tableColumn id="3" name="类别"/>
    <x:tableColumn id="4" name="所需资料/决定"/>
    <x:tableColumn id="5" name="负责人"/>
    <x:tableColumn id="6" name="当前状态"/>
    <x:tableColumn id="7" name="所需证据"/>
    <x:tableColumn id="8" name="安全边界"/>
    <x:tableColumn id="9" name="阻塞任务"/>
    <x:tableColumn id="10" name="阻塞正式验收"/>
    <x:tableColumn id="11" name="证据链接"/>
    <x:tableColumn id="12" name="提供时间"/>
    <x:tableColumn id="13" name="批准人"/>
    <x:tableColumn id="14" name="备注"/>
  </x:tableColumns>
  <x:tableStyleInfo name="TableStyleMedium2" showFirstColumn="0" showLastColumn="0" showRowStripes="1" showColumnStripes="0"/>
</x:table>
</file>

<file path=xl/tables/table9.xml><?xml version="1.0" encoding="utf-8"?>
<x:table xmlns:x="http://schemas.openxmlformats.org/spreadsheetml/2006/main" id="9" name="TestEvidence" displayName="TestEvidence" ref="A1:U121" headerRowCount="1" totalsRowCount="0" totalsRowShown="0">
  <x:tableColumns count="21">
    <x:tableColumn id="1" name="EvidenceID"/>
    <x:tableColumn id="2" name="P0编号"/>
    <x:tableColumn id="3" name="阶段"/>
    <x:tableColumn id="4" name="任务编号"/>
    <x:tableColumn id="5" name="证据类型"/>
    <x:tableColumn id="6" name="要求等级"/>
    <x:tableColumn id="7" name="当前状态"/>
    <x:tableColumn id="8" name="命令/步骤"/>
    <x:tableColumn id="9" name="预期"/>
    <x:tableColumn id="10" name="实际"/>
    <x:tableColumn id="11" name="环境"/>
    <x:tableColumn id="12" name="应用/浏览器版本"/>
    <x:tableColumn id="13" name="执行时间"/>
    <x:tableColumn id="14" name="提交SHA"/>
    <x:tableColumn id="15" name="CI链接"/>
    <x:tableColumn id="16" name="制品/截图"/>
    <x:tableColumn id="17" name="执行人"/>
    <x:tableColumn id="18" name="新鲜度"/>
    <x:tableColumn id="19" name="失败/阻塞"/>
    <x:tableColumn id="20" name="需重测"/>
    <x:tableColumn id="21" name="备注"/>
  </x:tableColumns>
  <x:tableStyleInfo name="TableStyleMedium2" showFirstColumn="0" showLastColumn="0" showRowStripes="1" showColumnStripes="0"/>
</x:table>
</file>

<file path=xl/tables/table10.xml><?xml version="1.0" encoding="utf-8"?>
<x:table xmlns:x="http://schemas.openxmlformats.org/spreadsheetml/2006/main" id="26" name="MigrationLedger" displayName="MigrationLedger" ref="A1:R23" headerRowCount="1" totalsRowCount="0" totalsRowShown="0">
  <x:tableColumns count="18">
    <x:tableColumn id="1" name="MigrationID"/>
    <x:tableColumn id="2" name="Stage"/>
    <x:tableColumn id="3" name="PlannedName"/>
    <x:tableColumn id="4" name="DependsOn"/>
    <x:tableColumn id="5" name="Objects"/>
    <x:tableColumn id="6" name="Purpose"/>
    <x:tableColumn id="7" name="ForwardSteps"/>
    <x:tableColumn id="8" name="BackwardOrRecovery"/>
    <x:tableColumn id="9" name="DataBackfill"/>
    <x:tableColumn id="10" name="Verification"/>
    <x:tableColumn id="11" name="BackupRequired"/>
    <x:tableColumn id="12" name="Status"/>
    <x:tableColumn id="13" name="AppliedLocalAt"/>
    <x:tableColumn id="14" name="AppliedStagingAt"/>
    <x:tableColumn id="15" name="AppliedProductionAt"/>
    <x:tableColumn id="16" name="CommitSHA"/>
    <x:tableColumn id="17" name="EvidenceLink"/>
    <x:tableColumn id="18" name="Notes"/>
  </x:tableColumns>
  <x:tableStyleInfo name="TableStyleMedium2" showFirstColumn="0" showLastColumn="0" showRowStripes="1" showColumnStripes="0"/>
</x:table>
</file>

<file path=xl/tables/table11.xml><?xml version="1.0" encoding="utf-8"?>
<x:table xmlns:x="http://schemas.openxmlformats.org/spreadsheetml/2006/main" id="27" name="ApiLedger" displayName="ApiLedger" ref="A1:T91" headerRowCount="1" totalsRowCount="0" totalsRowShown="0">
  <x:tableColumns count="20">
    <x:tableColumn id="1" name="ContractID"/>
    <x:tableColumn id="2" name="Stage"/>
    <x:tableColumn id="3" name="Domain"/>
    <x:tableColumn id="4" name="Method"/>
    <x:tableColumn id="5" name="Path"/>
    <x:tableColumn id="6" name="Actor"/>
    <x:tableColumn id="7" name="RequestDTO"/>
    <x:tableColumn id="8" name="ResponseDTO"/>
    <x:tableColumn id="9" name="CommonResponse"/>
    <x:tableColumn id="10" name="ErrorCodes"/>
    <x:tableColumn id="11" name="Idempotency"/>
    <x:tableColumn id="12" name="SensitiveFieldPolicy"/>
    <x:tableColumn id="13" name="MoneyRule"/>
    <x:tableColumn id="14" name="P0"/>
    <x:tableColumn id="15" name="OpenAPIStatus"/>
    <x:tableColumn id="16" name="DTOStatus"/>
    <x:tableColumn id="17" name="ErrorCodeStatus"/>
    <x:tableColumn id="18" name="ContractTest"/>
    <x:tableColumn id="19" name="Owner"/>
    <x:tableColumn id="20"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c8ce25746fac409c" /></Relationships>
</file>

<file path=xl/worksheets/_rels/sheet3.xml.rels>&#65279;<?xml version="1.0" encoding="utf-8"?><Relationships xmlns="http://schemas.openxmlformats.org/package/2006/relationships"><Relationship Type="http://schemas.openxmlformats.org/officeDocument/2006/relationships/table" Target="/xl/tables/table2.xml" Id="R60fcbc9679554c8b" /></Relationships>
</file>

<file path=xl/worksheets/_rels/sheet4.xml.rels>&#65279;<?xml version="1.0" encoding="utf-8"?><Relationships xmlns="http://schemas.openxmlformats.org/package/2006/relationships"><Relationship Type="http://schemas.openxmlformats.org/officeDocument/2006/relationships/table" Target="/xl/tables/table3.xml" Id="R2ffe5ce4e7d149c1" /></Relationships>
</file>

<file path=xl/worksheets/_rels/sheet5.xml.rels>&#65279;<?xml version="1.0" encoding="utf-8"?><Relationships xmlns="http://schemas.openxmlformats.org/package/2006/relationships"><Relationship Type="http://schemas.openxmlformats.org/officeDocument/2006/relationships/table" Target="/xl/tables/table4.xml" Id="Rd4f420d904a447ae" /></Relationships>
</file>

<file path=xl/worksheets/_rels/sheet6.xml.rels>&#65279;<?xml version="1.0" encoding="utf-8"?><Relationships xmlns="http://schemas.openxmlformats.org/package/2006/relationships"><Relationship Type="http://schemas.openxmlformats.org/officeDocument/2006/relationships/table" Target="/xl/tables/table5.xml" Id="Rd73a9a46a37f42c6" /></Relationships>
</file>

<file path=xl/worksheets/_rels/sheet7.xml.rels>&#65279;<?xml version="1.0" encoding="utf-8"?><Relationships xmlns="http://schemas.openxmlformats.org/package/2006/relationships"><Relationship Type="http://schemas.openxmlformats.org/officeDocument/2006/relationships/table" Target="/xl/tables/table6.xml" Id="R413f784d3bfb401c" /></Relationships>
</file>

<file path=xl/worksheets/_rels/sheet8.xml.rels>&#65279;<?xml version="1.0" encoding="utf-8"?><Relationships xmlns="http://schemas.openxmlformats.org/package/2006/relationships"><Relationship Type="http://schemas.openxmlformats.org/officeDocument/2006/relationships/table" Target="/xl/tables/table7.xml" Id="Rc8e005b16690462b" /></Relationships>
</file>

<file path=xl/worksheets/_rels/sheet9.xml.rels>&#65279;<?xml version="1.0" encoding="utf-8"?><Relationships xmlns="http://schemas.openxmlformats.org/package/2006/relationships"><Relationship Type="http://schemas.openxmlformats.org/officeDocument/2006/relationships/table" Target="/xl/tables/table8.xml" Id="R38e711ac703a48a6" /></Relationships>
</file>

<file path=xl/worksheets/_rels/sheet10.xml.rels>&#65279;<?xml version="1.0" encoding="utf-8"?><Relationships xmlns="http://schemas.openxmlformats.org/package/2006/relationships"><Relationship Type="http://schemas.openxmlformats.org/officeDocument/2006/relationships/table" Target="/xl/tables/table9.xml" Id="R8a90ed546d5d4625" /></Relationships>
</file>

<file path=xl/worksheets/_rels/sheet11.xml.rels>&#65279;<?xml version="1.0" encoding="utf-8"?><Relationships xmlns="http://schemas.openxmlformats.org/package/2006/relationships"><Relationship Type="http://schemas.openxmlformats.org/officeDocument/2006/relationships/table" Target="/xl/tables/table10.xml" Id="R4c87b581ee0f4daa" /></Relationships>
</file>

<file path=xl/worksheets/_rels/sheet12.xml.rels>&#65279;<?xml version="1.0" encoding="utf-8"?><Relationships xmlns="http://schemas.openxmlformats.org/package/2006/relationships"><Relationship Type="http://schemas.openxmlformats.org/officeDocument/2006/relationships/table" Target="/xl/tables/table11.xml" Id="R987532237155466f" /></Relationships>
</file>

<file path=xl/worksheets/sheet1.xml><?xml version="1.0" encoding="utf-8"?>
<x:worksheet xmlns:x="http://schemas.openxmlformats.org/spreadsheetml/2006/main">
  <x:sheetViews>
    <x:sheetView showGridLines="0" workbookViewId="0"/>
  </x:sheetViews>
  <x:sheetFormatPr defaultRowHeight="15"/>
  <x:cols>
    <x:col min="1" max="1" width="20" hidden="0" customWidth="1"/>
    <x:col min="2" max="2" width="32" hidden="0" customWidth="1"/>
    <x:col min="4" max="4" width="20" hidden="0" customWidth="1"/>
    <x:col min="3" max="3"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s>
  <x:sheetData>
    <x:row r="1" ht="30" customHeight="1">
      <x:c r="A1" s="22" t="str">
        <x:v>福礼社 Codex 5.6 开发执行总控 V1.1</x:v>
      </x:c>
      <x:c r="B1" s="22"/>
      <x:c r="C1" s="22"/>
      <x:c r="D1" s="22"/>
      <x:c r="E1" s="22"/>
      <x:c r="F1" s="22"/>
      <x:c r="G1" s="22"/>
      <x:c r="H1" s="22"/>
      <x:c r="I1" s="22"/>
      <x:c r="J1" s="22"/>
      <x:c r="K1" s="22"/>
      <x:c r="L1" s="22"/>
    </x:row>
    <x:row r="2" ht="30" customHeight="1">
      <x:c r="A2" s="22"/>
      <x:c r="B2" s="22"/>
      <x:c r="C2" s="22"/>
      <x:c r="D2" s="22"/>
      <x:c r="E2" s="22"/>
      <x:c r="F2" s="22"/>
      <x:c r="G2" s="22"/>
      <x:c r="H2" s="22"/>
      <x:c r="I2" s="22"/>
      <x:c r="J2" s="22"/>
      <x:c r="K2" s="22"/>
      <x:c r="L2" s="22"/>
    </x:row>
    <x:row r="3" ht="24" customHeight="1">
      <x:c r="A3" s="25" t="str">
        <x:v>蓝绿供应链专业感 · 暖红福利元素  |  V1.1优化冻结基线 SHA-256: 1153157234D2DCCDF38F0C5E468BD5D93889140153F1C21F7FEBB8FA5316EF92</x:v>
      </x:c>
      <x:c r="B3" s="25"/>
      <x:c r="C3" s="25"/>
      <x:c r="D3" s="25"/>
      <x:c r="E3" s="25"/>
      <x:c r="F3" s="25"/>
      <x:c r="G3" s="25"/>
      <x:c r="H3" s="25"/>
      <x:c r="I3" s="25"/>
      <x:c r="J3" s="25"/>
      <x:c r="K3" s="25"/>
      <x:c r="L3" s="25"/>
    </x:row>
    <x:row r="4" ht="24" customHeight="1">
      <x:c r="A4" s="28" t="str">
        <x:v>当前：M2_IN_PROGRESS · main@413adffe CI_PASS · M2-P018 merged-main CI_PASS · M2-P019 verify head 66a2511 17/17 LOCAL_PASS · Draft PR / CI待执行 · P020及以后锁定</x:v>
      </x:c>
      <x:c r="B4" s="28"/>
      <x:c r="C4" s="28"/>
      <x:c r="D4" s="28"/>
      <x:c r="E4" s="28"/>
      <x:c r="F4" s="28"/>
      <x:c r="G4" s="28"/>
      <x:c r="H4" s="28"/>
      <x:c r="I4" s="28"/>
      <x:c r="J4" s="28"/>
      <x:c r="K4" s="28"/>
      <x:c r="L4" s="28"/>
    </x:row>
    <x:row r="5" ht="24" customHeight="1">
      <x:c r="A5" s="32" t="str">
        <x:v>执行任务</x:v>
      </x:c>
      <x:c r="B5" s="32" t="str">
        <x:v>执行任务</x:v>
      </x:c>
      <x:c r="C5" s="187"/>
      <x:c r="D5" s="62" t="str">
        <x:v>已完成任务</x:v>
      </x:c>
      <x:c r="E5" s="62" t="str">
        <x:v>已完成任务</x:v>
      </x:c>
      <x:c r="F5" s="187"/>
      <x:c r="G5" s="89" t="str">
        <x:v>已验证P0</x:v>
      </x:c>
      <x:c r="H5" s="89" t="str">
        <x:v>已验证P0</x:v>
      </x:c>
      <x:c r="I5" s="187"/>
      <x:c r="J5" s="118" t="str">
        <x:v>未提供外部事项</x:v>
      </x:c>
      <x:c r="K5" s="118" t="str">
        <x:v>未提供外部事项</x:v>
      </x:c>
      <x:c r="L5" s="187"/>
    </x:row>
    <x:row r="6" ht="24" customHeight="1">
      <x:c r="A6" s="53" t="n">
        <x:f>COUNTA('任务台账'!$A$2:$A$150)</x:f>
        <x:v>149</x:v>
      </x:c>
      <x:c r="B6" s="54"/>
      <x:c r="C6" s="187"/>
      <x:c r="D6" s="82" t="n">
        <x:f>COUNTIF('任务台账'!$M$2:$M$150,"DONE")</x:f>
        <x:v>43</x:v>
      </x:c>
      <x:c r="E6" s="83"/>
      <x:c r="F6" s="187"/>
      <x:c r="G6" s="109" t="n">
        <x:f>COUNTIF('P0验收矩阵'!$I$2:$I$120,"LOCAL_PASS")+COUNTIF('P0验收矩阵'!$I$2:$I$120,"CI_PASS")+COUNTIF('P0验收矩阵'!$I$2:$I$120,"STAGING_PASS")+COUNTIF('P0验收矩阵'!$I$2:$I$120,"DEVICE_PASS")+COUNTIF('P0验收矩阵'!$I$2:$I$120,"PRODUCTION_PASS")</x:f>
        <x:v>28</x:v>
      </x:c>
      <x:c r="H6" s="110"/>
      <x:c r="I6" s="187"/>
      <x:c r="J6" s="138" t="n">
        <x:f>COUNTIF('外部依赖'!$F$2:$F$29,"NOT_PROVIDED")</x:f>
        <x:v>27</x:v>
      </x:c>
      <x:c r="K6" s="139" t="n">
        <x:v>27</x:v>
      </x:c>
      <x:c r="L6" s="187"/>
    </x:row>
    <x:row r="7" ht="24" customHeight="1">
      <x:c r="A7" s="55"/>
      <x:c r="B7" s="56"/>
      <x:c r="C7" s="187"/>
      <x:c r="D7" s="84"/>
      <x:c r="E7" s="85"/>
      <x:c r="F7" s="187"/>
      <x:c r="G7" s="111"/>
      <x:c r="H7" s="112"/>
      <x:c r="I7" s="187"/>
      <x:c r="J7" s="140"/>
      <x:c r="K7" s="141"/>
      <x:c r="L7" s="187"/>
    </x:row>
    <x:row r="8" ht="24" customHeight="1">
      <x:c r="A8" s="57"/>
      <x:c r="B8" s="58"/>
      <x:c r="C8" s="187"/>
      <x:c r="D8" s="86"/>
      <x:c r="E8" s="87"/>
      <x:c r="F8" s="187"/>
      <x:c r="G8" s="113"/>
      <x:c r="H8" s="114"/>
      <x:c r="I8" s="187"/>
      <x:c r="J8" s="142"/>
      <x:c r="K8" s="143"/>
      <x:c r="L8" s="187"/>
    </x:row>
    <x:row r="9">
      <x:c r="A9" s="187"/>
      <x:c r="B9" s="187"/>
      <x:c r="C9" s="187"/>
      <x:c r="D9" s="187"/>
      <x:c r="E9" s="187"/>
      <x:c r="F9" s="187"/>
      <x:c r="G9" s="187"/>
      <x:c r="H9" s="187"/>
      <x:c r="I9" s="187"/>
      <x:c r="J9" s="187"/>
      <x:c r="K9" s="187"/>
      <x:c r="L9" s="187"/>
    </x:row>
    <x:row r="10" ht="24" customHeight="1">
      <x:c r="A10" s="149" t="str">
        <x:v>阶段</x:v>
      </x:c>
      <x:c r="B10" s="149" t="str">
        <x:v>阶段名称</x:v>
      </x:c>
      <x:c r="C10" s="149" t="str">
        <x:v>任务数</x:v>
      </x:c>
      <x:c r="D10" s="149" t="str">
        <x:v>完成数</x:v>
      </x:c>
      <x:c r="E10" s="149" t="str">
        <x:v>P0数</x:v>
      </x:c>
      <x:c r="F10" s="149" t="str">
        <x:v>P0已验证</x:v>
      </x:c>
      <x:c r="G10" s="149" t="str">
        <x:v>门禁状态</x:v>
      </x:c>
      <x:c r="H10" s="149" t="str">
        <x:v>门禁证据</x:v>
      </x:c>
      <x:c r="I10" s="149" t="str">
        <x:v>解锁状态</x:v>
      </x:c>
      <x:c r="J10" s="187"/>
      <x:c r="K10" s="187"/>
      <x:c r="L10" s="187"/>
    </x:row>
    <x:row r="11" ht="24" customHeight="1">
      <x:c r="A11" s="152" t="str">
        <x:v>M0</x:v>
      </x:c>
      <x:c r="B11" s="152" t="str">
        <x:v>环境、工程底座与契约冻结</x:v>
      </x:c>
      <x:c r="C11" s="152" t="n">
        <x:f>COUNTIF('任务台账'!$C$2:$C$150,A11)</x:f>
        <x:v>13</x:v>
      </x:c>
      <x:c r="D11" s="152" t="n">
        <x:f>COUNTIFS('任务台账'!$C$2:$C$150,A11,'任务台账'!$M$2:$M$150,"DONE")</x:f>
        <x:v>13</x:v>
      </x:c>
      <x:c r="E11" s="152" t="n">
        <x:f>COUNTIF('P0验收矩阵'!$C$2:$C$120,A11)</x:f>
        <x:v>0</x:v>
      </x:c>
      <x:c r="F11" s="152" t="n">
        <x:f>COUNTIFS('P0验收矩阵'!$C$2:$C$120,A11,'P0验收矩阵'!$I$2:$I$120,"LOCAL_PASS")+COUNTIFS('P0验收矩阵'!$C$2:$C$120,A11,'P0验收矩阵'!$I$2:$I$120,"CI_PASS")+COUNTIFS('P0验收矩阵'!$C$2:$C$120,A11,'P0验收矩阵'!$I$2:$I$120,"STAGING_PASS")+COUNTIFS('P0验收矩阵'!$C$2:$C$120,A11,'P0验收矩阵'!$I$2:$I$120,"DEVICE_PASS")+COUNTIFS('P0验收矩阵'!$C$2:$C$120,A11,'P0验收矩阵'!$I$2:$I$120,"PRODUCTION_PASS")</x:f>
        <x:v>0</x:v>
      </x:c>
      <x:c r="G11" s="152" t="str">
        <x:f>INDEX('阶段门禁'!$N$2:$N$8,MATCH(A11,'阶段门禁'!$A$2:$A$8,0))</x:f>
        <x:v>GATE_PASSED</x:v>
      </x:c>
      <x:c r="H11" s="152" t="str">
        <x:f>INDEX('阶段门禁'!$O$2:$O$8,MATCH(A11,'阶段门禁'!$A$2:$A$8,0))</x:f>
        <x:v>CI_PASS</x:v>
      </x:c>
      <x:c r="I11" s="152" t="str">
        <x:f>IF(G11="GATE_PASSED","PASSED",IF(G11="IN_PROGRESS","PR门禁待完成","LOCKED"))</x:f>
        <x:v>PASSED</x:v>
      </x:c>
      <x:c r="J11" s="187"/>
      <x:c r="K11" s="187"/>
      <x:c r="L11" s="187"/>
    </x:row>
    <x:row r="12" ht="24" customHeight="1">
      <x:c r="A12" s="152" t="str">
        <x:v>M1</x:v>
      </x:c>
      <x:c r="B12" s="152" t="str">
        <x:v>账号、权限与供应商</x:v>
      </x:c>
      <x:c r="C12" s="152" t="n">
        <x:f>COUNTIF('任务台账'!$C$2:$C$150,A12)</x:f>
        <x:v>16</x:v>
      </x:c>
      <x:c r="D12" s="152" t="n">
        <x:f>COUNTIFS('任务台账'!$C$2:$C$150,A12,'任务台账'!$M$2:$M$150,"DONE")</x:f>
        <x:v>16</x:v>
      </x:c>
      <x:c r="E12" s="152" t="n">
        <x:f>COUNTIF('P0验收矩阵'!$C$2:$C$120,A12)</x:f>
        <x:v>14</x:v>
      </x:c>
      <x:c r="F12" s="152" t="n">
        <x:f>COUNTIFS('P0验收矩阵'!$C$2:$C$120,A12,'P0验收矩阵'!$I$2:$I$120,"LOCAL_PASS")+COUNTIFS('P0验收矩阵'!$C$2:$C$120,A12,'P0验收矩阵'!$I$2:$I$120,"CI_PASS")+COUNTIFS('P0验收矩阵'!$C$2:$C$120,A12,'P0验收矩阵'!$I$2:$I$120,"STAGING_PASS")+COUNTIFS('P0验收矩阵'!$C$2:$C$120,A12,'P0验收矩阵'!$I$2:$I$120,"DEVICE_PASS")+COUNTIFS('P0验收矩阵'!$C$2:$C$120,A12,'P0验收矩阵'!$I$2:$I$120,"PRODUCTION_PASS")</x:f>
        <x:v>14</x:v>
      </x:c>
      <x:c r="G12" s="152" t="str">
        <x:f>INDEX('阶段门禁'!$N$2:$N$8,MATCH(A12,'阶段门禁'!$A$2:$A$8,0))</x:f>
        <x:v>GATE_PASSED</x:v>
      </x:c>
      <x:c r="H12" s="152" t="str">
        <x:f>INDEX('阶段门禁'!$O$2:$O$8,MATCH(A12,'阶段门禁'!$A$2:$A$8,0))</x:f>
        <x:v>CI_PASS</x:v>
      </x:c>
      <x:c r="I12" s="152" t="str">
        <x:f>IF(G12="GATE_PASSED","PASSED",IF(G12="IN_PROGRESS","PR门禁待完成","LOCKED"))</x:f>
        <x:v>PASSED</x:v>
      </x:c>
      <x:c r="J12" s="187"/>
      <x:c r="K12" s="187"/>
      <x:c r="L12" s="187"/>
    </x:row>
    <x:row r="13" ht="24" customHeight="1">
      <x:c r="A13" s="152" t="str">
        <x:v>M2</x:v>
      </x:c>
      <x:c r="B13" s="152" t="str">
        <x:v>分类、商品、价格与库存</x:v>
      </x:c>
      <x:c r="C13" s="152" t="n">
        <x:f>COUNTIF('任务台账'!$C$2:$C$150,A13)</x:f>
        <x:v>20</x:v>
      </x:c>
      <x:c r="D13" s="152" t="n">
        <x:f>COUNTIFS('任务台账'!$C$2:$C$150,A13,'任务台账'!$M$2:$M$150,"DONE")</x:f>
        <x:v>14</x:v>
      </x:c>
      <x:c r="E13" s="152" t="n">
        <x:f>COUNTIF('P0验收矩阵'!$C$2:$C$120,A13)</x:f>
        <x:v>18</x:v>
      </x:c>
      <x:c r="F13" s="152" t="n">
        <x:f>COUNTIFS('P0验收矩阵'!$C$2:$C$120,A13,'P0验收矩阵'!$I$2:$I$120,"LOCAL_PASS")+COUNTIFS('P0验收矩阵'!$C$2:$C$120,A13,'P0验收矩阵'!$I$2:$I$120,"CI_PASS")+COUNTIFS('P0验收矩阵'!$C$2:$C$120,A13,'P0验收矩阵'!$I$2:$I$120,"STAGING_PASS")+COUNTIFS('P0验收矩阵'!$C$2:$C$120,A13,'P0验收矩阵'!$I$2:$I$120,"DEVICE_PASS")+COUNTIFS('P0验收矩阵'!$C$2:$C$120,A13,'P0验收矩阵'!$I$2:$I$120,"PRODUCTION_PASS")</x:f>
        <x:v>14</x:v>
      </x:c>
      <x:c r="G13" s="152" t="str">
        <x:f>INDEX('阶段门禁'!$N$2:$N$8,MATCH(A13,'阶段门禁'!$A$2:$A$8,0))</x:f>
        <x:v>IN_PROGRESS</x:v>
      </x:c>
      <x:c r="H13" s="152" t="str">
        <x:f>INDEX('阶段门禁'!$O$2:$O$8,MATCH(A13,'阶段门禁'!$A$2:$A$8,0))</x:f>
        <x:v>LOCAL_PASS</x:v>
      </x:c>
      <x:c r="I13" s="152" t="str">
        <x:f>IF(G13="GATE_PASSED","PASSED",IF(G13="IN_PROGRESS","PR门禁待完成","LOCKED"))</x:f>
        <x:v>PR门禁待完成</x:v>
      </x:c>
      <x:c r="J13" s="187"/>
      <x:c r="K13" s="187"/>
      <x:c r="L13" s="187"/>
    </x:row>
    <x:row r="14" ht="24" customHeight="1">
      <x:c r="A14" s="152" t="str">
        <x:v>M3</x:v>
      </x:c>
      <x:c r="B14" s="152" t="str">
        <x:v>用户、企业采购、订单、福利卡与微信支付</x:v>
      </x:c>
      <x:c r="C14" s="152" t="n">
        <x:f>COUNTIF('任务台账'!$C$2:$C$150,A14)</x:f>
        <x:v>47</x:v>
      </x:c>
      <x:c r="D14" s="152" t="n">
        <x:f>COUNTIFS('任务台账'!$C$2:$C$150,A14,'任务台账'!$M$2:$M$150,"DONE")</x:f>
        <x:v>0</x:v>
      </x:c>
      <x:c r="E14" s="152" t="n">
        <x:f>COUNTIF('P0验收矩阵'!$C$2:$C$120,A14)</x:f>
        <x:v>45</x:v>
      </x:c>
      <x:c r="F14" s="152" t="n">
        <x:f>COUNTIFS('P0验收矩阵'!$C$2:$C$120,A14,'P0验收矩阵'!$I$2:$I$120,"LOCAL_PASS")+COUNTIFS('P0验收矩阵'!$C$2:$C$120,A14,'P0验收矩阵'!$I$2:$I$120,"CI_PASS")+COUNTIFS('P0验收矩阵'!$C$2:$C$120,A14,'P0验收矩阵'!$I$2:$I$120,"STAGING_PASS")+COUNTIFS('P0验收矩阵'!$C$2:$C$120,A14,'P0验收矩阵'!$I$2:$I$120,"DEVICE_PASS")+COUNTIFS('P0验收矩阵'!$C$2:$C$120,A14,'P0验收矩阵'!$I$2:$I$120,"PRODUCTION_PASS")</x:f>
        <x:v>0</x:v>
      </x:c>
      <x:c r="G14" s="152" t="str">
        <x:f>INDEX('阶段门禁'!$N$2:$N$8,MATCH(A14,'阶段门禁'!$A$2:$A$8,0))</x:f>
        <x:v>LOCKED</x:v>
      </x:c>
      <x:c r="H14" s="152" t="str">
        <x:f>INDEX('阶段门禁'!$O$2:$O$8,MATCH(A14,'阶段门禁'!$A$2:$A$8,0))</x:f>
        <x:v>NOT_EXECUTED</x:v>
      </x:c>
      <x:c r="I14" s="152" t="str">
        <x:f>IF(G14="GATE_PASSED","PASSED",IF(G14="IN_PROGRESS","PR门禁待完成","LOCKED"))</x:f>
        <x:v>LOCKED</x:v>
      </x:c>
      <x:c r="J14" s="187"/>
      <x:c r="K14" s="187"/>
      <x:c r="L14" s="187"/>
    </x:row>
    <x:row r="15" ht="24" customHeight="1">
      <x:c r="A15" s="152" t="str">
        <x:v>M4</x:v>
      </x:c>
      <x:c r="B15" s="152" t="str">
        <x:v>个人跑腿与企业统一配送</x:v>
      </x:c>
      <x:c r="C15" s="152" t="n">
        <x:f>COUNTIF('任务台账'!$C$2:$C$150,A15)</x:f>
        <x:v>31</x:v>
      </x:c>
      <x:c r="D15" s="152" t="n">
        <x:f>COUNTIFS('任务台账'!$C$2:$C$150,A15,'任务台账'!$M$2:$M$150,"DONE")</x:f>
        <x:v>0</x:v>
      </x:c>
      <x:c r="E15" s="152" t="n">
        <x:f>COUNTIF('P0验收矩阵'!$C$2:$C$120,A15)</x:f>
        <x:v>29</x:v>
      </x:c>
      <x:c r="F15" s="152" t="n">
        <x:f>COUNTIFS('P0验收矩阵'!$C$2:$C$120,A15,'P0验收矩阵'!$I$2:$I$120,"LOCAL_PASS")+COUNTIFS('P0验收矩阵'!$C$2:$C$120,A15,'P0验收矩阵'!$I$2:$I$120,"CI_PASS")+COUNTIFS('P0验收矩阵'!$C$2:$C$120,A15,'P0验收矩阵'!$I$2:$I$120,"STAGING_PASS")+COUNTIFS('P0验收矩阵'!$C$2:$C$120,A15,'P0验收矩阵'!$I$2:$I$120,"DEVICE_PASS")+COUNTIFS('P0验收矩阵'!$C$2:$C$120,A15,'P0验收矩阵'!$I$2:$I$120,"PRODUCTION_PASS")</x:f>
        <x:v>0</x:v>
      </x:c>
      <x:c r="G15" s="152" t="str">
        <x:f>INDEX('阶段门禁'!$N$2:$N$8,MATCH(A15,'阶段门禁'!$A$2:$A$8,0))</x:f>
        <x:v>LOCKED</x:v>
      </x:c>
      <x:c r="H15" s="152" t="str">
        <x:f>INDEX('阶段门禁'!$O$2:$O$8,MATCH(A15,'阶段门禁'!$A$2:$A$8,0))</x:f>
        <x:v>NOT_EXECUTED</x:v>
      </x:c>
      <x:c r="I15" s="152" t="str">
        <x:f>IF(G15="GATE_PASSED","PASSED",IF(G15="IN_PROGRESS","PR门禁待完成","LOCKED"))</x:f>
        <x:v>LOCKED</x:v>
      </x:c>
      <x:c r="J15" s="187"/>
      <x:c r="K15" s="187"/>
      <x:c r="L15" s="187"/>
    </x:row>
    <x:row r="16" ht="24" customHeight="1">
      <x:c r="A16" s="152" t="str">
        <x:v>M5</x:v>
      </x:c>
      <x:c r="B16" s="152" t="str">
        <x:v>售后、对账、线下结算与门户运营</x:v>
      </x:c>
      <x:c r="C16" s="152" t="n">
        <x:f>COUNTIF('任务台账'!$C$2:$C$150,A16)</x:f>
        <x:v>12</x:v>
      </x:c>
      <x:c r="D16" s="152" t="n">
        <x:f>COUNTIFS('任务台账'!$C$2:$C$150,A16,'任务台账'!$M$2:$M$150,"DONE")</x:f>
        <x:v>0</x:v>
      </x:c>
      <x:c r="E16" s="152" t="n">
        <x:f>COUNTIF('P0验收矩阵'!$C$2:$C$120,A16)</x:f>
        <x:v>10</x:v>
      </x:c>
      <x:c r="F16" s="152" t="n">
        <x:f>COUNTIFS('P0验收矩阵'!$C$2:$C$120,A16,'P0验收矩阵'!$I$2:$I$120,"LOCAL_PASS")+COUNTIFS('P0验收矩阵'!$C$2:$C$120,A16,'P0验收矩阵'!$I$2:$I$120,"CI_PASS")+COUNTIFS('P0验收矩阵'!$C$2:$C$120,A16,'P0验收矩阵'!$I$2:$I$120,"STAGING_PASS")+COUNTIFS('P0验收矩阵'!$C$2:$C$120,A16,'P0验收矩阵'!$I$2:$I$120,"DEVICE_PASS")+COUNTIFS('P0验收矩阵'!$C$2:$C$120,A16,'P0验收矩阵'!$I$2:$I$120,"PRODUCTION_PASS")</x:f>
        <x:v>0</x:v>
      </x:c>
      <x:c r="G16" s="152" t="str">
        <x:f>INDEX('阶段门禁'!$N$2:$N$8,MATCH(A16,'阶段门禁'!$A$2:$A$8,0))</x:f>
        <x:v>LOCKED</x:v>
      </x:c>
      <x:c r="H16" s="152" t="str">
        <x:f>INDEX('阶段门禁'!$O$2:$O$8,MATCH(A16,'阶段门禁'!$A$2:$A$8,0))</x:f>
        <x:v>NOT_EXECUTED</x:v>
      </x:c>
      <x:c r="I16" s="152" t="str">
        <x:f>IF(G16="GATE_PASSED","PASSED",IF(G16="IN_PROGRESS","PR门禁待完成","LOCKED"))</x:f>
        <x:v>LOCKED</x:v>
      </x:c>
      <x:c r="J16" s="187"/>
      <x:c r="K16" s="187"/>
      <x:c r="L16" s="187"/>
    </x:row>
    <x:row r="17" ht="24" customHeight="1">
      <x:c r="A17" s="152" t="str">
        <x:v>M6</x:v>
      </x:c>
      <x:c r="B17" s="152" t="str">
        <x:v>全量验收与上线准备</x:v>
      </x:c>
      <x:c r="C17" s="152" t="n">
        <x:f>COUNTIF('任务台账'!$C$2:$C$150,A17)</x:f>
        <x:v>10</x:v>
      </x:c>
      <x:c r="D17" s="152" t="n">
        <x:f>COUNTIFS('任务台账'!$C$2:$C$150,A17,'任务台账'!$M$2:$M$150,"DONE")</x:f>
        <x:v>0</x:v>
      </x:c>
      <x:c r="E17" s="152" t="n">
        <x:f>COUNTIF('P0验收矩阵'!$C$2:$C$120,A17)</x:f>
        <x:v>3</x:v>
      </x:c>
      <x:c r="F17" s="152" t="n">
        <x:f>COUNTIFS('P0验收矩阵'!$C$2:$C$120,A17,'P0验收矩阵'!$I$2:$I$120,"LOCAL_PASS")+COUNTIFS('P0验收矩阵'!$C$2:$C$120,A17,'P0验收矩阵'!$I$2:$I$120,"CI_PASS")+COUNTIFS('P0验收矩阵'!$C$2:$C$120,A17,'P0验收矩阵'!$I$2:$I$120,"STAGING_PASS")+COUNTIFS('P0验收矩阵'!$C$2:$C$120,A17,'P0验收矩阵'!$I$2:$I$120,"DEVICE_PASS")+COUNTIFS('P0验收矩阵'!$C$2:$C$120,A17,'P0验收矩阵'!$I$2:$I$120,"PRODUCTION_PASS")</x:f>
        <x:v>0</x:v>
      </x:c>
      <x:c r="G17" s="152" t="str">
        <x:f>INDEX('阶段门禁'!$N$2:$N$8,MATCH(A17,'阶段门禁'!$A$2:$A$8,0))</x:f>
        <x:v>LOCKED</x:v>
      </x:c>
      <x:c r="H17" s="152" t="str">
        <x:f>INDEX('阶段门禁'!$O$2:$O$8,MATCH(A17,'阶段门禁'!$A$2:$A$8,0))</x:f>
        <x:v>NOT_EXECUTED</x:v>
      </x:c>
      <x:c r="I17" s="152" t="str">
        <x:f>IF(G17="GATE_PASSED","PASSED",IF(G17="IN_PROGRESS","PR门禁待完成","LOCKED"))</x:f>
        <x:v>LOCKED</x:v>
      </x:c>
      <x:c r="J17" s="187"/>
      <x:c r="K17" s="187"/>
      <x:c r="L17" s="187"/>
    </x:row>
    <x:row r="18" ht="24" customHeight="1">
      <x:c r="A18" s="187"/>
      <x:c r="B18" s="187"/>
      <x:c r="C18" s="187"/>
      <x:c r="D18" s="187"/>
      <x:c r="E18" s="187"/>
      <x:c r="F18" s="187"/>
      <x:c r="G18" s="187"/>
      <x:c r="H18" s="187"/>
      <x:c r="I18" s="187"/>
      <x:c r="J18" s="187"/>
      <x:c r="K18" s="187"/>
      <x:c r="L18" s="187"/>
    </x:row>
    <x:row r="19" ht="24" customHeight="1">
      <x:c r="A19" s="155" t="str">
        <x:v>证据状态</x:v>
      </x:c>
      <x:c r="B19" s="155" t="str">
        <x:v>P0数量</x:v>
      </x:c>
      <x:c r="C19" s="155" t="str">
        <x:v>含义</x:v>
      </x:c>
      <x:c r="D19" s="155" t="str">
        <x:v>能否替代更高等级</x:v>
      </x:c>
      <x:c r="E19" s="187"/>
      <x:c r="F19" s="88" t="str">
        <x:v>不可跨越的控制点</x:v>
      </x:c>
      <x:c r="G19" s="88" t="str">
        <x:v>不可跨越的控制点</x:v>
      </x:c>
      <x:c r="H19" s="88" t="str">
        <x:v>不可跨越的控制点</x:v>
      </x:c>
      <x:c r="I19" s="88" t="str">
        <x:v>不可跨越的控制点</x:v>
      </x:c>
      <x:c r="J19" s="88" t="str">
        <x:v>不可跨越的控制点</x:v>
      </x:c>
      <x:c r="K19" s="88" t="str">
        <x:v>不可跨越的控制点</x:v>
      </x:c>
      <x:c r="L19" s="88" t="str">
        <x:v>不可跨越的控制点</x:v>
      </x:c>
    </x:row>
    <x:row r="20" ht="24" customHeight="1">
      <x:c r="A20" s="188" t="str">
        <x:v>NOT_EXECUTED</x:v>
      </x:c>
      <x:c r="B20" s="188" t="n">
        <x:f>COUNTIF('P0验收矩阵'!$I$2:$I$120,A20)</x:f>
        <x:v>91</x:v>
      </x:c>
      <x:c r="C20" s="188" t="str">
        <x:v>尚未执行</x:v>
      </x:c>
      <x:c r="D20" s="188" t="str">
        <x:v>否</x:v>
      </x:c>
      <x:c r="E20" s="187"/>
      <x:c r="F20" s="175" t="str">
        <x:v>1. 公司是唯一对客销售/收款/退款主体。
2. 供应价只对公司价格/财务及本供应商价格/财务可见。
3. 上架后三价中只有供应价变更必审；平台零售/集采价免审但追加留痕。
4. 个人与企业可跨供应商、统一向公司结账；企业配送绝不进入跑腿大厅。
5. 个人现金通道仅微信；福利卡混合支付按原结构退款。
6. 账本、价格、库存、物流节点、对账和付款历史不得覆盖。
7. 未经人工批准不得合并PR、发布Release、真实资金操作或生产部署。</x:v>
      </x:c>
      <x:c r="G20" s="176" t="str">
        <x:v>1. 公司是唯一对客销售/收款/退款主体。
2. 供应价只对公司价格/财务及本供应商价格/财务可见。
3. 上架后三价中只有供应价变更必审；平台零售/集采价免审但追加留痕。
4. 个人与企业可跨供应商、统一向公司结账；企业配送绝不进入跑腿大厅。
5. 个人现金通道仅微信；福利卡混合支付按原结构退款。
6. 账本、价格、库存、物流节点、对账和付款历史不得覆盖。
7. 未经人工批准不得合并PR、发布Release、真实资金操作或生产部署。</x:v>
      </x:c>
      <x:c r="H20" s="176" t="str">
        <x:v>1. 公司是唯一对客销售/收款/退款主体。
2. 供应价只对公司价格/财务及本供应商价格/财务可见。
3. 上架后三价中只有供应价变更必审；平台零售/集采价免审但追加留痕。
4. 个人与企业可跨供应商、统一向公司结账；企业配送绝不进入跑腿大厅。
5. 个人现金通道仅微信；福利卡混合支付按原结构退款。
6. 账本、价格、库存、物流节点、对账和付款历史不得覆盖。
7. 未经人工批准不得合并PR、发布Release、真实资金操作或生产部署。</x:v>
      </x:c>
      <x:c r="I20" s="176" t="str">
        <x:v>1. 公司是唯一对客销售/收款/退款主体。
2. 供应价只对公司价格/财务及本供应商价格/财务可见。
3. 上架后三价中只有供应价变更必审；平台零售/集采价免审但追加留痕。
4. 个人与企业可跨供应商、统一向公司结账；企业配送绝不进入跑腿大厅。
5. 个人现金通道仅微信；福利卡混合支付按原结构退款。
6. 账本、价格、库存、物流节点、对账和付款历史不得覆盖。
7. 未经人工批准不得合并PR、发布Release、真实资金操作或生产部署。</x:v>
      </x:c>
      <x:c r="J20" s="176" t="str">
        <x:v>1. 公司是唯一对客销售/收款/退款主体。
2. 供应价只对公司价格/财务及本供应商价格/财务可见。
3. 上架后三价中只有供应价变更必审；平台零售/集采价免审但追加留痕。
4. 个人与企业可跨供应商、统一向公司结账；企业配送绝不进入跑腿大厅。
5. 个人现金通道仅微信；福利卡混合支付按原结构退款。
6. 账本、价格、库存、物流节点、对账和付款历史不得覆盖。
7. 未经人工批准不得合并PR、发布Release、真实资金操作或生产部署。</x:v>
      </x:c>
      <x:c r="K20" s="176" t="str">
        <x:v>1. 公司是唯一对客销售/收款/退款主体。
2. 供应价只对公司价格/财务及本供应商价格/财务可见。
3. 上架后三价中只有供应价变更必审；平台零售/集采价免审但追加留痕。
4. 个人与企业可跨供应商、统一向公司结账；企业配送绝不进入跑腿大厅。
5. 个人现金通道仅微信；福利卡混合支付按原结构退款。
6. 账本、价格、库存、物流节点、对账和付款历史不得覆盖。
7. 未经人工批准不得合并PR、发布Release、真实资金操作或生产部署。</x:v>
      </x:c>
      <x:c r="L20" s="177" t="str">
        <x:v>1. 公司是唯一对客销售/收款/退款主体。
2. 供应价只对公司价格/财务及本供应商价格/财务可见。
3. 上架后三价中只有供应价变更必审；平台零售/集采价免审但追加留痕。
4. 个人与企业可跨供应商、统一向公司结账；企业配送绝不进入跑腿大厅。
5. 个人现金通道仅微信；福利卡混合支付按原结构退款。
6. 账本、价格、库存、物流节点、对账和付款历史不得覆盖。
7. 未经人工批准不得合并PR、发布Release、真实资金操作或生产部署。</x:v>
      </x:c>
    </x:row>
    <x:row r="21" ht="24" customHeight="1">
      <x:c r="A21" s="188" t="str">
        <x:v>LOCAL_PASS</x:v>
      </x:c>
      <x:c r="B21" s="188" t="n">
        <x:f>COUNTIF('P0验收矩阵'!$I$2:$I$120,A21)</x:f>
        <x:v>1</x:v>
      </x:c>
      <x:c r="C21" s="188" t="str">
        <x:v>本地新鲜证据</x:v>
      </x:c>
      <x:c r="D21" s="188" t="str">
        <x:v>否</x:v>
      </x:c>
      <x:c r="E21" s="187"/>
      <x:c r="F21" s="178" t="str">
        <x:v>1. 公司是唯一对客销售/收款/退款主体。
2. 供应价只对公司价格/财务及本供应商价格/财务可见。
3. 上架后三价中只有供应价变更必审；平台零售/集采价免审但追加留痕。
4. 个人与企业可跨供应商、统一向公司结账；企业配送绝不进入跑腿大厅。
5. 个人现金通道仅微信；福利卡混合支付按原结构退款。
6. 账本、价格、库存、物流节点、对账和付款历史不得覆盖。
7. 未经人工批准不得合并PR、发布Release、真实资金操作或生产部署。</x:v>
      </x:c>
      <x:c r="G21" s="179" t="str">
        <x:v>1. 公司是唯一对客销售/收款/退款主体。
2. 供应价只对公司价格/财务及本供应商价格/财务可见。
3. 上架后三价中只有供应价变更必审；平台零售/集采价免审但追加留痕。
4. 个人与企业可跨供应商、统一向公司结账；企业配送绝不进入跑腿大厅。
5. 个人现金通道仅微信；福利卡混合支付按原结构退款。
6. 账本、价格、库存、物流节点、对账和付款历史不得覆盖。
7. 未经人工批准不得合并PR、发布Release、真实资金操作或生产部署。</x:v>
      </x:c>
      <x:c r="H21" s="179" t="str">
        <x:v>1. 公司是唯一对客销售/收款/退款主体。
2. 供应价只对公司价格/财务及本供应商价格/财务可见。
3. 上架后三价中只有供应价变更必审；平台零售/集采价免审但追加留痕。
4. 个人与企业可跨供应商、统一向公司结账；企业配送绝不进入跑腿大厅。
5. 个人现金通道仅微信；福利卡混合支付按原结构退款。
6. 账本、价格、库存、物流节点、对账和付款历史不得覆盖。
7. 未经人工批准不得合并PR、发布Release、真实资金操作或生产部署。</x:v>
      </x:c>
      <x:c r="I21" s="179" t="str">
        <x:v>1. 公司是唯一对客销售/收款/退款主体。
2. 供应价只对公司价格/财务及本供应商价格/财务可见。
3. 上架后三价中只有供应价变更必审；平台零售/集采价免审但追加留痕。
4. 个人与企业可跨供应商、统一向公司结账；企业配送绝不进入跑腿大厅。
5. 个人现金通道仅微信；福利卡混合支付按原结构退款。
6. 账本、价格、库存、物流节点、对账和付款历史不得覆盖。
7. 未经人工批准不得合并PR、发布Release、真实资金操作或生产部署。</x:v>
      </x:c>
      <x:c r="J21" s="179" t="str">
        <x:v>1. 公司是唯一对客销售/收款/退款主体。
2. 供应价只对公司价格/财务及本供应商价格/财务可见。
3. 上架后三价中只有供应价变更必审；平台零售/集采价免审但追加留痕。
4. 个人与企业可跨供应商、统一向公司结账；企业配送绝不进入跑腿大厅。
5. 个人现金通道仅微信；福利卡混合支付按原结构退款。
6. 账本、价格、库存、物流节点、对账和付款历史不得覆盖。
7. 未经人工批准不得合并PR、发布Release、真实资金操作或生产部署。</x:v>
      </x:c>
      <x:c r="K21" s="179" t="str">
        <x:v>1. 公司是唯一对客销售/收款/退款主体。
2. 供应价只对公司价格/财务及本供应商价格/财务可见。
3. 上架后三价中只有供应价变更必审；平台零售/集采价免审但追加留痕。
4. 个人与企业可跨供应商、统一向公司结账；企业配送绝不进入跑腿大厅。
5. 个人现金通道仅微信；福利卡混合支付按原结构退款。
6. 账本、价格、库存、物流节点、对账和付款历史不得覆盖。
7. 未经人工批准不得合并PR、发布Release、真实资金操作或生产部署。</x:v>
      </x:c>
      <x:c r="L21" s="180" t="str">
        <x:v>1. 公司是唯一对客销售/收款/退款主体。
2. 供应价只对公司价格/财务及本供应商价格/财务可见。
3. 上架后三价中只有供应价变更必审；平台零售/集采价免审但追加留痕。
4. 个人与企业可跨供应商、统一向公司结账；企业配送绝不进入跑腿大厅。
5. 个人现金通道仅微信；福利卡混合支付按原结构退款。
6. 账本、价格、库存、物流节点、对账和付款历史不得覆盖。
7. 未经人工批准不得合并PR、发布Release、真实资金操作或生产部署。</x:v>
      </x:c>
    </x:row>
    <x:row r="22" ht="24" customHeight="1">
      <x:c r="A22" s="188" t="str">
        <x:v>CI_PASS</x:v>
      </x:c>
      <x:c r="B22" s="188" t="n">
        <x:f>COUNTIF('P0验收矩阵'!$I$2:$I$120,A22)</x:f>
        <x:v>27</x:v>
      </x:c>
      <x:c r="C22" s="188" t="str">
        <x:v>当前提交CI通过</x:v>
      </x:c>
      <x:c r="D22" s="188" t="str">
        <x:v>否</x:v>
      </x:c>
      <x:c r="E22" s="187"/>
      <x:c r="F22" s="178" t="str">
        <x:v>1. 公司是唯一对客销售/收款/退款主体。
2. 供应价只对公司价格/财务及本供应商价格/财务可见。
3. 上架后三价中只有供应价变更必审；平台零售/集采价免审但追加留痕。
4. 个人与企业可跨供应商、统一向公司结账；企业配送绝不进入跑腿大厅。
5. 个人现金通道仅微信；福利卡混合支付按原结构退款。
6. 账本、价格、库存、物流节点、对账和付款历史不得覆盖。
7. 未经人工批准不得合并PR、发布Release、真实资金操作或生产部署。</x:v>
      </x:c>
      <x:c r="G22" s="179" t="str">
        <x:v>1. 公司是唯一对客销售/收款/退款主体。
2. 供应价只对公司价格/财务及本供应商价格/财务可见。
3. 上架后三价中只有供应价变更必审；平台零售/集采价免审但追加留痕。
4. 个人与企业可跨供应商、统一向公司结账；企业配送绝不进入跑腿大厅。
5. 个人现金通道仅微信；福利卡混合支付按原结构退款。
6. 账本、价格、库存、物流节点、对账和付款历史不得覆盖。
7. 未经人工批准不得合并PR、发布Release、真实资金操作或生产部署。</x:v>
      </x:c>
      <x:c r="H22" s="179" t="str">
        <x:v>1. 公司是唯一对客销售/收款/退款主体。
2. 供应价只对公司价格/财务及本供应商价格/财务可见。
3. 上架后三价中只有供应价变更必审；平台零售/集采价免审但追加留痕。
4. 个人与企业可跨供应商、统一向公司结账；企业配送绝不进入跑腿大厅。
5. 个人现金通道仅微信；福利卡混合支付按原结构退款。
6. 账本、价格、库存、物流节点、对账和付款历史不得覆盖。
7. 未经人工批准不得合并PR、发布Release、真实资金操作或生产部署。</x:v>
      </x:c>
      <x:c r="I22" s="179" t="str">
        <x:v>1. 公司是唯一对客销售/收款/退款主体。
2. 供应价只对公司价格/财务及本供应商价格/财务可见。
3. 上架后三价中只有供应价变更必审；平台零售/集采价免审但追加留痕。
4. 个人与企业可跨供应商、统一向公司结账；企业配送绝不进入跑腿大厅。
5. 个人现金通道仅微信；福利卡混合支付按原结构退款。
6. 账本、价格、库存、物流节点、对账和付款历史不得覆盖。
7. 未经人工批准不得合并PR、发布Release、真实资金操作或生产部署。</x:v>
      </x:c>
      <x:c r="J22" s="179" t="str">
        <x:v>1. 公司是唯一对客销售/收款/退款主体。
2. 供应价只对公司价格/财务及本供应商价格/财务可见。
3. 上架后三价中只有供应价变更必审；平台零售/集采价免审但追加留痕。
4. 个人与企业可跨供应商、统一向公司结账；企业配送绝不进入跑腿大厅。
5. 个人现金通道仅微信；福利卡混合支付按原结构退款。
6. 账本、价格、库存、物流节点、对账和付款历史不得覆盖。
7. 未经人工批准不得合并PR、发布Release、真实资金操作或生产部署。</x:v>
      </x:c>
      <x:c r="K22" s="179" t="str">
        <x:v>1. 公司是唯一对客销售/收款/退款主体。
2. 供应价只对公司价格/财务及本供应商价格/财务可见。
3. 上架后三价中只有供应价变更必审；平台零售/集采价免审但追加留痕。
4. 个人与企业可跨供应商、统一向公司结账；企业配送绝不进入跑腿大厅。
5. 个人现金通道仅微信；福利卡混合支付按原结构退款。
6. 账本、价格、库存、物流节点、对账和付款历史不得覆盖。
7. 未经人工批准不得合并PR、发布Release、真实资金操作或生产部署。</x:v>
      </x:c>
      <x:c r="L22" s="180" t="str">
        <x:v>1. 公司是唯一对客销售/收款/退款主体。
2. 供应价只对公司价格/财务及本供应商价格/财务可见。
3. 上架后三价中只有供应价变更必审；平台零售/集采价免审但追加留痕。
4. 个人与企业可跨供应商、统一向公司结账；企业配送绝不进入跑腿大厅。
5. 个人现金通道仅微信；福利卡混合支付按原结构退款。
6. 账本、价格、库存、物流节点、对账和付款历史不得覆盖。
7. 未经人工批准不得合并PR、发布Release、真实资金操作或生产部署。</x:v>
      </x:c>
    </x:row>
    <x:row r="23" ht="24" customHeight="1">
      <x:c r="A23" s="188" t="str">
        <x:v>STAGING_PASS</x:v>
      </x:c>
      <x:c r="B23" s="188" t="n">
        <x:f>COUNTIF('P0验收矩阵'!$I$2:$I$120,A23)</x:f>
        <x:v>0</x:v>
      </x:c>
      <x:c r="C23" s="188" t="str">
        <x:v>同一制品预发布通过</x:v>
      </x:c>
      <x:c r="D23" s="188" t="str">
        <x:v>否</x:v>
      </x:c>
      <x:c r="E23" s="187"/>
      <x:c r="F23" s="178" t="str">
        <x:v>1. 公司是唯一对客销售/收款/退款主体。
2. 供应价只对公司价格/财务及本供应商价格/财务可见。
3. 上架后三价中只有供应价变更必审；平台零售/集采价免审但追加留痕。
4. 个人与企业可跨供应商、统一向公司结账；企业配送绝不进入跑腿大厅。
5. 个人现金通道仅微信；福利卡混合支付按原结构退款。
6. 账本、价格、库存、物流节点、对账和付款历史不得覆盖。
7. 未经人工批准不得合并PR、发布Release、真实资金操作或生产部署。</x:v>
      </x:c>
      <x:c r="G23" s="179" t="str">
        <x:v>1. 公司是唯一对客销售/收款/退款主体。
2. 供应价只对公司价格/财务及本供应商价格/财务可见。
3. 上架后三价中只有供应价变更必审；平台零售/集采价免审但追加留痕。
4. 个人与企业可跨供应商、统一向公司结账；企业配送绝不进入跑腿大厅。
5. 个人现金通道仅微信；福利卡混合支付按原结构退款。
6. 账本、价格、库存、物流节点、对账和付款历史不得覆盖。
7. 未经人工批准不得合并PR、发布Release、真实资金操作或生产部署。</x:v>
      </x:c>
      <x:c r="H23" s="179" t="str">
        <x:v>1. 公司是唯一对客销售/收款/退款主体。
2. 供应价只对公司价格/财务及本供应商价格/财务可见。
3. 上架后三价中只有供应价变更必审；平台零售/集采价免审但追加留痕。
4. 个人与企业可跨供应商、统一向公司结账；企业配送绝不进入跑腿大厅。
5. 个人现金通道仅微信；福利卡混合支付按原结构退款。
6. 账本、价格、库存、物流节点、对账和付款历史不得覆盖。
7. 未经人工批准不得合并PR、发布Release、真实资金操作或生产部署。</x:v>
      </x:c>
      <x:c r="I23" s="179" t="str">
        <x:v>1. 公司是唯一对客销售/收款/退款主体。
2. 供应价只对公司价格/财务及本供应商价格/财务可见。
3. 上架后三价中只有供应价变更必审；平台零售/集采价免审但追加留痕。
4. 个人与企业可跨供应商、统一向公司结账；企业配送绝不进入跑腿大厅。
5. 个人现金通道仅微信；福利卡混合支付按原结构退款。
6. 账本、价格、库存、物流节点、对账和付款历史不得覆盖。
7. 未经人工批准不得合并PR、发布Release、真实资金操作或生产部署。</x:v>
      </x:c>
      <x:c r="J23" s="179" t="str">
        <x:v>1. 公司是唯一对客销售/收款/退款主体。
2. 供应价只对公司价格/财务及本供应商价格/财务可见。
3. 上架后三价中只有供应价变更必审；平台零售/集采价免审但追加留痕。
4. 个人与企业可跨供应商、统一向公司结账；企业配送绝不进入跑腿大厅。
5. 个人现金通道仅微信；福利卡混合支付按原结构退款。
6. 账本、价格、库存、物流节点、对账和付款历史不得覆盖。
7. 未经人工批准不得合并PR、发布Release、真实资金操作或生产部署。</x:v>
      </x:c>
      <x:c r="K23" s="179" t="str">
        <x:v>1. 公司是唯一对客销售/收款/退款主体。
2. 供应价只对公司价格/财务及本供应商价格/财务可见。
3. 上架后三价中只有供应价变更必审；平台零售/集采价免审但追加留痕。
4. 个人与企业可跨供应商、统一向公司结账；企业配送绝不进入跑腿大厅。
5. 个人现金通道仅微信；福利卡混合支付按原结构退款。
6. 账本、价格、库存、物流节点、对账和付款历史不得覆盖。
7. 未经人工批准不得合并PR、发布Release、真实资金操作或生产部署。</x:v>
      </x:c>
      <x:c r="L23" s="180" t="str">
        <x:v>1. 公司是唯一对客销售/收款/退款主体。
2. 供应价只对公司价格/财务及本供应商价格/财务可见。
3. 上架后三价中只有供应价变更必审；平台零售/集采价免审但追加留痕。
4. 个人与企业可跨供应商、统一向公司结账；企业配送绝不进入跑腿大厅。
5. 个人现金通道仅微信；福利卡混合支付按原结构退款。
6. 账本、价格、库存、物流节点、对账和付款历史不得覆盖。
7. 未经人工批准不得合并PR、发布Release、真实资金操作或生产部署。</x:v>
      </x:c>
    </x:row>
    <x:row r="24" ht="24" customHeight="1">
      <x:c r="A24" s="188" t="str">
        <x:v>DEVICE_PASS</x:v>
      </x:c>
      <x:c r="B24" s="188" t="n">
        <x:f>COUNTIF('P0验收矩阵'!$I$2:$I$120,A24)</x:f>
        <x:v>0</x:v>
      </x:c>
      <x:c r="C24" s="188" t="str">
        <x:v>要求的微信真机通过</x:v>
      </x:c>
      <x:c r="D24" s="188" t="str">
        <x:v>否</x:v>
      </x:c>
      <x:c r="E24" s="187"/>
      <x:c r="F24" s="178" t="str">
        <x:v>1. 公司是唯一对客销售/收款/退款主体。
2. 供应价只对公司价格/财务及本供应商价格/财务可见。
3. 上架后三价中只有供应价变更必审；平台零售/集采价免审但追加留痕。
4. 个人与企业可跨供应商、统一向公司结账；企业配送绝不进入跑腿大厅。
5. 个人现金通道仅微信；福利卡混合支付按原结构退款。
6. 账本、价格、库存、物流节点、对账和付款历史不得覆盖。
7. 未经人工批准不得合并PR、发布Release、真实资金操作或生产部署。</x:v>
      </x:c>
      <x:c r="G24" s="179" t="str">
        <x:v>1. 公司是唯一对客销售/收款/退款主体。
2. 供应价只对公司价格/财务及本供应商价格/财务可见。
3. 上架后三价中只有供应价变更必审；平台零售/集采价免审但追加留痕。
4. 个人与企业可跨供应商、统一向公司结账；企业配送绝不进入跑腿大厅。
5. 个人现金通道仅微信；福利卡混合支付按原结构退款。
6. 账本、价格、库存、物流节点、对账和付款历史不得覆盖。
7. 未经人工批准不得合并PR、发布Release、真实资金操作或生产部署。</x:v>
      </x:c>
      <x:c r="H24" s="179" t="str">
        <x:v>1. 公司是唯一对客销售/收款/退款主体。
2. 供应价只对公司价格/财务及本供应商价格/财务可见。
3. 上架后三价中只有供应价变更必审；平台零售/集采价免审但追加留痕。
4. 个人与企业可跨供应商、统一向公司结账；企业配送绝不进入跑腿大厅。
5. 个人现金通道仅微信；福利卡混合支付按原结构退款。
6. 账本、价格、库存、物流节点、对账和付款历史不得覆盖。
7. 未经人工批准不得合并PR、发布Release、真实资金操作或生产部署。</x:v>
      </x:c>
      <x:c r="I24" s="179" t="str">
        <x:v>1. 公司是唯一对客销售/收款/退款主体。
2. 供应价只对公司价格/财务及本供应商价格/财务可见。
3. 上架后三价中只有供应价变更必审；平台零售/集采价免审但追加留痕。
4. 个人与企业可跨供应商、统一向公司结账；企业配送绝不进入跑腿大厅。
5. 个人现金通道仅微信；福利卡混合支付按原结构退款。
6. 账本、价格、库存、物流节点、对账和付款历史不得覆盖。
7. 未经人工批准不得合并PR、发布Release、真实资金操作或生产部署。</x:v>
      </x:c>
      <x:c r="J24" s="179" t="str">
        <x:v>1. 公司是唯一对客销售/收款/退款主体。
2. 供应价只对公司价格/财务及本供应商价格/财务可见。
3. 上架后三价中只有供应价变更必审；平台零售/集采价免审但追加留痕。
4. 个人与企业可跨供应商、统一向公司结账；企业配送绝不进入跑腿大厅。
5. 个人现金通道仅微信；福利卡混合支付按原结构退款。
6. 账本、价格、库存、物流节点、对账和付款历史不得覆盖。
7. 未经人工批准不得合并PR、发布Release、真实资金操作或生产部署。</x:v>
      </x:c>
      <x:c r="K24" s="179" t="str">
        <x:v>1. 公司是唯一对客销售/收款/退款主体。
2. 供应价只对公司价格/财务及本供应商价格/财务可见。
3. 上架后三价中只有供应价变更必审；平台零售/集采价免审但追加留痕。
4. 个人与企业可跨供应商、统一向公司结账；企业配送绝不进入跑腿大厅。
5. 个人现金通道仅微信；福利卡混合支付按原结构退款。
6. 账本、价格、库存、物流节点、对账和付款历史不得覆盖。
7. 未经人工批准不得合并PR、发布Release、真实资金操作或生产部署。</x:v>
      </x:c>
      <x:c r="L24" s="180" t="str">
        <x:v>1. 公司是唯一对客销售/收款/退款主体。
2. 供应价只对公司价格/财务及本供应商价格/财务可见。
3. 上架后三价中只有供应价变更必审；平台零售/集采价免审但追加留痕。
4. 个人与企业可跨供应商、统一向公司结账；企业配送绝不进入跑腿大厅。
5. 个人现金通道仅微信；福利卡混合支付按原结构退款。
6. 账本、价格、库存、物流节点、对账和付款历史不得覆盖。
7. 未经人工批准不得合并PR、发布Release、真实资金操作或生产部署。</x:v>
      </x:c>
    </x:row>
    <x:row r="25" ht="24" customHeight="1">
      <x:c r="A25" s="188" t="str">
        <x:v>PRODUCTION_PASS</x:v>
      </x:c>
      <x:c r="B25" s="188" t="n">
        <x:f>COUNTIF('P0验收矩阵'!$I$2:$I$120,A25)</x:f>
        <x:v>0</x:v>
      </x:c>
      <x:c r="C25" s="188" t="str">
        <x:v>授权上线后受控验收</x:v>
      </x:c>
      <x:c r="D25" s="188" t="str">
        <x:v>最高但仍需留证</x:v>
      </x:c>
      <x:c r="E25" s="187"/>
      <x:c r="F25" s="178" t="str">
        <x:v>1. 公司是唯一对客销售/收款/退款主体。
2. 供应价只对公司价格/财务及本供应商价格/财务可见。
3. 上架后三价中只有供应价变更必审；平台零售/集采价免审但追加留痕。
4. 个人与企业可跨供应商、统一向公司结账；企业配送绝不进入跑腿大厅。
5. 个人现金通道仅微信；福利卡混合支付按原结构退款。
6. 账本、价格、库存、物流节点、对账和付款历史不得覆盖。
7. 未经人工批准不得合并PR、发布Release、真实资金操作或生产部署。</x:v>
      </x:c>
      <x:c r="G25" s="179" t="str">
        <x:v>1. 公司是唯一对客销售/收款/退款主体。
2. 供应价只对公司价格/财务及本供应商价格/财务可见。
3. 上架后三价中只有供应价变更必审；平台零售/集采价免审但追加留痕。
4. 个人与企业可跨供应商、统一向公司结账；企业配送绝不进入跑腿大厅。
5. 个人现金通道仅微信；福利卡混合支付按原结构退款。
6. 账本、价格、库存、物流节点、对账和付款历史不得覆盖。
7. 未经人工批准不得合并PR、发布Release、真实资金操作或生产部署。</x:v>
      </x:c>
      <x:c r="H25" s="179" t="str">
        <x:v>1. 公司是唯一对客销售/收款/退款主体。
2. 供应价只对公司价格/财务及本供应商价格/财务可见。
3. 上架后三价中只有供应价变更必审；平台零售/集采价免审但追加留痕。
4. 个人与企业可跨供应商、统一向公司结账；企业配送绝不进入跑腿大厅。
5. 个人现金通道仅微信；福利卡混合支付按原结构退款。
6. 账本、价格、库存、物流节点、对账和付款历史不得覆盖。
7. 未经人工批准不得合并PR、发布Release、真实资金操作或生产部署。</x:v>
      </x:c>
      <x:c r="I25" s="179" t="str">
        <x:v>1. 公司是唯一对客销售/收款/退款主体。
2. 供应价只对公司价格/财务及本供应商价格/财务可见。
3. 上架后三价中只有供应价变更必审；平台零售/集采价免审但追加留痕。
4. 个人与企业可跨供应商、统一向公司结账；企业配送绝不进入跑腿大厅。
5. 个人现金通道仅微信；福利卡混合支付按原结构退款。
6. 账本、价格、库存、物流节点、对账和付款历史不得覆盖。
7. 未经人工批准不得合并PR、发布Release、真实资金操作或生产部署。</x:v>
      </x:c>
      <x:c r="J25" s="179" t="str">
        <x:v>1. 公司是唯一对客销售/收款/退款主体。
2. 供应价只对公司价格/财务及本供应商价格/财务可见。
3. 上架后三价中只有供应价变更必审；平台零售/集采价免审但追加留痕。
4. 个人与企业可跨供应商、统一向公司结账；企业配送绝不进入跑腿大厅。
5. 个人现金通道仅微信；福利卡混合支付按原结构退款。
6. 账本、价格、库存、物流节点、对账和付款历史不得覆盖。
7. 未经人工批准不得合并PR、发布Release、真实资金操作或生产部署。</x:v>
      </x:c>
      <x:c r="K25" s="179" t="str">
        <x:v>1. 公司是唯一对客销售/收款/退款主体。
2. 供应价只对公司价格/财务及本供应商价格/财务可见。
3. 上架后三价中只有供应价变更必审；平台零售/集采价免审但追加留痕。
4. 个人与企业可跨供应商、统一向公司结账；企业配送绝不进入跑腿大厅。
5. 个人现金通道仅微信；福利卡混合支付按原结构退款。
6. 账本、价格、库存、物流节点、对账和付款历史不得覆盖。
7. 未经人工批准不得合并PR、发布Release、真实资金操作或生产部署。</x:v>
      </x:c>
      <x:c r="L25" s="180" t="str">
        <x:v>1. 公司是唯一对客销售/收款/退款主体。
2. 供应价只对公司价格/财务及本供应商价格/财务可见。
3. 上架后三价中只有供应价变更必审；平台零售/集采价免审但追加留痕。
4. 个人与企业可跨供应商、统一向公司结账；企业配送绝不进入跑腿大厅。
5. 个人现金通道仅微信；福利卡混合支付按原结构退款。
6. 账本、价格、库存、物流节点、对账和付款历史不得覆盖。
7. 未经人工批准不得合并PR、发布Release、真实资金操作或生产部署。</x:v>
      </x:c>
    </x:row>
    <x:row r="26" ht="24" customHeight="1">
      <x:c r="A26" s="188" t="str">
        <x:v>BLOCKED_EXTERNAL</x:v>
      </x:c>
      <x:c r="B26" s="188" t="n">
        <x:f>COUNTIF('P0验收矩阵'!$I$2:$I$120,A26)</x:f>
        <x:v>0</x:v>
      </x:c>
      <x:c r="C26" s="188" t="str">
        <x:v>缺账号/证书/资金/人工审批</x:v>
      </x:c>
      <x:c r="D26" s="188" t="str">
        <x:v>否</x:v>
      </x:c>
      <x:c r="E26" s="187"/>
      <x:c r="F26" s="178" t="str">
        <x:v>1. 公司是唯一对客销售/收款/退款主体。
2. 供应价只对公司价格/财务及本供应商价格/财务可见。
3. 上架后三价中只有供应价变更必审；平台零售/集采价免审但追加留痕。
4. 个人与企业可跨供应商、统一向公司结账；企业配送绝不进入跑腿大厅。
5. 个人现金通道仅微信；福利卡混合支付按原结构退款。
6. 账本、价格、库存、物流节点、对账和付款历史不得覆盖。
7. 未经人工批准不得合并PR、发布Release、真实资金操作或生产部署。</x:v>
      </x:c>
      <x:c r="G26" s="179" t="str">
        <x:v>1. 公司是唯一对客销售/收款/退款主体。
2. 供应价只对公司价格/财务及本供应商价格/财务可见。
3. 上架后三价中只有供应价变更必审；平台零售/集采价免审但追加留痕。
4. 个人与企业可跨供应商、统一向公司结账；企业配送绝不进入跑腿大厅。
5. 个人现金通道仅微信；福利卡混合支付按原结构退款。
6. 账本、价格、库存、物流节点、对账和付款历史不得覆盖。
7. 未经人工批准不得合并PR、发布Release、真实资金操作或生产部署。</x:v>
      </x:c>
      <x:c r="H26" s="179" t="str">
        <x:v>1. 公司是唯一对客销售/收款/退款主体。
2. 供应价只对公司价格/财务及本供应商价格/财务可见。
3. 上架后三价中只有供应价变更必审；平台零售/集采价免审但追加留痕。
4. 个人与企业可跨供应商、统一向公司结账；企业配送绝不进入跑腿大厅。
5. 个人现金通道仅微信；福利卡混合支付按原结构退款。
6. 账本、价格、库存、物流节点、对账和付款历史不得覆盖。
7. 未经人工批准不得合并PR、发布Release、真实资金操作或生产部署。</x:v>
      </x:c>
      <x:c r="I26" s="179" t="str">
        <x:v>1. 公司是唯一对客销售/收款/退款主体。
2. 供应价只对公司价格/财务及本供应商价格/财务可见。
3. 上架后三价中只有供应价变更必审；平台零售/集采价免审但追加留痕。
4. 个人与企业可跨供应商、统一向公司结账；企业配送绝不进入跑腿大厅。
5. 个人现金通道仅微信；福利卡混合支付按原结构退款。
6. 账本、价格、库存、物流节点、对账和付款历史不得覆盖。
7. 未经人工批准不得合并PR、发布Release、真实资金操作或生产部署。</x:v>
      </x:c>
      <x:c r="J26" s="179" t="str">
        <x:v>1. 公司是唯一对客销售/收款/退款主体。
2. 供应价只对公司价格/财务及本供应商价格/财务可见。
3. 上架后三价中只有供应价变更必审；平台零售/集采价免审但追加留痕。
4. 个人与企业可跨供应商、统一向公司结账；企业配送绝不进入跑腿大厅。
5. 个人现金通道仅微信；福利卡混合支付按原结构退款。
6. 账本、价格、库存、物流节点、对账和付款历史不得覆盖。
7. 未经人工批准不得合并PR、发布Release、真实资金操作或生产部署。</x:v>
      </x:c>
      <x:c r="K26" s="179" t="str">
        <x:v>1. 公司是唯一对客销售/收款/退款主体。
2. 供应价只对公司价格/财务及本供应商价格/财务可见。
3. 上架后三价中只有供应价变更必审；平台零售/集采价免审但追加留痕。
4. 个人与企业可跨供应商、统一向公司结账；企业配送绝不进入跑腿大厅。
5. 个人现金通道仅微信；福利卡混合支付按原结构退款。
6. 账本、价格、库存、物流节点、对账和付款历史不得覆盖。
7. 未经人工批准不得合并PR、发布Release、真实资金操作或生产部署。</x:v>
      </x:c>
      <x:c r="L26" s="180" t="str">
        <x:v>1. 公司是唯一对客销售/收款/退款主体。
2. 供应价只对公司价格/财务及本供应商价格/财务可见。
3. 上架后三价中只有供应价变更必审；平台零售/集采价免审但追加留痕。
4. 个人与企业可跨供应商、统一向公司结账；企业配送绝不进入跑腿大厅。
5. 个人现金通道仅微信；福利卡混合支付按原结构退款。
6. 账本、价格、库存、物流节点、对账和付款历史不得覆盖。
7. 未经人工批准不得合并PR、发布Release、真实资金操作或生产部署。</x:v>
      </x:c>
    </x:row>
    <x:row r="27" ht="24" customHeight="1">
      <x:c r="A27" s="188" t="str">
        <x:v>FAIL</x:v>
      </x:c>
      <x:c r="B27" s="188" t="n">
        <x:f>COUNTIF('P0验收矩阵'!$I$2:$I$120,A27)</x:f>
        <x:v>0</x:v>
      </x:c>
      <x:c r="C27" s="188" t="str">
        <x:v>已执行但失败</x:v>
      </x:c>
      <x:c r="D27" s="188" t="str">
        <x:v>否</x:v>
      </x:c>
      <x:c r="E27" s="187"/>
      <x:c r="F27" s="181" t="str">
        <x:v>1. 公司是唯一对客销售/收款/退款主体。
2. 供应价只对公司价格/财务及本供应商价格/财务可见。
3. 上架后三价中只有供应价变更必审；平台零售/集采价免审但追加留痕。
4. 个人与企业可跨供应商、统一向公司结账；企业配送绝不进入跑腿大厅。
5. 个人现金通道仅微信；福利卡混合支付按原结构退款。
6. 账本、价格、库存、物流节点、对账和付款历史不得覆盖。
7. 未经人工批准不得合并PR、发布Release、真实资金操作或生产部署。</x:v>
      </x:c>
      <x:c r="G27" s="182" t="str">
        <x:v>1. 公司是唯一对客销售/收款/退款主体。
2. 供应价只对公司价格/财务及本供应商价格/财务可见。
3. 上架后三价中只有供应价变更必审；平台零售/集采价免审但追加留痕。
4. 个人与企业可跨供应商、统一向公司结账；企业配送绝不进入跑腿大厅。
5. 个人现金通道仅微信；福利卡混合支付按原结构退款。
6. 账本、价格、库存、物流节点、对账和付款历史不得覆盖。
7. 未经人工批准不得合并PR、发布Release、真实资金操作或生产部署。</x:v>
      </x:c>
      <x:c r="H27" s="182" t="str">
        <x:v>1. 公司是唯一对客销售/收款/退款主体。
2. 供应价只对公司价格/财务及本供应商价格/财务可见。
3. 上架后三价中只有供应价变更必审；平台零售/集采价免审但追加留痕。
4. 个人与企业可跨供应商、统一向公司结账；企业配送绝不进入跑腿大厅。
5. 个人现金通道仅微信；福利卡混合支付按原结构退款。
6. 账本、价格、库存、物流节点、对账和付款历史不得覆盖。
7. 未经人工批准不得合并PR、发布Release、真实资金操作或生产部署。</x:v>
      </x:c>
      <x:c r="I27" s="182" t="str">
        <x:v>1. 公司是唯一对客销售/收款/退款主体。
2. 供应价只对公司价格/财务及本供应商价格/财务可见。
3. 上架后三价中只有供应价变更必审；平台零售/集采价免审但追加留痕。
4. 个人与企业可跨供应商、统一向公司结账；企业配送绝不进入跑腿大厅。
5. 个人现金通道仅微信；福利卡混合支付按原结构退款。
6. 账本、价格、库存、物流节点、对账和付款历史不得覆盖。
7. 未经人工批准不得合并PR、发布Release、真实资金操作或生产部署。</x:v>
      </x:c>
      <x:c r="J27" s="182" t="str">
        <x:v>1. 公司是唯一对客销售/收款/退款主体。
2. 供应价只对公司价格/财务及本供应商价格/财务可见。
3. 上架后三价中只有供应价变更必审；平台零售/集采价免审但追加留痕。
4. 个人与企业可跨供应商、统一向公司结账；企业配送绝不进入跑腿大厅。
5. 个人现金通道仅微信；福利卡混合支付按原结构退款。
6. 账本、价格、库存、物流节点、对账和付款历史不得覆盖。
7. 未经人工批准不得合并PR、发布Release、真实资金操作或生产部署。</x:v>
      </x:c>
      <x:c r="K27" s="182" t="str">
        <x:v>1. 公司是唯一对客销售/收款/退款主体。
2. 供应价只对公司价格/财务及本供应商价格/财务可见。
3. 上架后三价中只有供应价变更必审；平台零售/集采价免审但追加留痕。
4. 个人与企业可跨供应商、统一向公司结账；企业配送绝不进入跑腿大厅。
5. 个人现金通道仅微信；福利卡混合支付按原结构退款。
6. 账本、价格、库存、物流节点、对账和付款历史不得覆盖。
7. 未经人工批准不得合并PR、发布Release、真实资金操作或生产部署。</x:v>
      </x:c>
      <x:c r="L27" s="183" t="str">
        <x:v>1. 公司是唯一对客销售/收款/退款主体。
2. 供应价只对公司价格/财务及本供应商价格/财务可见。
3. 上架后三价中只有供应价变更必审；平台零售/集采价免审但追加留痕。
4. 个人与企业可跨供应商、统一向公司结账；企业配送绝不进入跑腿大厅。
5. 个人现金通道仅微信；福利卡混合支付按原结构退款。
6. 账本、价格、库存、物流节点、对账和付款历史不得覆盖。
7. 未经人工批准不得合并PR、发布Release、真实资金操作或生产部署。</x:v>
      </x:c>
    </x:row>
    <x:row r="28" ht="24" customHeight="1">
      <x:c r="A28" s="187"/>
      <x:c r="B28" s="187"/>
      <x:c r="C28" s="187"/>
      <x:c r="D28" s="187"/>
      <x:c r="E28" s="187"/>
      <x:c r="F28" s="187"/>
      <x:c r="G28" s="187"/>
      <x:c r="H28" s="187"/>
      <x:c r="I28" s="187"/>
      <x:c r="J28" s="187"/>
      <x:c r="K28" s="187"/>
      <x:c r="L28" s="187"/>
    </x:row>
    <x:row r="29" ht="24" customHeight="1">
      <x:c r="A29" s="186" t="str">
        <x:v>M1-GATE PASS；M2-P006至M2-P018均已合并main且合并后CI_PASS；M2-P019 verify head 66a2511的API 9/9、双审核回归15/15、契约/P019 E2E/OpenAPI/MySQL演练与完整verify 17/17 LOCAL_PASS；Draft PR、精确head CI、自评与人工合并待执行；P020及以后锁定。</x:v>
      </x:c>
      <x:c r="B29" s="186"/>
      <x:c r="C29" s="186"/>
      <x:c r="D29" s="186"/>
      <x:c r="E29" s="186"/>
      <x:c r="F29" s="186"/>
      <x:c r="G29" s="186"/>
      <x:c r="H29" s="186"/>
      <x:c r="I29" s="186"/>
      <x:c r="J29" s="186"/>
      <x:c r="K29" s="186"/>
      <x:c r="L29" s="186"/>
    </x:row>
  </x:sheetData>
  <x:mergeCells>
    <x:mergeCell ref="A5:B5"/>
    <x:mergeCell ref="A6:B8"/>
    <x:mergeCell ref="D5:E5"/>
    <x:mergeCell ref="D6:E8"/>
    <x:mergeCell ref="G5:H5"/>
    <x:mergeCell ref="G6:H8"/>
    <x:mergeCell ref="J5:K5"/>
    <x:mergeCell ref="J6:K8"/>
    <x:mergeCell ref="F19:L19"/>
    <x:mergeCell ref="F20:L27"/>
    <x:mergeCell ref="A1:L2"/>
    <x:mergeCell ref="A3:L3"/>
    <x:mergeCell ref="A4:L4"/>
    <x:mergeCell ref="A29:L29"/>
  </x:mergeCells>
  <x:conditionalFormatting sqref="G11:I17">
    <x:cfRule type="cellIs" dxfId="210" priority="1" operator="equal">
      <x:formula>"READY"</x:formula>
    </x:cfRule>
    <x:cfRule type="cellIs" dxfId="211" priority="2" operator="equal">
      <x:formula>"DONE"</x:formula>
    </x:cfRule>
    <x:cfRule type="cellIs" dxfId="212" priority="3" operator="equal">
      <x:formula>"LOCAL_PASS"</x:formula>
    </x:cfRule>
    <x:cfRule type="cellIs" dxfId="213" priority="4" operator="equal">
      <x:formula>"CI_PASS"</x:formula>
    </x:cfRule>
    <x:cfRule type="cellIs" dxfId="214" priority="5" operator="equal">
      <x:formula>"STAGING_PASS"</x:formula>
    </x:cfRule>
    <x:cfRule type="cellIs" dxfId="215" priority="6" operator="equal">
      <x:formula>"DEVICE_PASS"</x:formula>
    </x:cfRule>
    <x:cfRule type="cellIs" dxfId="216" priority="7" operator="equal">
      <x:formula>"PRODUCTION_PASS"</x:formula>
    </x:cfRule>
    <x:cfRule type="cellIs" dxfId="217" priority="8" operator="equal">
      <x:formula>"FAIL"</x:formula>
    </x:cfRule>
    <x:cfRule type="cellIs" dxfId="218" priority="9" operator="equal">
      <x:formula>"BLOCKED_EXTERNAL"</x:formula>
    </x:cfRule>
    <x:cfRule type="cellIs" dxfId="219" priority="10" operator="equal">
      <x:formula>"NOT_PROVIDED"</x:formula>
    </x:cfRule>
    <x:cfRule type="cellIs" dxfId="220" priority="11" operator="equal">
      <x:formula>"LOCKED"</x:formula>
    </x:cfRule>
    <x:cfRule type="cellIs" dxfId="221" priority="12" operator="equal">
      <x:formula>"NOT_STARTED"</x:formula>
    </x:cfRule>
    <x:cfRule type="cellIs" dxfId="222" priority="13" operator="equal">
      <x:formula>"NOT_EXECUTED"</x:formula>
    </x:cfRule>
    <x:cfRule type="cellIs" dxfId="223" priority="14" operator="equal">
      <x:formula>"IN_PROGRESS"</x:formula>
    </x:cfRule>
    <x:cfRule type="cellIs" dxfId="224" priority="15" operator="equal">
      <x:formula>"PLANNED"</x:formula>
    </x:cfRule>
  </x:conditionalFormatting>
  <x:conditionalFormatting sqref="A20:A27">
    <x:cfRule type="cellIs" dxfId="225" priority="16" operator="equal">
      <x:formula>"READY"</x:formula>
    </x:cfRule>
    <x:cfRule type="cellIs" dxfId="226" priority="17" operator="equal">
      <x:formula>"DONE"</x:formula>
    </x:cfRule>
    <x:cfRule type="cellIs" dxfId="227" priority="18" operator="equal">
      <x:formula>"LOCAL_PASS"</x:formula>
    </x:cfRule>
    <x:cfRule type="cellIs" dxfId="228" priority="19" operator="equal">
      <x:formula>"CI_PASS"</x:formula>
    </x:cfRule>
    <x:cfRule type="cellIs" dxfId="229" priority="20" operator="equal">
      <x:formula>"STAGING_PASS"</x:formula>
    </x:cfRule>
    <x:cfRule type="cellIs" dxfId="230" priority="21" operator="equal">
      <x:formula>"DEVICE_PASS"</x:formula>
    </x:cfRule>
    <x:cfRule type="cellIs" dxfId="231" priority="22" operator="equal">
      <x:formula>"PRODUCTION_PASS"</x:formula>
    </x:cfRule>
    <x:cfRule type="cellIs" dxfId="232" priority="23" operator="equal">
      <x:formula>"FAIL"</x:formula>
    </x:cfRule>
    <x:cfRule type="cellIs" dxfId="233" priority="24" operator="equal">
      <x:formula>"BLOCKED_EXTERNAL"</x:formula>
    </x:cfRule>
    <x:cfRule type="cellIs" dxfId="234" priority="25" operator="equal">
      <x:formula>"NOT_PROVIDED"</x:formula>
    </x:cfRule>
    <x:cfRule type="cellIs" dxfId="235" priority="26" operator="equal">
      <x:formula>"LOCKED"</x:formula>
    </x:cfRule>
    <x:cfRule type="cellIs" dxfId="236" priority="27" operator="equal">
      <x:formula>"NOT_STARTED"</x:formula>
    </x:cfRule>
    <x:cfRule type="cellIs" dxfId="237" priority="28" operator="equal">
      <x:formula>"NOT_EXECUTED"</x:formula>
    </x:cfRule>
    <x:cfRule type="cellIs" dxfId="238" priority="29" operator="equal">
      <x:formula>"IN_PROGRESS"</x:formula>
    </x:cfRule>
    <x:cfRule type="cellIs" dxfId="239" priority="30" operator="equal">
      <x:formula>"PLANNED"</x:formula>
    </x:cfRule>
  </x:conditionalFormatting>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0" hidden="0" customWidth="1"/>
    <x:col min="2" max="2" width="8" hidden="0" customWidth="1"/>
    <x:col min="3" max="3" width="24" hidden="0" customWidth="1"/>
    <x:col min="4" max="4" width="36" hidden="0" customWidth="1"/>
    <x:col min="5" max="5" width="34" hidden="0" customWidth="1"/>
    <x:col min="6" max="6" width="38" hidden="0" customWidth="1"/>
    <x:col min="7" max="7" width="42" hidden="0" customWidth="1"/>
    <x:col min="8" max="8" width="36" hidden="0" customWidth="1"/>
    <x:col min="9" max="9" width="14" hidden="0" customWidth="1"/>
    <x:col min="10" max="10" width="11" hidden="0" customWidth="1"/>
    <x:col min="11" max="11" width="10" hidden="0" customWidth="1"/>
    <x:col min="12" max="12" width="30" hidden="0" customWidth="1"/>
    <x:col min="13" max="13" width="13" hidden="0" customWidth="1"/>
    <x:col min="14" max="14" width="14" hidden="0" customWidth="1"/>
    <x:col min="15" max="15" width="16" hidden="0" customWidth="1"/>
    <x:col min="16" max="16" width="14" hidden="0" customWidth="1"/>
    <x:col min="17" max="17" width="18" hidden="0" customWidth="1"/>
    <x:col min="18" max="18" width="24" hidden="0" customWidth="1"/>
  </x:cols>
  <x:sheetData>
    <x:row r="1" ht="34" customHeight="1">
      <x:c r="A1" s="14" t="str">
        <x:v>Stage</x:v>
      </x:c>
      <x:c r="B1" s="15" t="str">
        <x:v>Order</x:v>
      </x:c>
      <x:c r="C1" s="15" t="str">
        <x:v>Name</x:v>
      </x:c>
      <x:c r="D1" s="15" t="str">
        <x:v>Objective</x:v>
      </x:c>
      <x:c r="E1" s="15" t="str">
        <x:v>NonGoal</x:v>
      </x:c>
      <x:c r="F1" s="15" t="str">
        <x:v>EntryGate</x:v>
      </x:c>
      <x:c r="G1" s="15" t="str">
        <x:v>ExitGate</x:v>
      </x:c>
      <x:c r="H1" s="15" t="str">
        <x:v>HumanGate</x:v>
      </x:c>
      <x:c r="I1" s="15" t="str">
        <x:v>DependsOn</x:v>
      </x:c>
      <x:c r="J1" s="15" t="str">
        <x:v>TaskCount</x:v>
      </x:c>
      <x:c r="K1" s="15" t="str">
        <x:v>P0Count</x:v>
      </x:c>
      <x:c r="L1" s="15" t="str">
        <x:v>P0Range</x:v>
      </x:c>
      <x:c r="M1" s="15" t="str">
        <x:v>GateTaskID</x:v>
      </x:c>
      <x:c r="N1" s="15" t="str">
        <x:v>Status</x:v>
      </x:c>
      <x:c r="O1" s="15" t="str">
        <x:v>EvidenceStatus</x:v>
      </x:c>
      <x:c r="P1" s="15" t="str">
        <x:v>ApprovedBy</x:v>
      </x:c>
      <x:c r="Q1" s="15" t="str">
        <x:v>ApprovedAt</x:v>
      </x:c>
      <x:c r="R1" s="16" t="str">
        <x:v>Notes</x:v>
      </x:c>
    </x:row>
    <x:row r="2" ht="23" customHeight="1">
      <x:c r="A2" s="17" t="str">
        <x:v>M0</x:v>
      </x:c>
      <x:c r="B2" s="17" t="str">
        <x:v>0</x:v>
      </x:c>
      <x:c r="C2" s="17" t="str">
        <x:v>环境、工程底座与契约冻结</x:v>
      </x:c>
      <x:c r="D2" s="17" t="str">
        <x:v>建立可重复构建的仓库、确定性契约/统一类型/传输适配、质量命令和GitHub协作门禁。</x:v>
      </x:c>
      <x:c r="E2" s="17" t="str">
        <x:v>不实现业务页面，不伪造微信支付、真机、生产或法务结论。</x:v>
      </x:c>
      <x:c r="F2" s="17" t="str">
        <x:v>综合方案哈希已核对；开发仓库和本机工具链可读；人工确认目标GitHub仓库后才允许远程写入。</x:v>
      </x:c>
      <x:c r="G2" s="17" t="str">
        <x:v>pnpm verify骨架、固定SHA的CI模板、确定性OpenAPI/统一类型/Web与小程序传输适配、环境清单、迁移演练和M0交接证据齐全。</x:v>
      </x:c>
      <x:c r="H2" s="17" t="str">
        <x:v>GitHub仓库、权限和Secrets仅由人工确认；真实密钥不进入聊天或仓库。</x:v>
      </x:c>
      <x:c r="I2" s="17" t="str">
        <x:v>方案基线校验</x:v>
      </x:c>
      <x:c r="J2" s="17" t="str">
        <x:v>12</x:v>
      </x:c>
      <x:c r="K2" s="17" t="str">
        <x:v>0</x:v>
      </x:c>
      <x:c r="L2" s="17" t="str"/>
      <x:c r="M2" s="17" t="str">
        <x:v>M0-GATE</x:v>
      </x:c>
      <x:c r="N2" s="17" t="str">
        <x:v>GATE_PASSED</x:v>
      </x:c>
      <x:c r="O2" s="17" t="str">
        <x:v>CI_PASS</x:v>
      </x:c>
      <x:c r="P2" s="17" t="str">
        <x:v>@EasyStep-lee</x:v>
      </x:c>
      <x:c r="Q2" s="17" t="n">
        <x:v>46238.10855324074</x:v>
      </x:c>
      <x:c r="R2" s="17" t="str">
        <x:v>精确head cb3203c自审授权后由PR #2合并为88b7a051；main CI run 30872133076成功；M0映射业务P0为0/NOT_APPLICABLE；GitHub治理限制与Dependabot WARN继续显式保留。</x:v>
      </x:c>
    </x:row>
    <x:row r="3" ht="23" customHeight="1">
      <x:c r="A3" s="17" t="str">
        <x:v>M1</x:v>
      </x:c>
      <x:c r="B3" s="17" t="str">
        <x:v>1</x:v>
      </x:c>
      <x:c r="C3" s="17" t="str">
        <x:v>账号、权限与供应商</x:v>
      </x:c>
      <x:c r="D3" s="17" t="str">
        <x:v>实现唯一公司主体、供应商注册审核、公司/供应商独立职能账号、数据域和审计。</x:v>
      </x:c>
      <x:c r="E3" s="17" t="str">
        <x:v>不提前实现商品交易、支付、配送和结算。</x:v>
      </x:c>
      <x:c r="F3" s="17" t="str">
        <x:v>M0-GATE通过且最新提交CI有效。</x:v>
      </x:c>
      <x:c r="G3" s="17" t="str">
        <x:v>14项主P0均有代码、迁移、契约、越权和自然人职责分离测试；供应商隔离、职能路由与双人复核不可绕过。</x:v>
      </x:c>
      <x:c r="H3" s="17" t="str">
        <x:v>真实公司及供应商资质内容由授权人员提供与审定。</x:v>
      </x:c>
      <x:c r="I3" s="17" t="str">
        <x:v>M0-GATE</x:v>
      </x:c>
      <x:c r="J3" s="17" t="str">
        <x:v>15</x:v>
      </x:c>
      <x:c r="K3" s="17" t="str">
        <x:v>14</x:v>
      </x:c>
      <x:c r="L3" s="17" t="str">
        <x:v>P0-001,P0-002,P0-003,P0-004,P0-005,P0-045,P0-046,P0-047,P0-066,P0-067,P0-068,P0-069,P0-070,P0-072</x:v>
      </x:c>
      <x:c r="M3" s="17" t="str">
        <x:v>M1-GATE</x:v>
      </x:c>
      <x:c r="N3" s="17" t="str">
        <x:v>GATE_PASSED</x:v>
      </x:c>
      <x:c r="O3" s="17" t="str">
        <x:v>CI_PASS</x:v>
      </x:c>
      <x:c r="P3" s="17" t="str">
        <x:v>@EasyStep-lee</x:v>
      </x:c>
      <x:c r="Q3" s="17" t="n">
        <x:v>46243.20978009259</x:v>
      </x:c>
      <x:c r="R3" s="17" t="str">
        <x:v>PR #34精确head f5febff授权合并为162787a；main CI run 31295823535成功；M1-GATE PASS。</x:v>
      </x:c>
    </x:row>
    <x:row r="4" ht="23" customHeight="1">
      <x:c r="A4" s="17" t="str">
        <x:v>M2</x:v>
      </x:c>
      <x:c r="B4" s="17" t="str">
        <x:v>2</x:v>
      </x:c>
      <x:c r="C4" s="17" t="str">
        <x:v>分类、商品、价格与库存</x:v>
      </x:c>
      <x:c r="D4" s="17" t="str">
        <x:v>建立SupplierProduct→Product/Sku两层模型、分类模板、价格审核和唯一库存真源。</x:v>
      </x:c>
      <x:c r="E4" s="17" t="str">
        <x:v>不接真实支付，不建设供应商店铺或供应商收款。</x:v>
      </x:c>
      <x:c r="F4" s="17" t="str">
        <x:v>M1-GATE通过；权限与字段可见规则已生效。</x:v>
      </x:c>
      <x:c r="G4" s="17" t="str">
        <x:v>18项主P0均通过；首上架双审核、供应价审核、零售/集采免审留痕和供应价隔离均被自动化证明。</x:v>
      </x:c>
      <x:c r="H4" s="17" t="str">
        <x:v>商品资质、分类模板业务字段和强监管品类开关需业务/合规确认。</x:v>
      </x:c>
      <x:c r="I4" s="17" t="str">
        <x:v>M1-GATE</x:v>
      </x:c>
      <x:c r="J4" s="17" t="str">
        <x:v>19</x:v>
      </x:c>
      <x:c r="K4" s="17" t="str">
        <x:v>18</x:v>
      </x:c>
      <x:c r="L4" s="17" t="str">
        <x:v>P0-006,P0-007,P0-008,P0-009,P0-010,P0-011,P0-012,P0-013,P0-014,P0-015,P0-016,P0-017,P0-018,P0-019,P0-021,P0-061,P0-063,P0-071</x:v>
      </x:c>
      <x:c r="M4" s="17" t="str">
        <x:v>M2-GATE</x:v>
      </x:c>
      <x:c r="N4" s="17" t="str">
        <x:v>IN_PROGRESS</x:v>
      </x:c>
      <x:c r="O4" s="17" t="str">
        <x:v>LOCAL_PASS</x:v>
      </x:c>
      <x:c r="P4" s="17" t="str"/>
      <x:c r="Q4" s="17" t="str"/>
      <x:c r="R4" s="17" t="str">
        <x:v>M2-P006至M2-P018均已合并main且合并后CI_PASS；M2-P019实现提交739b0b0、加固提交007f065及完整验证head 66a2511的focused API 9/9、双审核回归15/15、契约/P019 E2E/OpenAPI/MySQL迁移演练和完整verify 17/17 LOCAL_PASS；Draft PR、精确head CI、自评与人工合并待完成，P020及以后锁定。</x:v>
      </x:c>
    </x:row>
    <x:row r="5" ht="23" customHeight="1">
      <x:c r="A5" s="17" t="str">
        <x:v>M3</x:v>
      </x:c>
      <x:c r="B5" s="17" t="str">
        <x:v>3</x:v>
      </x:c>
      <x:c r="C5" s="17" t="str">
        <x:v>用户、企业采购、订单、福利卡与微信支付</x:v>
      </x:c>
      <x:c r="D5" s="17" t="str">
        <x:v>完成个人与企业跨供应商统一结账、福利卡混合支付、企业采购门户和用户小程序交易闭环。</x:v>
      </x:c>
      <x:c r="E5" s="17" t="str">
        <x:v>不把企业订单投放跑腿大厅；不增加支付宝或个人现金充值；企业不使用个人福利卡。</x:v>
      </x:c>
      <x:c r="F5" s="17" t="str">
        <x:v>M2-GATE通过；Product/Sku与InventoryBalance成为跨渠道真源。</x:v>
      </x:c>
      <x:c r="G5" s="17" t="str">
        <x:v>45项主P0均有本地/CI证据；永久无个人充值、小程序契约适配、企业私有缓存/noindex已验证；外部能力按证据等级单列。</x:v>
      </x:c>
      <x:c r="H5" s="17" t="str">
        <x:v>微信小程序/支付主体、证书、API v3密钥、法务文本、真实资金操作必须人工完成。</x:v>
      </x:c>
      <x:c r="I5" s="17" t="str">
        <x:v>M2-GATE</x:v>
      </x:c>
      <x:c r="J5" s="17" t="str">
        <x:v>46</x:v>
      </x:c>
      <x:c r="K5" s="17" t="str">
        <x:v>45</x:v>
      </x:c>
      <x:c r="L5" s="17" t="str">
        <x:v>P0-020,P0-022,P0-023,P0-024,P0-025,P0-026,P0-027,P0-028,P0-029,P0-030,P0-031,P0-051,P0-052,P0-053,P0-054,P0-055,P0-056,P0-057,P0-058,P0-059,P0-062,P0-073,P0-074,P0-075,P0-076,P0-077,P0-078,P0-079,P0-080,P0-081,P0-083,P0-084,P0-085,P0-086,P0-087,P0-088,P0-089,P0-090,P0-091,P0-092,P0-093,P0-094,P0-096,P0-097,P0-098</x:v>
      </x:c>
      <x:c r="M5" s="17" t="str">
        <x:v>M3-GATE</x:v>
      </x:c>
      <x:c r="N5" s="17" t="str">
        <x:v>LOCKED</x:v>
      </x:c>
      <x:c r="O5" s="17" t="str">
        <x:v>NOT_EXECUTED</x:v>
      </x:c>
      <x:c r="P5" s="17" t="str"/>
      <x:c r="Q5" s="17" t="str"/>
      <x:c r="R5" s="17" t="str"/>
    </x:row>
    <x:row r="6" ht="23" customHeight="1">
      <x:c r="A6" s="17" t="str">
        <x:v>M4</x:v>
      </x:c>
      <x:c r="B6" s="17" t="str">
        <x:v>4</x:v>
      </x:c>
      <x:c r="C6" s="17" t="str">
        <x:v>个人跑腿与企业统一配送</x:v>
      </x:c>
      <x:c r="D6" s="17" t="str">
        <x:v>严格分离个人跑腿链路与企业公司统一配送链路，固化取货点/目的地和合法状态机。</x:v>
      </x:c>
      <x:c r="E6" s="17" t="str">
        <x:v>不建设智能调度、地图计费、供应商自行配送结算或企业抢单。</x:v>
      </x:c>
      <x:c r="F6" s="17" t="str">
        <x:v>M3-GATE通过；订单、履约子单和退款边界稳定。</x:v>
      </x:c>
      <x:c r="G6" s="17" t="str">
        <x:v>29项主P0均通过；并发抢单、失权、节点幂等、双导航和企业配送隔离有自动化与真机证据状态。</x:v>
      </x:c>
      <x:c r="H6" s="17" t="str">
        <x:v>地图应用调用、隐私授权、实际跑腿人员/车辆与真机流程需人工验收。</x:v>
      </x:c>
      <x:c r="I6" s="17" t="str">
        <x:v>M3-GATE</x:v>
      </x:c>
      <x:c r="J6" s="17" t="str">
        <x:v>30</x:v>
      </x:c>
      <x:c r="K6" s="17" t="str">
        <x:v>29</x:v>
      </x:c>
      <x:c r="L6" s="17" t="str">
        <x:v>P0-032,P0-033,P0-034,P0-035,P0-036,P0-037,P0-064,P0-095,P0-099,P0-100,P0-101,P0-102,P0-103,P0-104,P0-105,P0-106,P0-107,P0-108,P0-109,P0-110,P0-111,P0-112,P0-113,P0-114,P0-115,P0-116,P0-117,P0-118,P0-119</x:v>
      </x:c>
      <x:c r="M6" s="17" t="str">
        <x:v>M4-GATE</x:v>
      </x:c>
      <x:c r="N6" s="17" t="str">
        <x:v>LOCKED</x:v>
      </x:c>
      <x:c r="O6" s="17" t="str">
        <x:v>NOT_EXECUTED</x:v>
      </x:c>
      <x:c r="P6" s="17" t="str"/>
      <x:c r="Q6" s="17" t="str"/>
      <x:c r="R6" s="17" t="str"/>
    </x:row>
    <x:row r="7" ht="23" customHeight="1">
      <x:c r="A7" s="17" t="str">
        <x:v>M5</x:v>
      </x:c>
      <x:c r="B7" s="17" t="str">
        <x:v>5</x:v>
      </x:c>
      <x:c r="C7" s="17" t="str">
        <x:v>售后、对账、线下结算与门户运营</x:v>
      </x:c>
      <x:c r="D7" s="17" t="str">
        <x:v>完成公司统一售后、供应商对账申诉、线下付款登记、不可覆盖账单和门户内容治理。</x:v>
      </x:c>
      <x:c r="E7" s="17" t="str">
        <x:v>不建设供应商钱包、提现、自动打款或把发票状态回写履约。</x:v>
      </x:c>
      <x:c r="F7" s="17" t="str">
        <x:v>M4-GATE通过；订单与两条配送链历史快照稳定。</x:v>
      </x:c>
      <x:c r="G7" s="17" t="str">
        <x:v>10项主P0均通过；结算隔离、自然人双审、冲正、导出审批、门户HTML/ISR/SEO/noindex/缓存隔离和退出流程可审计。</x:v>
      </x:c>
      <x:c r="H7" s="17" t="str">
        <x:v>银行付款、发票、合同、税务和最终内容发布由授权人员操作。</x:v>
      </x:c>
      <x:c r="I7" s="17" t="str">
        <x:v>M4-GATE</x:v>
      </x:c>
      <x:c r="J7" s="17" t="str">
        <x:v>11</x:v>
      </x:c>
      <x:c r="K7" s="17" t="str">
        <x:v>10</x:v>
      </x:c>
      <x:c r="L7" s="17" t="str">
        <x:v>P0-038,P0-039,P0-040,P0-041,P0-042,P0-043,P0-044,P0-060,P0-065,P0-082</x:v>
      </x:c>
      <x:c r="M7" s="17" t="str">
        <x:v>M5-GATE</x:v>
      </x:c>
      <x:c r="N7" s="17" t="str">
        <x:v>LOCKED</x:v>
      </x:c>
      <x:c r="O7" s="17" t="str">
        <x:v>NOT_EXECUTED</x:v>
      </x:c>
      <x:c r="P7" s="17" t="str"/>
      <x:c r="Q7" s="17" t="str"/>
      <x:c r="R7" s="17" t="str"/>
    </x:row>
    <x:row r="8" ht="23" customHeight="1">
      <x:c r="A8" s="18" t="str">
        <x:v>M6</x:v>
      </x:c>
      <x:c r="B8" s="18" t="str">
        <x:v>6</x:v>
      </x:c>
      <x:c r="C8" s="18" t="str">
        <x:v>全量验收与上线准备</x:v>
      </x:c>
      <x:c r="D8" s="18" t="str">
        <x:v>执行全链回归、安全/性能/迁移/备份恢复演练，形成可授权的Go/No-Go材料。</x:v>
      </x:c>
      <x:c r="E8" s="18" t="str">
        <x:v>不因技术完成自动发布生产；不替代人工合规、真机、资金和上线批准。</x:v>
      </x:c>
      <x:c r="F8" s="18" t="str">
        <x:v>M5-GATE通过；P0证据矩阵无未解释FAIL。</x:v>
      </x:c>
      <x:c r="G8" s="18" t="str">
        <x:v>P0-48/49/50和专项任务完成；候选制品可追溯，回滚演练成功，外部缺口明确，人工作出上线决定。</x:v>
      </x:c>
      <x:c r="H8" s="18" t="str">
        <x:v>生产迁移、正式发布、真实支付退款、备案与最终Go/No-Go必须人工批准。</x:v>
      </x:c>
      <x:c r="I8" s="18" t="str">
        <x:v>M5-GATE</x:v>
      </x:c>
      <x:c r="J8" s="18" t="str">
        <x:v>9</x:v>
      </x:c>
      <x:c r="K8" s="18" t="str">
        <x:v>3</x:v>
      </x:c>
      <x:c r="L8" s="18" t="str">
        <x:v>P0-048,P0-049,P0-050</x:v>
      </x:c>
      <x:c r="M8" s="18" t="str">
        <x:v>M6-GATE</x:v>
      </x:c>
      <x:c r="N8" s="18" t="str">
        <x:v>LOCKED</x:v>
      </x:c>
      <x:c r="O8" s="18" t="str">
        <x:v>NOT_EXECUTED</x:v>
      </x:c>
      <x:c r="P8" s="18" t="str"/>
      <x:c r="Q8" s="18" t="str"/>
      <x:c r="R8" s="18" t="str"/>
    </x:row>
  </x:sheetData>
  <x:conditionalFormatting sqref="N2:N8">
    <x:cfRule type="cellIs" dxfId="0" priority="1" operator="equal">
      <x:formula>"READY"</x:formula>
    </x:cfRule>
    <x:cfRule type="cellIs" dxfId="1" priority="2" operator="equal">
      <x:formula>"DONE"</x:formula>
    </x:cfRule>
    <x:cfRule type="cellIs" dxfId="2" priority="3" operator="equal">
      <x:formula>"LOCAL_PASS"</x:formula>
    </x:cfRule>
    <x:cfRule type="cellIs" dxfId="3" priority="4" operator="equal">
      <x:formula>"CI_PASS"</x:formula>
    </x:cfRule>
    <x:cfRule type="cellIs" dxfId="4" priority="5" operator="equal">
      <x:formula>"STAGING_PASS"</x:formula>
    </x:cfRule>
    <x:cfRule type="cellIs" dxfId="5" priority="6" operator="equal">
      <x:formula>"DEVICE_PASS"</x:formula>
    </x:cfRule>
    <x:cfRule type="cellIs" dxfId="6" priority="7" operator="equal">
      <x:formula>"PRODUCTION_PASS"</x:formula>
    </x:cfRule>
    <x:cfRule type="cellIs" dxfId="7" priority="8" operator="equal">
      <x:formula>"FAIL"</x:formula>
    </x:cfRule>
    <x:cfRule type="cellIs" dxfId="8" priority="9" operator="equal">
      <x:formula>"BLOCKED_EXTERNAL"</x:formula>
    </x:cfRule>
    <x:cfRule type="cellIs" dxfId="9" priority="10" operator="equal">
      <x:formula>"NOT_PROVIDED"</x:formula>
    </x:cfRule>
    <x:cfRule type="cellIs" dxfId="10" priority="11" operator="equal">
      <x:formula>"LOCKED"</x:formula>
    </x:cfRule>
    <x:cfRule type="cellIs" dxfId="11" priority="12" operator="equal">
      <x:formula>"NOT_STARTED"</x:formula>
    </x:cfRule>
    <x:cfRule type="cellIs" dxfId="12" priority="13" operator="equal">
      <x:formula>"NOT_EXECUTED"</x:formula>
    </x:cfRule>
    <x:cfRule type="cellIs" dxfId="13" priority="14" operator="equal">
      <x:formula>"IN_PROGRESS"</x:formula>
    </x:cfRule>
    <x:cfRule type="cellIs" dxfId="14" priority="15" operator="equal">
      <x:formula>"PLANNED"</x:formula>
    </x:cfRule>
  </x:conditionalFormatting>
  <x:conditionalFormatting sqref="O2:O8">
    <x:cfRule type="cellIs" dxfId="15" priority="16" operator="equal">
      <x:formula>"READY"</x:formula>
    </x:cfRule>
    <x:cfRule type="cellIs" dxfId="16" priority="17" operator="equal">
      <x:formula>"DONE"</x:formula>
    </x:cfRule>
    <x:cfRule type="cellIs" dxfId="17" priority="18" operator="equal">
      <x:formula>"LOCAL_PASS"</x:formula>
    </x:cfRule>
    <x:cfRule type="cellIs" dxfId="18" priority="19" operator="equal">
      <x:formula>"CI_PASS"</x:formula>
    </x:cfRule>
    <x:cfRule type="cellIs" dxfId="19" priority="20" operator="equal">
      <x:formula>"STAGING_PASS"</x:formula>
    </x:cfRule>
    <x:cfRule type="cellIs" dxfId="20" priority="21" operator="equal">
      <x:formula>"DEVICE_PASS"</x:formula>
    </x:cfRule>
    <x:cfRule type="cellIs" dxfId="21" priority="22" operator="equal">
      <x:formula>"PRODUCTION_PASS"</x:formula>
    </x:cfRule>
    <x:cfRule type="cellIs" dxfId="22" priority="23" operator="equal">
      <x:formula>"FAIL"</x:formula>
    </x:cfRule>
    <x:cfRule type="cellIs" dxfId="23" priority="24" operator="equal">
      <x:formula>"BLOCKED_EXTERNAL"</x:formula>
    </x:cfRule>
    <x:cfRule type="cellIs" dxfId="24" priority="25" operator="equal">
      <x:formula>"NOT_PROVIDED"</x:formula>
    </x:cfRule>
    <x:cfRule type="cellIs" dxfId="25" priority="26" operator="equal">
      <x:formula>"LOCKED"</x:formula>
    </x:cfRule>
    <x:cfRule type="cellIs" dxfId="26" priority="27" operator="equal">
      <x:formula>"NOT_STARTED"</x:formula>
    </x:cfRule>
    <x:cfRule type="cellIs" dxfId="27" priority="28" operator="equal">
      <x:formula>"NOT_EXECUTED"</x:formula>
    </x:cfRule>
    <x:cfRule type="cellIs" dxfId="28" priority="29" operator="equal">
      <x:formula>"IN_PROGRESS"</x:formula>
    </x:cfRule>
    <x:cfRule type="cellIs" dxfId="29" priority="30" operator="equal">
      <x:formula>"PLANNED"</x:formula>
    </x:cfRule>
  </x:conditionalFormatting>
  <x:dataValidations count="2">
    <x:dataValidation type="list" sqref="N2:N8">
      <x:formula1>"NOT_STARTED,READY,IN_PROGRESS,DONE,LOCKED,PLANNED,NOT_EXECUTED,LOCAL_PASS,CI_PASS,STAGING_PASS,DEVICE_PASS,PRODUCTION_PASS,BLOCKED_EXTERNAL,FAIL,NOT_PROVIDED"</x:formula1>
    </x:dataValidation>
    <x:dataValidation type="list" sqref="O2:O8">
      <x:formula1>"NOT_EXECUTED,LOCAL_PASS,CI_PASS,STAGING_PASS,DEVICE_PASS,PRODUCTION_PASS,BLOCKED_EXTERNAL,FAIL"</x:formula1>
    </x:dataValidation>
  </x:dataValidations>
  <x:pageMargins left="0.7" right="0.7" top="0.75" bottom="0.75" header="0.3" footer="0.3"/>
  <x:tableParts count="1">
    <x:tablePart xmlns:r="http://schemas.openxmlformats.org/officeDocument/2006/relationships" r:id="Rc8ce25746fac409c"/>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4" hidden="0" customWidth="1"/>
    <x:col min="2" max="2" width="9" hidden="0" customWidth="1"/>
    <x:col min="3" max="3" width="9" hidden="0" customWidth="1"/>
    <x:col min="4" max="4" width="24" hidden="0" customWidth="1"/>
    <x:col min="5" max="5" width="10" hidden="0" customWidth="1"/>
    <x:col min="6" max="6" width="28" hidden="0" customWidth="1"/>
    <x:col min="7" max="7" width="30" hidden="0" customWidth="1"/>
    <x:col min="8" max="8" width="12" hidden="0" customWidth="1"/>
    <x:col min="9" max="9" width="24" hidden="0" customWidth="1"/>
    <x:col min="10" max="10" width="38" hidden="0" customWidth="1"/>
    <x:col min="11" max="11" width="42" hidden="0" customWidth="1"/>
    <x:col min="12" max="12" width="28" hidden="0" customWidth="1"/>
    <x:col min="13" max="13" width="16" hidden="0" customWidth="1"/>
    <x:col min="14" max="14" width="16" hidden="0" customWidth="1"/>
    <x:col min="15" max="15" width="16" hidden="0" customWidth="1"/>
    <x:col min="16" max="16" width="20" hidden="0" customWidth="1"/>
    <x:col min="17" max="17" width="30" hidden="0" customWidth="1"/>
    <x:col min="18" max="18" width="18" hidden="0" customWidth="1"/>
    <x:col min="19" max="19" width="18" hidden="0" customWidth="1"/>
    <x:col min="20" max="20" width="22" hidden="0" customWidth="1"/>
    <x:col min="21" max="21" width="20" hidden="0" customWidth="1"/>
    <x:col min="22" max="22" width="13" hidden="0" customWidth="1"/>
    <x:col min="23" max="23" width="34" hidden="0" customWidth="1"/>
    <x:col min="24" max="24" width="20" hidden="0" customWidth="1"/>
    <x:col min="25" max="25" width="28" hidden="0" customWidth="1"/>
  </x:cols>
  <x:sheetData>
    <x:row r="1" ht="34" customHeight="1">
      <x:c r="A1" s="14" t="str">
        <x:v>TaskID</x:v>
      </x:c>
      <x:c r="B1" s="15" t="str">
        <x:v>Sequence</x:v>
      </x:c>
      <x:c r="C1" s="15" t="str">
        <x:v>Stage</x:v>
      </x:c>
      <x:c r="D1" s="15" t="str">
        <x:v>Type</x:v>
      </x:c>
      <x:c r="E1" s="15" t="str">
        <x:v>Priority</x:v>
      </x:c>
      <x:c r="F1" s="15" t="str">
        <x:v>Title</x:v>
      </x:c>
      <x:c r="G1" s="15" t="str">
        <x:v>SourceSection</x:v>
      </x:c>
      <x:c r="H1" s="15" t="str">
        <x:v>P0ID</x:v>
      </x:c>
      <x:c r="I1" s="15" t="str">
        <x:v>Dependencies</x:v>
      </x:c>
      <x:c r="J1" s="15" t="str">
        <x:v>Deliverable</x:v>
      </x:c>
      <x:c r="K1" s="15" t="str">
        <x:v>Acceptance</x:v>
      </x:c>
      <x:c r="L1" s="15" t="str">
        <x:v>TestTypes</x:v>
      </x:c>
      <x:c r="M1" s="15" t="str">
        <x:v>Status</x:v>
      </x:c>
      <x:c r="N1" s="15" t="str">
        <x:v>EvidenceStatus</x:v>
      </x:c>
      <x:c r="O1" s="15" t="str">
        <x:v>Owner</x:v>
      </x:c>
      <x:c r="P1" s="15" t="str">
        <x:v>GitHubIssue</x:v>
      </x:c>
      <x:c r="Q1" s="15" t="str">
        <x:v>SuggestedBranch</x:v>
      </x:c>
      <x:c r="R1" s="15" t="str">
        <x:v>Branch</x:v>
      </x:c>
      <x:c r="S1" s="15" t="str">
        <x:v>CommitSHA</x:v>
      </x:c>
      <x:c r="T1" s="15" t="str">
        <x:v>PullRequest</x:v>
      </x:c>
      <x:c r="U1" s="15" t="str">
        <x:v>CI</x:v>
      </x:c>
      <x:c r="V1" s="15" t="str">
        <x:v>HumanGate</x:v>
      </x:c>
      <x:c r="W1" s="15" t="str">
        <x:v>Rollback</x:v>
      </x:c>
      <x:c r="X1" s="15" t="str">
        <x:v>UpdatedAt</x:v>
      </x:c>
      <x:c r="Y1" s="16" t="str">
        <x:v>Notes</x:v>
      </x:c>
    </x:row>
    <x:row r="2" ht="23" customHeight="1">
      <x:c r="A2" s="17" t="str">
        <x:v>M0-001</x:v>
      </x:c>
      <x:c r="B2" s="17" t="str">
        <x:v>1</x:v>
      </x:c>
      <x:c r="C2" s="17" t="str">
        <x:v>M0</x:v>
      </x:c>
      <x:c r="D2" s="17" t="str">
        <x:v>FOUNDATION</x:v>
      </x:c>
      <x:c r="E2" s="17" t="str">
        <x:v>P0</x:v>
      </x:c>
      <x:c r="F2" s="17" t="str">
        <x:v>冻结产品基线与变更规则</x:v>
      </x:c>
      <x:c r="G2" s="17" t="str">
        <x:v>§15工程化要求、提示词包AGENTS.md</x:v>
      </x:c>
      <x:c r="H2" s="17" t="str"/>
      <x:c r="I2" s="17" t="str"/>
      <x:c r="J2" s="17" t="str">
        <x:v>校验方案、提示词包、UI资产与执行包哈希，登记唯一基线；禁止旧方案回灌。</x:v>
      </x:c>
      <x:c r="K2" s="17" t="str">
        <x:v>基线清单、哈希、变更审批流程可复核。</x:v>
      </x:c>
      <x:c r="L2" s="17" t="str">
        <x:v>lint+typecheck+unit+contract+build</x:v>
      </x:c>
      <x:c r="M2" s="17" t="str">
        <x:v>DONE</x:v>
      </x:c>
      <x:c r="N2" s="17" t="str">
        <x:v>LOCAL_PASS</x:v>
      </x:c>
      <x:c r="O2" s="17" t="str">
        <x:v>CODEX</x:v>
      </x:c>
      <x:c r="P2" s="17" t="str"/>
      <x:c r="Q2" s="17" t="str">
        <x:v>codex/m0-m0-001</x:v>
      </x:c>
      <x:c r="R2" s="17" t="str">
        <x:v>codex/m0-m0-001</x:v>
      </x:c>
      <x:c r="S2" s="17" t="str">
        <x:v>958ce3952ea2395216fbadc3af244c5de6dbd8a1</x:v>
      </x:c>
      <x:c r="T2" s="17" t="str"/>
      <x:c r="U2" s="17" t="str">
        <x:v>BLOCKED_EXTERNAL</x:v>
      </x:c>
      <x:c r="V2" s="17" t="str">
        <x:v>NO</x:v>
      </x:c>
      <x:c r="W2" s="17" t="str">
        <x:v>按原子提交回退；迁移仅向前修复</x:v>
      </x:c>
      <x:c r="X2" s="17" t="n">
        <x:v>46236.36782407408</x:v>
      </x:c>
      <x:c r="Y2" s="17" t="str">
        <x:v>方案/提示词/UI/执行包基线已登记；守卫允许V1.1并拒绝篡改与V1.0回灌；无origin故PR和CI阻塞。</x:v>
      </x:c>
    </x:row>
    <x:row r="3" ht="23" customHeight="1">
      <x:c r="A3" s="17" t="str">
        <x:v>M0-002</x:v>
      </x:c>
      <x:c r="B3" s="17" t="str">
        <x:v>2</x:v>
      </x:c>
      <x:c r="C3" s="17" t="str">
        <x:v>M0</x:v>
      </x:c>
      <x:c r="D3" s="17" t="str">
        <x:v>FOUNDATION</x:v>
      </x:c>
      <x:c r="E3" s="17" t="str">
        <x:v>P0</x:v>
      </x:c>
      <x:c r="F3" s="17" t="str">
        <x:v>只读盘点本机与仓库环境</x:v>
      </x:c>
      <x:c r="G3" s="17" t="str">
        <x:v>§15工程化要求、提示词包AGENTS.md</x:v>
      </x:c>
      <x:c r="H3" s="17" t="str"/>
      <x:c r="I3" s="17" t="str">
        <x:v>M0-001</x:v>
      </x:c>
      <x:c r="J3" s="17" t="str">
        <x:v>记录Node/pnpm/git/Docker/数据库工具、git状态、远程和凭据状态，不修改未知用户文件。</x:v>
      </x:c>
      <x:c r="K3" s="17" t="str">
        <x:v>环境报告区分确认事实、缺口与外部阻塞。</x:v>
      </x:c>
      <x:c r="L3" s="17" t="str">
        <x:v>lint+typecheck+unit+contract+build</x:v>
      </x:c>
      <x:c r="M3" s="17" t="str">
        <x:v>DONE</x:v>
      </x:c>
      <x:c r="N3" s="17" t="str">
        <x:v>LOCAL_PASS</x:v>
      </x:c>
      <x:c r="O3" s="17" t="str">
        <x:v>CODEX</x:v>
      </x:c>
      <x:c r="P3" s="17" t="str"/>
      <x:c r="Q3" s="17" t="str">
        <x:v>codex/m0-m0-002</x:v>
      </x:c>
      <x:c r="R3" s="17" t="str">
        <x:v>codex/m0-m0-002</x:v>
      </x:c>
      <x:c r="S3" s="17" t="str">
        <x:v>96346b15c23debfff03cf8c328da51e26bc3669c</x:v>
      </x:c>
      <x:c r="T3" s="17" t="str"/>
      <x:c r="U3" s="17" t="str">
        <x:v>BLOCKED_EXTERNAL</x:v>
      </x:c>
      <x:c r="V3" s="17" t="str">
        <x:v>NO</x:v>
      </x:c>
      <x:c r="W3" s="17" t="str">
        <x:v>按原子提交回退；迁移仅向前修复</x:v>
      </x:c>
      <x:c r="X3" s="17" t="n">
        <x:v>46236.384884259256</x:v>
      </x:c>
      <x:c r="Y3" s="17" t="str">
        <x:v>只读盘点和敏感信息回归测试已通过；Docker后台/MySQL/Redis缺口归M0-005；无origin故PR和CI阻塞。</x:v>
      </x:c>
    </x:row>
    <x:row r="4" ht="23" customHeight="1">
      <x:c r="A4" s="17" t="str">
        <x:v>M0-003</x:v>
      </x:c>
      <x:c r="B4" s="17" t="str">
        <x:v>3</x:v>
      </x:c>
      <x:c r="C4" s="17" t="str">
        <x:v>M0</x:v>
      </x:c>
      <x:c r="D4" s="17" t="str">
        <x:v>FOUNDATION</x:v>
      </x:c>
      <x:c r="E4" s="17" t="str">
        <x:v>P0</x:v>
      </x:c>
      <x:c r="F4" s="17" t="str">
        <x:v>确认GitHub目标与协作边界</x:v>
      </x:c>
      <x:c r="G4" s="17" t="str">
        <x:v>§15工程化要求、提示词包AGENTS.md</x:v>
      </x:c>
      <x:c r="H4" s="17" t="str"/>
      <x:c r="I4" s="17" t="str">
        <x:v>M0-002</x:v>
      </x:c>
      <x:c r="J4" s="17" t="str">
        <x:v>从用户提供的owner/repo或可验证origin确定远程；未确认时仅本地开发。</x:v>
      </x:c>
      <x:c r="K4" s="17" t="str">
        <x:v>仓库、默认分支、权限、禁止动作和人工审批项已登记。</x:v>
      </x:c>
      <x:c r="L4" s="17" t="str">
        <x:v>lint+typecheck+unit+contract+build</x:v>
      </x:c>
      <x:c r="M4" s="17" t="str">
        <x:v>DONE</x:v>
      </x:c>
      <x:c r="N4" s="17" t="str">
        <x:v>LOCAL_PASS</x:v>
      </x:c>
      <x:c r="O4" s="17" t="str">
        <x:v>CODEX</x:v>
      </x:c>
      <x:c r="P4" s="17" t="str"/>
      <x:c r="Q4" s="17" t="str">
        <x:v>codex/m0-github</x:v>
      </x:c>
      <x:c r="R4" s="17" t="str">
        <x:v>codex/m0-github</x:v>
      </x:c>
      <x:c r="S4" s="17" t="str">
        <x:v>00346170e48733ebd1a46807a738deca0704848e</x:v>
      </x:c>
      <x:c r="T4" s="17" t="str"/>
      <x:c r="U4" s="17" t="str">
        <x:v>BLOCKED_EXTERNAL</x:v>
      </x:c>
      <x:c r="V4" s="17" t="str">
        <x:v>NO</x:v>
      </x:c>
      <x:c r="W4" s="17" t="str">
        <x:v>按原子提交回退；迁移仅向前修复</x:v>
      </x:c>
      <x:c r="X4" s="17" t="n">
        <x:v>46236.40106481482</x:v>
      </x:c>
      <x:c r="Y4" s="17" t="str">
        <x:v>本地协作边界已登记并测试；owner/repo、默认分支和写权限未确认，远程Issue/PR/CI持续阻塞。</x:v>
      </x:c>
    </x:row>
    <x:row r="5" ht="23" customHeight="1">
      <x:c r="A5" s="17" t="str">
        <x:v>M0-004</x:v>
      </x:c>
      <x:c r="B5" s="17" t="str">
        <x:v>4</x:v>
      </x:c>
      <x:c r="C5" s="17" t="str">
        <x:v>M0</x:v>
      </x:c>
      <x:c r="D5" s="17" t="str">
        <x:v>FOUNDATION</x:v>
      </x:c>
      <x:c r="E5" s="17" t="str">
        <x:v>P0</x:v>
      </x:c>
      <x:c r="F5" s="17" t="str">
        <x:v>初始化pnpm workspace与Turborepo</x:v>
      </x:c>
      <x:c r="G5" s="17" t="str">
        <x:v>§15工程化要求、提示词包AGENTS.md</x:v>
      </x:c>
      <x:c r="H5" s="17" t="str"/>
      <x:c r="I5" s="17" t="str">
        <x:v>M0-003</x:v>
      </x:c>
      <x:c r="J5" s="17" t="str">
        <x:v>建立apps/packages分层、冻结包管理器版本和Node版本。</x:v>
      </x:c>
      <x:c r="K5" s="17" t="str">
        <x:v>干净环境可冻结安装，目录职责明确。</x:v>
      </x:c>
      <x:c r="L5" s="17" t="str">
        <x:v>lint+typecheck+unit+contract+build</x:v>
      </x:c>
      <x:c r="M5" s="17" t="str">
        <x:v>DONE</x:v>
      </x:c>
      <x:c r="N5" s="17" t="str">
        <x:v>LOCAL_PASS</x:v>
      </x:c>
      <x:c r="O5" s="17" t="str">
        <x:v>CODEX</x:v>
      </x:c>
      <x:c r="P5" s="17" t="str"/>
      <x:c r="Q5" s="17" t="str">
        <x:v>codex/m0-pnpm-workspace-turborepo</x:v>
      </x:c>
      <x:c r="R5" s="17" t="str">
        <x:v>codex/m0-pnpm-workspace-turborepo</x:v>
      </x:c>
      <x:c r="S5" s="17" t="str">
        <x:v>9067c36c87949693bc53432a57b149314b592cc2</x:v>
      </x:c>
      <x:c r="T5" s="17" t="str"/>
      <x:c r="U5" s="17" t="str">
        <x:v>BLOCKED_EXTERNAL</x:v>
      </x:c>
      <x:c r="V5" s="17" t="str">
        <x:v>NO</x:v>
      </x:c>
      <x:c r="W5" s="17" t="str">
        <x:v>按原子提交回退；迁移仅向前修复</x:v>
      </x:c>
      <x:c r="X5" s="17" t="n">
        <x:v>46236.41232638889</x:v>
      </x:c>
      <x:c r="Y5" s="17" t="str">
        <x:v>Node22.23.1/pnpm10.12.1/Turbo2.10.8已锁定；临时干净目录冻结安装与工作区契约通过；真实质量命令保留至后续任务。</x:v>
      </x:c>
    </x:row>
    <x:row r="6" ht="23" customHeight="1">
      <x:c r="A6" s="17" t="str">
        <x:v>M0-005</x:v>
      </x:c>
      <x:c r="B6" s="17" t="str">
        <x:v>5</x:v>
      </x:c>
      <x:c r="C6" s="17" t="str">
        <x:v>M0</x:v>
      </x:c>
      <x:c r="D6" s="17" t="str">
        <x:v>FOUNDATION</x:v>
      </x:c>
      <x:c r="E6" s="17" t="str">
        <x:v>P0</x:v>
      </x:c>
      <x:c r="F6" s="17" t="str">
        <x:v>初始化NestJS/Prisma/MySQL/Redis/BullMQ底座</x:v>
      </x:c>
      <x:c r="G6" s="17" t="str">
        <x:v>§15工程化要求、提示词包AGENTS.md</x:v>
      </x:c>
      <x:c r="H6" s="17" t="str"/>
      <x:c r="I6" s="17" t="str">
        <x:v>M0-004</x:v>
      </x:c>
      <x:c r="J6" s="17" t="str">
        <x:v>提供本地可替换基础设施、健康检查和超时/重试边界。</x:v>
      </x:c>
      <x:c r="K6" s="17" t="str">
        <x:v>API、MySQL、Redis可重复启动；不依赖生产凭据。</x:v>
      </x:c>
      <x:c r="L6" s="17" t="str">
        <x:v>lint+typecheck+unit+contract+build</x:v>
      </x:c>
      <x:c r="M6" s="17" t="str">
        <x:v>DONE</x:v>
      </x:c>
      <x:c r="N6" s="17" t="str">
        <x:v>LOCAL_PASS</x:v>
      </x:c>
      <x:c r="O6" s="17" t="str">
        <x:v>CODEX</x:v>
      </x:c>
      <x:c r="P6" s="17" t="str"/>
      <x:c r="Q6" s="17" t="str">
        <x:v>codex/m0-nestjs-prisma-mysql-redis-bullmq</x:v>
      </x:c>
      <x:c r="R6" s="17" t="str">
        <x:v>codex/m0-nestjs-prisma-mysql-redis-bullmq</x:v>
      </x:c>
      <x:c r="S6" s="17" t="str">
        <x:v>5c8764c16ec2064ea146e51898b0716e0b43bd36</x:v>
      </x:c>
      <x:c r="T6" s="17" t="str"/>
      <x:c r="U6" s="17" t="str">
        <x:v>BLOCKED_EXTERNAL</x:v>
      </x:c>
      <x:c r="V6" s="17" t="str">
        <x:v>NO</x:v>
      </x:c>
      <x:c r="W6" s="17" t="str">
        <x:v>按原子提交回退；迁移仅向前修复</x:v>
      </x:c>
      <x:c r="X6" s="17" t="n">
        <x:v>46236.450011574074</x:v>
      </x:c>
      <x:c r="Y6" s="17" t="str">
        <x:v>NestJS与Prisma/MySQL/Redis/BullMQ底座已完成；冻结安装、真实启动与重启、依赖降级、审计零已知漏洞均通过；无origin故PR与CI阻塞。</x:v>
      </x:c>
    </x:row>
    <x:row r="7" ht="23" customHeight="1">
      <x:c r="A7" s="17" t="str">
        <x:v>M0-006</x:v>
      </x:c>
      <x:c r="B7" s="17" t="str">
        <x:v>6</x:v>
      </x:c>
      <x:c r="C7" s="17" t="str">
        <x:v>M0</x:v>
      </x:c>
      <x:c r="D7" s="17" t="str">
        <x:v>FOUNDATION</x:v>
      </x:c>
      <x:c r="E7" s="17" t="str">
        <x:v>P0</x:v>
      </x:c>
      <x:c r="F7" s="17" t="str">
        <x:v>初始化五端应用壳</x:v>
      </x:c>
      <x:c r="G7" s="17" t="str">
        <x:v>§15工程化要求、提示词包AGENTS.md</x:v>
      </x:c>
      <x:c r="H7" s="17" t="str"/>
      <x:c r="I7" s="17" t="str">
        <x:v>M0-005</x:v>
      </x:c>
      <x:c r="J7" s="17" t="str">
        <x:v>建立公司后台、供应商后台、Next.js企业门户、用户小程序、跑腿小程序的独立入口；冻结公开/私有门户路由组和miniapp-kit请求适配边界。</x:v>
      </x:c>
      <x:c r="K7" s="17" t="str">
        <x:v>五端独立构建；门户公开SSG/ISR区与私有noindex/no-store交易区分离；两个小程序通过唯一wx.request适配器复用生成契约类型。</x:v>
      </x:c>
      <x:c r="L7" s="17" t="str">
        <x:v>lint+typecheck+unit+contract+seo-cache+miniapp-transport+build</x:v>
      </x:c>
      <x:c r="M7" s="17" t="str">
        <x:v>DONE</x:v>
      </x:c>
      <x:c r="N7" s="17" t="str">
        <x:v>LOCAL_PASS</x:v>
      </x:c>
      <x:c r="O7" s="17" t="str">
        <x:v>CODEX</x:v>
      </x:c>
      <x:c r="P7" s="17" t="str"/>
      <x:c r="Q7" s="17" t="str">
        <x:v>codex/m0-m0-006</x:v>
      </x:c>
      <x:c r="R7" s="17" t="str">
        <x:v>codex/m0-m0-006</x:v>
      </x:c>
      <x:c r="S7" s="17" t="str">
        <x:v>a542c56b8e375c6331cc093d8f102d2bf837f5ea</x:v>
      </x:c>
      <x:c r="T7" s="17" t="str"/>
      <x:c r="U7" s="17" t="str">
        <x:v>BLOCKED_EXTERNAL</x:v>
      </x:c>
      <x:c r="V7" s="17" t="str">
        <x:v>NO</x:v>
      </x:c>
      <x:c r="W7" s="17" t="str">
        <x:v>按原子提交回退；迁移仅向前修复</x:v>
      </x:c>
      <x:c r="X7" s="17" t="n">
        <x:v>46236.49799768518</x:v>
      </x:c>
      <x:c r="Y7" s="17" t="str">
        <x:v>五端独立应用壳、门户公开/私有缓存索引边界和唯一小程序请求适配边界已完成；干净冻结安装、9包lint/typecheck/build、17项包任务、运行态SEO缓存测试和生产审计均通过；未实现业务页面、OpenAPI或业务闭环。</x:v>
      </x:c>
    </x:row>
    <x:row r="8" ht="23" customHeight="1">
      <x:c r="A8" s="17" t="str">
        <x:v>M0-007</x:v>
      </x:c>
      <x:c r="B8" s="17" t="str">
        <x:v>7</x:v>
      </x:c>
      <x:c r="C8" s="17" t="str">
        <x:v>M0</x:v>
      </x:c>
      <x:c r="D8" s="17" t="str">
        <x:v>FOUNDATION</x:v>
      </x:c>
      <x:c r="E8" s="17" t="str">
        <x:v>P0</x:v>
      </x:c>
      <x:c r="F8" s="17" t="str">
        <x:v>建立配置Schema与秘密扫描</x:v>
      </x:c>
      <x:c r="G8" s="17" t="str">
        <x:v>§15工程化要求、提示词包AGENTS.md</x:v>
      </x:c>
      <x:c r="H8" s="17" t="str"/>
      <x:c r="I8" s="17" t="str">
        <x:v>M0-006</x:v>
      </x:c>
      <x:c r="J8" s="17" t="str">
        <x:v>只提交.env.example；引入配置校验、日志脱敏和秘密扫描。</x:v>
      </x:c>
      <x:c r="K8" s="17" t="str">
        <x:v>缺配置快速失败；样例和日志无真实秘密。</x:v>
      </x:c>
      <x:c r="L8" s="17" t="str">
        <x:v>lint+typecheck+unit+contract+build</x:v>
      </x:c>
      <x:c r="M8" s="17" t="str">
        <x:v>DONE</x:v>
      </x:c>
      <x:c r="N8" s="17" t="str">
        <x:v>LOCAL_PASS</x:v>
      </x:c>
      <x:c r="O8" s="17" t="str">
        <x:v>CODEX</x:v>
      </x:c>
      <x:c r="P8" s="17" t="str"/>
      <x:c r="Q8" s="17" t="str">
        <x:v>codex/m0-schema</x:v>
      </x:c>
      <x:c r="R8" s="17" t="str">
        <x:v>codex/m0-schema</x:v>
      </x:c>
      <x:c r="S8" s="17" t="str">
        <x:v>4d46293f668dcbd0dc5465ed65803e4fda9a3618</x:v>
      </x:c>
      <x:c r="T8" s="17" t="str"/>
      <x:c r="U8" s="17" t="str">
        <x:v>BLOCKED_EXTERNAL</x:v>
      </x:c>
      <x:c r="V8" s="17" t="str">
        <x:v>NO</x:v>
      </x:c>
      <x:c r="W8" s="17" t="str">
        <x:v>按原子提交回退；迁移仅向前修复</x:v>
      </x:c>
      <x:c r="X8" s="17" t="n">
        <x:v>46236.53351851852</x:v>
      </x:c>
      <x:c r="Y8" s="17" t="str">
        <x:v>共享配置Schema、四层环境、生产防误配、结构化日志脱敏和Git已跟踪文件秘密扫描已完成；18项聚焦测试、10包lint/typecheck/build、真实基础设施、两轮干净安装及生产审计通过；未接入真实秘密或OpenAPI。</x:v>
      </x:c>
    </x:row>
    <x:row r="9" ht="23" customHeight="1">
      <x:c r="A9" s="17" t="str">
        <x:v>M0-008</x:v>
      </x:c>
      <x:c r="B9" s="17" t="str">
        <x:v>8</x:v>
      </x:c>
      <x:c r="C9" s="17" t="str">
        <x:v>M0</x:v>
      </x:c>
      <x:c r="D9" s="17" t="str">
        <x:v>FOUNDATION</x:v>
      </x:c>
      <x:c r="E9" s="17" t="str">
        <x:v>P0</x:v>
      </x:c>
      <x:c r="F9" s="17" t="str">
        <x:v>建立确定性OpenAPI、统一类型与传输适配</x:v>
      </x:c>
      <x:c r="G9" s="17" t="str">
        <x:v>§15.5 OpenAPI契约、§15.6门户渲染</x:v>
      </x:c>
      <x:c r="H9" s="17" t="str"/>
      <x:c r="I9" s="17" t="str">
        <x:v>M0-007</x:v>
      </x:c>
      <x:c r="J9" s="17" t="str">
        <x:v>建立无外部副作用且字节稳定的OpenAPI生成脚本、DTO白名单、统一错误结构、生成类型、Web openapi-fetch Client、小程序wx.request适配和oasdiff门禁。</x:v>
      </x:c>
      <x:c r="K9" s="17" t="str">
        <x:v>openapi:generate可重复生成相同spec；spec/类型差异、全端typecheck和锁定版本oasdiff breaking检查进入CI；数据库实体不直接返回，供应价响应白名单生效。</x:v>
      </x:c>
      <x:c r="L9" s="17" t="str">
        <x:v>lint+typecheck+unit+contract+deterministic-generation+oasdiff+miniapp-adapter+build</x:v>
      </x:c>
      <x:c r="M9" s="17" t="str">
        <x:v>DONE</x:v>
      </x:c>
      <x:c r="N9" s="17" t="str">
        <x:v>LOCAL_PASS</x:v>
      </x:c>
      <x:c r="O9" s="17" t="str">
        <x:v>CODEX</x:v>
      </x:c>
      <x:c r="P9" s="17" t="str"/>
      <x:c r="Q9" s="17" t="str">
        <x:v>codex/m0-openapi-dto</x:v>
      </x:c>
      <x:c r="R9" s="17" t="str">
        <x:v>codex/m0-openapi-dto</x:v>
      </x:c>
      <x:c r="S9" s="17" t="str">
        <x:v>743142676f96530289259ec426c8689a30c0d315</x:v>
      </x:c>
      <x:c r="T9" s="17" t="str"/>
      <x:c r="U9" s="17" t="str">
        <x:v>BLOCKED_EXTERNAL</x:v>
      </x:c>
      <x:c r="V9" s="17" t="str">
        <x:v>NO</x:v>
      </x:c>
      <x:c r="W9" s="17" t="str">
        <x:v>按原子提交回退；迁移仅向前修复</x:v>
      </x:c>
      <x:c r="X9" s="17" t="n">
        <x:v>46237.080775462964</x:v>
      </x:c>
      <x:c r="Y9" s="17" t="str">
        <x:v>确定性OpenAPI和生成类型已完成；Web三端复用openapi-fetch Client；两个原生小程序复用同一生成类型并保留唯一wx.request适配器；oasdiff 1.17.0发布包哈希与Git提交基线模式已验证；8项聚焦测试、12包lint/typecheck/build、干净冻结安装及生产依赖审计通过；未实现业务API或迁移；无origin故PR和CI阻塞。</x:v>
      </x:c>
    </x:row>
    <x:row r="10" ht="23" customHeight="1">
      <x:c r="A10" s="17" t="str">
        <x:v>M0-009</x:v>
      </x:c>
      <x:c r="B10" s="17" t="str">
        <x:v>9</x:v>
      </x:c>
      <x:c r="C10" s="17" t="str">
        <x:v>M0</x:v>
      </x:c>
      <x:c r="D10" s="17" t="str">
        <x:v>FOUNDATION</x:v>
      </x:c>
      <x:c r="E10" s="17" t="str">
        <x:v>P0</x:v>
      </x:c>
      <x:c r="F10" s="17" t="str">
        <x:v>建立测试金字塔与失败测试模板</x:v>
      </x:c>
      <x:c r="G10" s="17" t="str">
        <x:v>§15工程化要求、提示词包AGENTS.md</x:v>
      </x:c>
      <x:c r="H10" s="17" t="str"/>
      <x:c r="I10" s="17" t="str">
        <x:v>M0-008</x:v>
      </x:c>
      <x:c r="J10" s="17" t="str">
        <x:v>配置Vitest、Supertest、Playwright及并发/幂等测试工具。</x:v>
      </x:c>
      <x:c r="K10" s="17" t="str">
        <x:v>示例失败测试先红后绿；报告可归档。</x:v>
      </x:c>
      <x:c r="L10" s="17" t="str">
        <x:v>lint+typecheck+unit+contract+build</x:v>
      </x:c>
      <x:c r="M10" s="17" t="str">
        <x:v>DONE</x:v>
      </x:c>
      <x:c r="N10" s="17" t="str">
        <x:v>LOCAL_PASS</x:v>
      </x:c>
      <x:c r="O10" s="17" t="str">
        <x:v>CODEX</x:v>
      </x:c>
      <x:c r="P10" s="17" t="str"/>
      <x:c r="Q10" s="17" t="str">
        <x:v>codex/m0-m0-009</x:v>
      </x:c>
      <x:c r="R10" s="17" t="str">
        <x:v>codex/m0-m0-009</x:v>
      </x:c>
      <x:c r="S10" s="17" t="str">
        <x:v>4b93d52423b19eaabe65f01b56ec21b944d28d39</x:v>
      </x:c>
      <x:c r="T10" s="17" t="str"/>
      <x:c r="U10" s="17" t="str">
        <x:v>BLOCKED_EXTERNAL</x:v>
      </x:c>
      <x:c r="V10" s="17" t="str">
        <x:v>NO</x:v>
      </x:c>
      <x:c r="W10" s="17" t="str">
        <x:v>按原子提交回退；迁移仅向前修复</x:v>
      </x:c>
      <x:c r="X10" s="17" t="n">
        <x:v>46237.12013888889</x:v>
      </x:c>
      <x:c r="Y10" s="17" t="str">
        <x:v>测试底座契约先红0/4后绿4/4；Vitest 4.1.10单元5/5、Supertest 7.2.2接口3/3、Playwright 1.62.1 Chromium 3/3通过；并发/幂等测试工具、失败模板、JSON/JUnit/HTML及SHA-256报告清单已建立；13包lint/typecheck/build、全仓回归、干净冻结安装和生产依赖审计通过；未实现业务功能、迁移、根verify或CI；无origin故PR和CI阻塞。</x:v>
      </x:c>
    </x:row>
    <x:row r="11" ht="23" customHeight="1">
      <x:c r="A11" s="17" t="str">
        <x:v>M0-010</x:v>
      </x:c>
      <x:c r="B11" s="17" t="str">
        <x:v>10</x:v>
      </x:c>
      <x:c r="C11" s="17" t="str">
        <x:v>M0</x:v>
      </x:c>
      <x:c r="D11" s="17" t="str">
        <x:v>FOUNDATION</x:v>
      </x:c>
      <x:c r="E11" s="17" t="str">
        <x:v>P0</x:v>
      </x:c>
      <x:c r="F11" s="17" t="str">
        <x:v>建立Prisma迁移与回滚演练</x:v>
      </x:c>
      <x:c r="G11" s="17" t="str">
        <x:v>§15工程化要求、提示词包AGENTS.md</x:v>
      </x:c>
      <x:c r="H11" s="17" t="str"/>
      <x:c r="I11" s="17" t="str">
        <x:v>M0-009</x:v>
      </x:c>
      <x:c r="J11" s="17" t="str">
        <x:v>创建validate、dry-run、备份/恢复与向前修复规则。</x:v>
      </x:c>
      <x:c r="K11" s="17" t="str">
        <x:v>空库和升级路径均可演练，禁止编辑已发布迁移。</x:v>
      </x:c>
      <x:c r="L11" s="17" t="str">
        <x:v>lint+typecheck+unit+contract+build</x:v>
      </x:c>
      <x:c r="M11" s="17" t="str">
        <x:v>DONE</x:v>
      </x:c>
      <x:c r="N11" s="17" t="str">
        <x:v>LOCAL_PASS</x:v>
      </x:c>
      <x:c r="O11" s="17" t="str">
        <x:v>CODEX</x:v>
      </x:c>
      <x:c r="P11" s="17" t="str"/>
      <x:c r="Q11" s="17" t="str">
        <x:v>codex/m0-prisma</x:v>
      </x:c>
      <x:c r="R11" s="17" t="str">
        <x:v>codex/m0-prisma</x:v>
      </x:c>
      <x:c r="S11" s="17" t="str">
        <x:v>62ead13dfb9c6680a4c173fa09377ce6cf8e23b9</x:v>
      </x:c>
      <x:c r="T11" s="17" t="str"/>
      <x:c r="U11" s="17" t="str">
        <x:v>BLOCKED_EXTERNAL</x:v>
      </x:c>
      <x:c r="V11" s="17" t="str">
        <x:v>NO</x:v>
      </x:c>
      <x:c r="W11" s="17" t="str">
        <x:v>按原子提交回退；迁移仅向前修复</x:v>
      </x:c>
      <x:c r="X11" s="17" t="n">
        <x:v>46237.16128472222</x:v>
      </x:c>
      <x:c r="Y11" s="17" t="str">
        <x:v>迁移契约先红后绿并最终3/3；已发布SQL修改、删除、重命名均阻断，新向前迁移允许；本地MySQL空库2、升级1→2、备份恢复1→2、drift NONE、重复deploy幂等、cleanup PASS；13包lint/typecheck/build、根回归、API、冻结干净安装和依赖审计通过；产品模型及SQL迁移均为0；根verify/CI归M0-011；无origin故PR和CI阻塞。</x:v>
      </x:c>
    </x:row>
    <x:row r="12" ht="23" customHeight="1">
      <x:c r="A12" s="17" t="str">
        <x:v>M0-011</x:v>
      </x:c>
      <x:c r="B12" s="17" t="str">
        <x:v>11</x:v>
      </x:c>
      <x:c r="C12" s="17" t="str">
        <x:v>M0</x:v>
      </x:c>
      <x:c r="D12" s="17" t="str">
        <x:v>FOUNDATION</x:v>
      </x:c>
      <x:c r="E12" s="17" t="str">
        <x:v>P0</x:v>
      </x:c>
      <x:c r="F12" s="17" t="str">
        <x:v>建立pnpm verify与GitHub CI门禁</x:v>
      </x:c>
      <x:c r="G12" s="17" t="str">
        <x:v>§15工程化要求、提示词包AGENTS.md</x:v>
      </x:c>
      <x:c r="H12" s="17" t="str"/>
      <x:c r="I12" s="17" t="str">
        <x:v>M0-010</x:v>
      </x:c>
      <x:c r="J12" s="17" t="str">
        <x:v>聚合lint/typecheck/unit/api/e2e/prisma/openapi-generate/diff/type/oasdiff/build并接入PR CI；第三方Action固定提交SHA。</x:v>
      </x:c>
      <x:c r="K12" s="17" t="str">
        <x:v>最新提交产生逐项可追溯结果；spec或类型未提交差异、breaking变更、浮动Action版本和失败检查均不能被静默跳过。</x:v>
      </x:c>
      <x:c r="L12" s="17" t="str">
        <x:v>lint+typecheck+unit+api+e2e+migration+openapi+action-pin+ci</x:v>
      </x:c>
      <x:c r="M12" s="17" t="str">
        <x:v>DONE</x:v>
      </x:c>
      <x:c r="N12" s="17" t="str">
        <x:v>LOCAL_PASS</x:v>
      </x:c>
      <x:c r="O12" s="17" t="str">
        <x:v>CODEX</x:v>
      </x:c>
      <x:c r="P12" s="17" t="str"/>
      <x:c r="Q12" s="17" t="str">
        <x:v>codex/m0-pnpm-verify-github-ci</x:v>
      </x:c>
      <x:c r="R12" s="17" t="str">
        <x:v>codex/m0-pnpm-verify-github-ci</x:v>
      </x:c>
      <x:c r="S12" s="17" t="str">
        <x:v>6033fa14d52ab8ef847bfcb275747ec94d0c904a</x:v>
      </x:c>
      <x:c r="T12" s="17" t="str"/>
      <x:c r="U12" s="17" t="str">
        <x:v>BLOCKED_EXTERNAL</x:v>
      </x:c>
      <x:c r="V12" s="17" t="str">
        <x:v>NO</x:v>
      </x:c>
      <x:c r="W12" s="17" t="str">
        <x:v>按原子提交回退；迁移仅向前修复</x:v>
      </x:c>
      <x:c r="X12" s="17" t="n">
        <x:v>46237.20134259259</x:v>
      </x:c>
      <x:c r="Y12" s="17" t="str">
        <x:v>契约先红0/6后绿6/6并扩展至7/7；根pnpm verify在实现提交上以父提交为不可变基线17/17通过；冻结干净安装后全量verify通过；四个Action固定40位提交SHA；M0无映射P0故仅输出明确不适用标记；无origin故PR和Actions保持NOT_EXECUTED/BLOCKED_EXTERNAL。</x:v>
      </x:c>
    </x:row>
    <x:row r="13" ht="23" customHeight="1">
      <x:c r="A13" s="17" t="str">
        <x:v>M0-012</x:v>
      </x:c>
      <x:c r="B13" s="17" t="str">
        <x:v>12</x:v>
      </x:c>
      <x:c r="C13" s="17" t="str">
        <x:v>M0</x:v>
      </x:c>
      <x:c r="D13" s="17" t="str">
        <x:v>FOUNDATION</x:v>
      </x:c>
      <x:c r="E13" s="17" t="str">
        <x:v>P0</x:v>
      </x:c>
      <x:c r="F13" s="17" t="str">
        <x:v>形成M0交接证据包</x:v>
      </x:c>
      <x:c r="G13" s="17" t="str">
        <x:v>§15工程化要求、提示词包AGENTS.md</x:v>
      </x:c>
      <x:c r="H13" s="17" t="str"/>
      <x:c r="I13" s="17" t="str">
        <x:v>M0-011</x:v>
      </x:c>
      <x:c r="J13" s="17" t="str">
        <x:v>登记命令、时间、提交、CI、文件、风险、回滚和人工缺口。</x:v>
      </x:c>
      <x:c r="K13" s="17" t="str">
        <x:v>另一Codex任务可从project-status继续且不重新规划边界。</x:v>
      </x:c>
      <x:c r="L13" s="17" t="str">
        <x:v>lint+typecheck+unit+contract+build</x:v>
      </x:c>
      <x:c r="M13" s="17" t="str">
        <x:v>DONE</x:v>
      </x:c>
      <x:c r="N13" s="17" t="str">
        <x:v>LOCAL_PASS</x:v>
      </x:c>
      <x:c r="O13" s="17" t="str">
        <x:v>CODEX</x:v>
      </x:c>
      <x:c r="P13" s="17" t="str"/>
      <x:c r="Q13" s="17" t="str">
        <x:v>codex/m0-m0</x:v>
      </x:c>
      <x:c r="R13" s="17" t="str">
        <x:v>codex/m0-m0-handoff</x:v>
      </x:c>
      <x:c r="S13" s="17" t="str">
        <x:v>a98c6edcbb356cd8b3209cf2695b44f36655bc93</x:v>
      </x:c>
      <x:c r="T13" s="17" t="str"/>
      <x:c r="U13" s="17" t="str">
        <x:v>BLOCKED_EXTERNAL</x:v>
      </x:c>
      <x:c r="V13" s="17" t="str">
        <x:v>NO</x:v>
      </x:c>
      <x:c r="W13" s="17" t="str">
        <x:v>按原子提交回退；迁移仅向前修复</x:v>
      </x:c>
      <x:c r="X13" s="17" t="n">
        <x:v>46237.278865740744</x:v>
      </x:c>
      <x:c r="Y13" s="17" t="str">
        <x:v>交接契约先红0/3后绿3/3；源提交完整pnpm verify 17/17通过；M0-001至M0-011的提交/文件/交接证据哈希、风险、回滚、恢复命令和4项人工缺口已汇总；M0无业务P0；无origin故PR和Actions保持NOT_EXECUTED/BLOCKED_EXTERNAL；阶段结论为待M0-GATE。</x:v>
      </x:c>
    </x:row>
    <x:row r="14" ht="23" customHeight="1">
      <x:c r="A14" s="17" t="str">
        <x:v>M0-GATE</x:v>
      </x:c>
      <x:c r="B14" s="17" t="str">
        <x:v>13</x:v>
      </x:c>
      <x:c r="C14" s="17" t="str">
        <x:v>M0</x:v>
      </x:c>
      <x:c r="D14" s="17" t="str">
        <x:v>STAGE_GATE</x:v>
      </x:c>
      <x:c r="E14" s="17" t="str">
        <x:v>P0</x:v>
      </x:c>
      <x:c r="F14" s="17" t="str">
        <x:v>M0阶段门禁验收</x:v>
      </x:c>
      <x:c r="G14" s="17" t="str">
        <x:v>执行包§02</x:v>
      </x:c>
      <x:c r="H14" s="17" t="str"/>
      <x:c r="I14" s="17" t="str">
        <x:v>M0-001,M0-002,M0-003,M0-004,M0-005,M0-006,M0-007,M0-008,M0-009,M0-010,M0-011,M0-012</x:v>
      </x:c>
      <x:c r="J14" s="17" t="str">
        <x:v>M0阶段交接记录、最新质量输出和未决人工事项</x:v>
      </x:c>
      <x:c r="K14" s="17" t="str">
        <x:v>pnpm verify骨架、固定SHA的CI模板、环境清单、确定性OpenAPI/统一类型/Web与小程序传输适配/错误码/字段字典基线、迁移演练和M0交接证据齐全。</x:v>
      </x:c>
      <x:c r="L14" s="17" t="str">
        <x:v>pnpm-verify+migration-dry-run+openapi-generate+oasdiff+ci</x:v>
      </x:c>
      <x:c r="M14" s="17" t="str">
        <x:v>DONE</x:v>
      </x:c>
      <x:c r="N14" s="17" t="str">
        <x:v>CI_PASS</x:v>
      </x:c>
      <x:c r="O14" s="17" t="str">
        <x:v>EasyStep-lee</x:v>
      </x:c>
      <x:c r="P14" s="17" t="str">
        <x:v>1</x:v>
      </x:c>
      <x:c r="Q14" s="17" t="str">
        <x:v>codex/m0-m0</x:v>
      </x:c>
      <x:c r="R14" s="17" t="str">
        <x:v>codex/m0-m0-handoff</x:v>
      </x:c>
      <x:c r="S14" s="17" t="str">
        <x:v>88b7a051300af763941c3e0ad0428111869f0182</x:v>
      </x:c>
      <x:c r="T14" s="17" t="str">
        <x:v>2</x:v>
      </x:c>
      <x:c r="U14" s="17" t="str">
        <x:v>CI_PASS</x:v>
      </x:c>
      <x:c r="V14" s="17" t="str">
        <x:v>YES</x:v>
      </x:c>
      <x:c r="W14" s="17" t="str">
        <x:v>按原子提交回退；迁移仅向前修复</x:v>
      </x:c>
      <x:c r="X14" s="17" t="n">
        <x:v>46238.10855324074</x:v>
      </x:c>
      <x:c r="Y14" s="17" t="str">
        <x:v>精确head cb3203c已完成DOCUMENTED_SELF_REVIEW并授权合并；PR #2 merge commit为88b7a051；main CI run 30872133076成功；M0业务P0为NOT_APPLICABLE；已知GitHub治理限制与Dependabot WARN保留但不冒充修复。</x:v>
      </x:c>
    </x:row>
    <x:row r="15" ht="23" customHeight="1">
      <x:c r="A15" s="17" t="str">
        <x:v>M1-000</x:v>
      </x:c>
      <x:c r="B15" s="17" t="str">
        <x:v>14</x:v>
      </x:c>
      <x:c r="C15" s="17" t="str">
        <x:v>M1</x:v>
      </x:c>
      <x:c r="D15" s="17" t="str">
        <x:v>CONTRACT_SLICE_PLAN</x:v>
      </x:c>
      <x:c r="E15" s="17" t="str">
        <x:v>P0</x:v>
      </x:c>
      <x:c r="F15" s="17" t="str">
        <x:v>冻结M1字段、状态机、权限与契约切片</x:v>
      </x:c>
      <x:c r="G15" s="17" t="str">
        <x:v>执行包字段/状态机/权限/API台账</x:v>
      </x:c>
      <x:c r="H15" s="17" t="str"/>
      <x:c r="I15" s="17" t="str">
        <x:v>M0-GATE</x:v>
      </x:c>
      <x:c r="J15" s="17" t="str">
        <x:v>把M1涉及的字段、状态、DTO、错误码、权限、P0和失败测试细化为可编码契约</x:v>
      </x:c>
      <x:c r="K15" s="17" t="str">
        <x:v>所有本阶段开发任务可追踪到冻结契约；未决业务决定进入人工事项，不在代码中猜测。</x:v>
      </x:c>
      <x:c r="L15" s="17" t="str">
        <x:v>contract-review+negative-test-plan</x:v>
      </x:c>
      <x:c r="M15" s="17" t="str">
        <x:v>DONE</x:v>
      </x:c>
      <x:c r="N15" s="17" t="str">
        <x:v>CI_PASS</x:v>
      </x:c>
      <x:c r="O15" s="17" t="str">
        <x:v>CODEX</x:v>
      </x:c>
      <x:c r="P15" s="17" t="str"/>
      <x:c r="Q15" s="17" t="str">
        <x:v>codex/m1-m1</x:v>
      </x:c>
      <x:c r="R15" s="17" t="str">
        <x:v>codex/m1-m1</x:v>
      </x:c>
      <x:c r="S15" s="17" t="str">
        <x:v>1ff90871222055002466abd99771fd4fa8161969</x:v>
      </x:c>
      <x:c r="T15" s="17" t="str">
        <x:v>7</x:v>
      </x:c>
      <x:c r="U15" s="17" t="str">
        <x:v>CI_PASS</x:v>
      </x:c>
      <x:c r="V15" s="17" t="str">
        <x:v>NO</x:v>
      </x:c>
      <x:c r="W15" s="17" t="str">
        <x:v>按原子提交回退；迁移仅向前修复</x:v>
      </x:c>
      <x:c r="X15" s="17" t="n">
        <x:v>46242.269328703704</x:v>
      </x:c>
      <x:c r="Y15" s="17" t="str">
        <x:v>契约冻结先红后绿；PR #7精确head 1ff9087的CI run 30883876592成功，合并为12da44a后main CI run 30884603598成功；业务能力由后续独立切片实现。</x:v>
      </x:c>
    </x:row>
    <x:row r="16" ht="23" customHeight="1">
      <x:c r="A16" s="17" t="str">
        <x:v>M1-P001</x:v>
      </x:c>
      <x:c r="B16" s="17" t="str">
        <x:v>15</x:v>
      </x:c>
      <x:c r="C16" s="17" t="str">
        <x:v>M1</x:v>
      </x:c>
      <x:c r="D16" s="17" t="str">
        <x:v>BUSINESS_VERTICAL_SLICE</x:v>
      </x:c>
      <x:c r="E16" s="17" t="str">
        <x:v>P0</x:v>
      </x:c>
      <x:c r="F16" s="17" t="str">
        <x:v>单商户主体</x:v>
      </x:c>
      <x:c r="G16" s="17" t="str">
        <x:v>§3角色权限、§4供应商后台、§14安全审计</x:v>
      </x:c>
      <x:c r="H16" s="17" t="str">
        <x:v>P0-001</x:v>
      </x:c>
      <x:c r="I16" s="17" t="str">
        <x:v>M1-000</x:v>
      </x:c>
      <x:c r="J16" s="17" t="str">
        <x:v>完成“单商户主体”纵向切片：迁移/领域规则/API/DTO/错误码/对应页面/测试/证据；不实现阶段外功能。</x:v>
      </x:c>
      <x:c r="K16" s="17" t="str">
        <x:v>前台销售主体、订单收款主体、退款主体均为江苏福礼团供应链科技有限公司。</x:v>
      </x:c>
      <x:c r="L16" s="17" t="str">
        <x:v>unit+api+p0-e2e</x:v>
      </x:c>
      <x:c r="M16" s="17" t="str">
        <x:v>DONE</x:v>
      </x:c>
      <x:c r="N16" s="17" t="str">
        <x:v>CI_PASS</x:v>
      </x:c>
      <x:c r="O16" s="17" t="str">
        <x:v>CODEX</x:v>
      </x:c>
      <x:c r="P16" s="17" t="str"/>
      <x:c r="Q16" s="17" t="str">
        <x:v>codex/m1-m1-p001</x:v>
      </x:c>
      <x:c r="R16" s="17" t="str">
        <x:v>codex/m1-m1-p001</x:v>
      </x:c>
      <x:c r="S16" s="17" t="str">
        <x:v>7eb91066846204a18afa20c4c8b4c7b94676dca0</x:v>
      </x:c>
      <x:c r="T16" s="17" t="str">
        <x:v>8</x:v>
      </x:c>
      <x:c r="U16" s="17" t="str">
        <x:v>CI_PASS</x:v>
      </x:c>
      <x:c r="V16" s="17" t="str">
        <x:v>NO</x:v>
      </x:c>
      <x:c r="W16" s="17" t="str">
        <x:v>按原子提交回退；迁移仅向前修复</x:v>
      </x:c>
      <x:c r="X16" s="17" t="n">
        <x:v>46239.164189814815</x:v>
      </x:c>
      <x:c r="Y16" s="17" t="str">
        <x:v>先红后绿；实现提交9d7d763，本地17/17；精确head 7eb9106的PR #8 CI、自审授权、合并及合并后main CI均通过；合并提交c2b4bf4；EXT-005未提供</x:v>
      </x:c>
    </x:row>
    <x:row r="17" ht="23" customHeight="1">
      <x:c r="A17" s="17" t="str">
        <x:v>M1-P002</x:v>
      </x:c>
      <x:c r="B17" s="17" t="str">
        <x:v>16</x:v>
      </x:c>
      <x:c r="C17" s="17" t="str">
        <x:v>M1</x:v>
      </x:c>
      <x:c r="D17" s="17" t="str">
        <x:v>BUSINESS_VERTICAL_SLICE</x:v>
      </x:c>
      <x:c r="E17" s="17" t="str">
        <x:v>P0</x:v>
      </x:c>
      <x:c r="F17" s="17" t="str">
        <x:v>无加盟商</x:v>
      </x:c>
      <x:c r="G17" s="17" t="str">
        <x:v>§3角色权限、§4供应商后台、§14安全审计</x:v>
      </x:c>
      <x:c r="H17" s="17" t="str">
        <x:v>P0-002</x:v>
      </x:c>
      <x:c r="I17" s="17" t="str">
        <x:v>M1-000</x:v>
      </x:c>
      <x:c r="J17" s="17" t="str">
        <x:v>完成“无加盟商”纵向切片：迁移/领域规则/API/DTO/错误码/对应页面/测试/证据；不实现阶段外功能。</x:v>
      </x:c>
      <x:c r="K17" s="17" t="str">
        <x:v>系统无加盟商注册、区域分账、加盟合同和加盟商后台入口。</x:v>
      </x:c>
      <x:c r="L17" s="17" t="str">
        <x:v>unit+api+p0-e2e</x:v>
      </x:c>
      <x:c r="M17" s="17" t="str">
        <x:v>DONE</x:v>
      </x:c>
      <x:c r="N17" s="17" t="str">
        <x:v>CI_PASS</x:v>
      </x:c>
      <x:c r="O17" s="17" t="str">
        <x:v>CODEX</x:v>
      </x:c>
      <x:c r="P17" s="17" t="str"/>
      <x:c r="Q17" s="17" t="str">
        <x:v>codex/m1-m1-p002</x:v>
      </x:c>
      <x:c r="R17" s="17" t="str">
        <x:v>codex/m1-m1-p002</x:v>
      </x:c>
      <x:c r="S17" s="17" t="str">
        <x:v>fb3c7a5e311d4472778eb63f9ef7351182ddc010</x:v>
      </x:c>
      <x:c r="T17" s="17" t="str">
        <x:v>9</x:v>
      </x:c>
      <x:c r="U17" s="17" t="str">
        <x:v>CI_PASS</x:v>
      </x:c>
      <x:c r="V17" s="17" t="str">
        <x:v>NO</x:v>
      </x:c>
      <x:c r="W17" s="17" t="str">
        <x:v>按原子提交回退；迁移仅向前修复</x:v>
      </x:c>
      <x:c r="X17" s="17" t="n">
        <x:v>46239.32738425926</x:v>
      </x:c>
      <x:c r="Y17" s="17" t="str">
        <x:v>先红后绿；本地与PR精确head均17/17；PR #9精确head自审授权后合并为6f0adf8；main CI run 30986393602通过；无新增Schema/迁移/OpenAPI/DTO/页面</x:v>
      </x:c>
    </x:row>
    <x:row r="18" ht="23" customHeight="1">
      <x:c r="A18" s="17" t="str">
        <x:v>M1-P003</x:v>
      </x:c>
      <x:c r="B18" s="17" t="str">
        <x:v>17</x:v>
      </x:c>
      <x:c r="C18" s="17" t="str">
        <x:v>M1</x:v>
      </x:c>
      <x:c r="D18" s="17" t="str">
        <x:v>AUTHORIZATION</x:v>
      </x:c>
      <x:c r="E18" s="17" t="str">
        <x:v>P0</x:v>
      </x:c>
      <x:c r="F18" s="17" t="str">
        <x:v>供应商注册</x:v>
      </x:c>
      <x:c r="G18" s="17" t="str">
        <x:v>§3角色权限、§4供应商后台、§14安全审计</x:v>
      </x:c>
      <x:c r="H18" s="17" t="str">
        <x:v>P0-003</x:v>
      </x:c>
      <x:c r="I18" s="17" t="str">
        <x:v>M1-000</x:v>
      </x:c>
      <x:c r="J18" s="17" t="str">
        <x:v>完成“供应商注册”纵向切片：迁移/领域规则/API/DTO/错误码/对应页面/测试/证据；不实现阶段外功能。</x:v>
      </x:c>
      <x:c r="K18" s="17" t="str">
        <x:v>供应商可注册、补资料、提交审核，并看到草稿、待审、补正、启用等状态。</x:v>
      </x:c>
      <x:c r="L18" s="17" t="str">
        <x:v>unit+api+p0-e2e</x:v>
      </x:c>
      <x:c r="M18" s="17" t="str">
        <x:v>DONE</x:v>
      </x:c>
      <x:c r="N18" s="17" t="str">
        <x:v>CI_PASS</x:v>
      </x:c>
      <x:c r="O18" s="17" t="str">
        <x:v>CODEX</x:v>
      </x:c>
      <x:c r="P18" s="17" t="str"/>
      <x:c r="Q18" s="17" t="str">
        <x:v>codex/m1-m1-p003</x:v>
      </x:c>
      <x:c r="R18" s="17" t="str">
        <x:v>codex/m1-m1-p003</x:v>
      </x:c>
      <x:c r="S18" s="17" t="str">
        <x:v>d7067a59f1bc66680121d9e2b38e04cb3083dee2</x:v>
      </x:c>
      <x:c r="T18" s="17" t="str">
        <x:v>10</x:v>
      </x:c>
      <x:c r="U18" s="17" t="str">
        <x:v>CI_PASS</x:v>
      </x:c>
      <x:c r="V18" s="17" t="str">
        <x:v>NO</x:v>
      </x:c>
      <x:c r="W18" s="17" t="str">
        <x:v>按原子提交回退；迁移仅向前修复</x:v>
      </x:c>
      <x:c r="X18" s="17" t="n">
        <x:v>46239.43664351852</x:v>
      </x:c>
      <x:c r="Y18" s="17" t="str">
        <x:v>PR #10精确head d7067a5 CI run 30996623719成功；文档化自审授权后合并为171e196；合并后main CI run 30997274654成功；EXT-006与预发布/生产/正式验收仍未执行</x:v>
      </x:c>
    </x:row>
    <x:row r="19" ht="23" customHeight="1">
      <x:c r="A19" s="17" t="str">
        <x:v>M1-P004</x:v>
      </x:c>
      <x:c r="B19" s="17" t="str">
        <x:v>18</x:v>
      </x:c>
      <x:c r="C19" s="17" t="str">
        <x:v>M1</x:v>
      </x:c>
      <x:c r="D19" s="17" t="str">
        <x:v>AUTHORIZATION</x:v>
      </x:c>
      <x:c r="E19" s="17" t="str">
        <x:v>P0</x:v>
      </x:c>
      <x:c r="F19" s="17" t="str">
        <x:v>供应商隔离</x:v>
      </x:c>
      <x:c r="G19" s="17" t="str">
        <x:v>§3角色权限、§4供应商后台、§14安全审计</x:v>
      </x:c>
      <x:c r="H19" s="17" t="str">
        <x:v>P0-004</x:v>
      </x:c>
      <x:c r="I19" s="17" t="str">
        <x:v>M1-000,M1-P003</x:v>
      </x:c>
      <x:c r="J19" s="17" t="str">
        <x:v>完成“供应商隔离”纵向切片：迁移/领域规则/API/DTO/错误码/对应页面/测试/证据；不实现阶段外功能。</x:v>
      </x:c>
      <x:c r="K19" s="17" t="str">
        <x:v>供应商不能访问其他供应商的商品、订单、库存、对账和账号。</x:v>
      </x:c>
      <x:c r="L19" s="17" t="str">
        <x:v>unit+api+p0-e2e+concurrency+idempotency+failure-recovery+authorization+response-whitelist</x:v>
      </x:c>
      <x:c r="M19" s="17" t="str">
        <x:v>DONE</x:v>
      </x:c>
      <x:c r="N19" s="17" t="str">
        <x:v>CI_PASS</x:v>
      </x:c>
      <x:c r="O19" s="17" t="str">
        <x:v>CODEX</x:v>
      </x:c>
      <x:c r="P19" s="17" t="str">
        <x:v>https://github.com/EasyStep-lee/flt1/issues/11</x:v>
      </x:c>
      <x:c r="Q19" s="17" t="str">
        <x:v>codex/m1-m1-p004</x:v>
      </x:c>
      <x:c r="R19" s="17" t="str">
        <x:v>codex/m1-m1-p004</x:v>
      </x:c>
      <x:c r="S19" s="17" t="str">
        <x:v>e8fe7c6bd80ff9a7622aea627b0d9b82eb530e3f</x:v>
      </x:c>
      <x:c r="T19" s="17" t="str">
        <x:v>12</x:v>
      </x:c>
      <x:c r="U19" s="17" t="str">
        <x:v>CI_PASS</x:v>
      </x:c>
      <x:c r="V19" s="17" t="str">
        <x:v>NO</x:v>
      </x:c>
      <x:c r="W19" s="17" t="str">
        <x:v>按原子提交回退；无新增迁移</x:v>
      </x:c>
      <x:c r="X19" s="17" t="n">
        <x:v>46242.269328703704</x:v>
      </x:c>
      <x:c r="Y19" s="17" t="str">
        <x:v>先红后绿；PR #12最终head e8fe7c6的CI run 31002208379成功，合并为4315760后main CI run 31002976288成功；供应商数据域与响应白名单在最终main回归中继续通过。</x:v>
      </x:c>
    </x:row>
    <x:row r="20" ht="23" customHeight="1">
      <x:c r="A20" s="17" t="str">
        <x:v>M1-P005</x:v>
      </x:c>
      <x:c r="B20" s="17" t="str">
        <x:v>19</x:v>
      </x:c>
      <x:c r="C20" s="17" t="str">
        <x:v>M1</x:v>
      </x:c>
      <x:c r="D20" s="17" t="str">
        <x:v>AUTHORIZATION</x:v>
      </x:c>
      <x:c r="E20" s="17" t="str">
        <x:v>P0</x:v>
      </x:c>
      <x:c r="F20" s="17" t="str">
        <x:v>供应商职能账号</x:v>
      </x:c>
      <x:c r="G20" s="17" t="str">
        <x:v>§3角色权限、§4供应商后台、§14安全审计</x:v>
      </x:c>
      <x:c r="H20" s="17" t="str">
        <x:v>P0-005</x:v>
      </x:c>
      <x:c r="I20" s="17" t="str">
        <x:v>M1-000,M1-P003</x:v>
      </x:c>
      <x:c r="J20" s="17" t="str">
        <x:v>完成“供应商职能账号”纵向切片：迁移/领域规则/API/DTO/错误码/对应页面/测试/证据；不实现阶段外功能。</x:v>
      </x:c>
      <x:c r="K20" s="17" t="str">
        <x:v>主体、商品、价格、库存、履约、售后、财务和审计分别使用独立职能账号与固定页面，敏感账户变更需二次验证。</x:v>
      </x:c>
      <x:c r="L20" s="17" t="str">
        <x:v>unit+api+p0-e2e+authorization+response-whitelist</x:v>
      </x:c>
      <x:c r="M20" s="17" t="str">
        <x:v>DONE</x:v>
      </x:c>
      <x:c r="N20" s="17" t="str">
        <x:v>CI_PASS</x:v>
      </x:c>
      <x:c r="O20" s="17" t="str">
        <x:v>CODEX</x:v>
      </x:c>
      <x:c r="P20" s="17" t="str">
        <x:v>https://github.com/EasyStep-lee/flt1/issues/13</x:v>
      </x:c>
      <x:c r="Q20" s="17" t="str">
        <x:v>codex/m1-m1-p005</x:v>
      </x:c>
      <x:c r="R20" s="17" t="str">
        <x:v>codex/m1-m1-p005</x:v>
      </x:c>
      <x:c r="S20" s="17" t="str">
        <x:v>2e9846b1872463805c29128414bdfb927b514ad9</x:v>
      </x:c>
      <x:c r="T20" s="17" t="str">
        <x:v>14</x:v>
      </x:c>
      <x:c r="U20" s="17" t="str">
        <x:v>CI_PASS</x:v>
      </x:c>
      <x:c r="V20" s="17" t="str">
        <x:v>YES</x:v>
      </x:c>
      <x:c r="W20" s="17" t="str">
        <x:v>按原子提交回退；迁移仅向前修复</x:v>
      </x:c>
      <x:c r="X20" s="17" t="n">
        <x:v>46240.074212962965</x:v>
      </x:c>
      <x:c r="Y20" s="17" t="str">
        <x:v>PR #14精确head 2e9846b的CI run 31007483633通过；用户授权后合并为a128a6f；合并后main CI run 31063510585通过；生产适配/迁移和正式验收未执行</x:v>
      </x:c>
    </x:row>
    <x:row r="21" ht="23" customHeight="1">
      <x:c r="A21" s="17" t="str">
        <x:v>M1-P045</x:v>
      </x:c>
      <x:c r="B21" s="17" t="str">
        <x:v>20</x:v>
      </x:c>
      <x:c r="C21" s="17" t="str">
        <x:v>M1</x:v>
      </x:c>
      <x:c r="D21" s="17" t="str">
        <x:v>SECURITY</x:v>
      </x:c>
      <x:c r="E21" s="17" t="str">
        <x:v>P0</x:v>
      </x:c>
      <x:c r="F21" s="17" t="str">
        <x:v>敏感操作审计</x:v>
      </x:c>
      <x:c r="G21" s="17" t="str">
        <x:v>§3角色权限、§4供应商后台、§14安全审计</x:v>
      </x:c>
      <x:c r="H21" s="17" t="str">
        <x:v>P0-045</x:v>
      </x:c>
      <x:c r="I21" s="17" t="str">
        <x:v>M1-000</x:v>
      </x:c>
      <x:c r="J21" s="17" t="str">
        <x:v>完成“敏感操作审计”纵向切片：迁移/领域规则/API/DTO/错误码/对应页面/测试/证据；不实现阶段外功能。</x:v>
      </x:c>
      <x:c r="K21" s="17" t="str">
        <x:v>退款、强制下架、银行账户变更和付款标记均记录操作人及前后值。</x:v>
      </x:c>
      <x:c r="L21" s="17" t="str">
        <x:v>unit+api+p0-e2e+authorization+response-whitelist</x:v>
      </x:c>
      <x:c r="M21" s="17" t="str">
        <x:v>DONE</x:v>
      </x:c>
      <x:c r="N21" s="17" t="str">
        <x:v>CI_PASS</x:v>
      </x:c>
      <x:c r="O21" s="17" t="str">
        <x:v>CODEX</x:v>
      </x:c>
      <x:c r="P21" s="17" t="str">
        <x:v>https://github.com/EasyStep-lee/flt1/issues/15</x:v>
      </x:c>
      <x:c r="Q21" s="17" t="str">
        <x:v>codex/m1-m1-p045</x:v>
      </x:c>
      <x:c r="R21" s="17" t="str">
        <x:v>codex/m1-m1-p045</x:v>
      </x:c>
      <x:c r="S21" s="17" t="str">
        <x:v>91c9a73f17db46d88aaad6590a7a3d39d63c786e</x:v>
      </x:c>
      <x:c r="T21" s="17" t="str">
        <x:v>16</x:v>
      </x:c>
      <x:c r="U21" s="17" t="str">
        <x:v>CI_PASS</x:v>
      </x:c>
      <x:c r="V21" s="17" t="str">
        <x:v>YES</x:v>
      </x:c>
      <x:c r="W21" s="17" t="str">
        <x:v>按原子提交回退；迁移部署后仅向前修复</x:v>
      </x:c>
      <x:c r="X21" s="17" t="n">
        <x:v>46240.13085648148</x:v>
      </x:c>
      <x:c r="Y21" s="17" t="str">
        <x:v>PR #16精确head 91c9a73 CI run 31066656197通过；用户按精确head授权后合并为de6957be；合并后main CI run 31067369336通过；后续四类业务动作仍仅冻结代码</x:v>
      </x:c>
    </x:row>
    <x:row r="22" ht="23" customHeight="1">
      <x:c r="A22" s="17" t="str">
        <x:v>M1-P046</x:v>
      </x:c>
      <x:c r="B22" s="17" t="str">
        <x:v>21</x:v>
      </x:c>
      <x:c r="C22" s="17" t="str">
        <x:v>M1</x:v>
      </x:c>
      <x:c r="D22" s="17" t="str">
        <x:v>SECURITY</x:v>
      </x:c>
      <x:c r="E22" s="17" t="str">
        <x:v>P0</x:v>
      </x:c>
      <x:c r="F22" s="17" t="str">
        <x:v>敏感数据隔离</x:v>
      </x:c>
      <x:c r="G22" s="17" t="str">
        <x:v>§3角色权限、§4供应商后台、§14安全审计</x:v>
      </x:c>
      <x:c r="H22" s="17" t="str">
        <x:v>P0-046</x:v>
      </x:c>
      <x:c r="I22" s="17" t="str">
        <x:v>M1-000,M1-P045</x:v>
      </x:c>
      <x:c r="J22" s="17" t="str">
        <x:v>完成“敏感数据隔离”纵向切片：迁移/领域规则/API/DTO/错误码/对应页面/测试/证据；不实现阶段外功能。</x:v>
      </x:c>
      <x:c r="K22" s="17" t="str">
        <x:v>跑腿员只在个人订单履约阶段看到必要地址；供应价和供应商结算数据仅公司价格审核/财务页面及对应供应商价格/财务页面可见，其他职能页面、个人端、企业端、跑腿端和其他供应商越权请求均不返回敏感字段。</x:v>
      </x:c>
      <x:c r="L22" s="17" t="str">
        <x:v>unit+api+p0-e2e+authorization+response-whitelist</x:v>
      </x:c>
      <x:c r="M22" s="17" t="str">
        <x:v>DONE</x:v>
      </x:c>
      <x:c r="N22" s="17" t="str">
        <x:v>CI_PASS</x:v>
      </x:c>
      <x:c r="O22" s="17" t="str">
        <x:v>CODEX</x:v>
      </x:c>
      <x:c r="P22" s="17" t="str">
        <x:v>https://github.com/EasyStep-lee/flt1/issues/17</x:v>
      </x:c>
      <x:c r="Q22" s="17" t="str">
        <x:v>codex/m1-m1-p046</x:v>
      </x:c>
      <x:c r="R22" s="17" t="str">
        <x:v>codex/m1-m1-p046</x:v>
      </x:c>
      <x:c r="S22" s="17" t="str">
        <x:v>1dd9074e88e8b1eb16699556648edd6b16ad9a11</x:v>
      </x:c>
      <x:c r="T22" s="17" t="str">
        <x:v>18</x:v>
      </x:c>
      <x:c r="U22" s="17" t="str">
        <x:v>CI_PASS</x:v>
      </x:c>
      <x:c r="V22" s="17" t="str">
        <x:v>YES</x:v>
      </x:c>
      <x:c r="W22" s="17" t="str">
        <x:v>按原子提交回退；迁移部署后仅向前修复</x:v>
      </x:c>
      <x:c r="X22" s="17" t="n">
        <x:v>46240.1690625</x:v>
      </x:c>
      <x:c r="Y22" s="17" t="str">
        <x:v>PR #18精确head 1dd9074的CI通过；用户授权转Ready并合并为7637fe3；合并后main CI run 31070163062通过；M4真实跑腿履约接入需后续复验；预发布/生产未执行</x:v>
      </x:c>
    </x:row>
    <x:row r="23" ht="23" customHeight="1">
      <x:c r="A23" s="17" t="str">
        <x:v>M1-P047</x:v>
      </x:c>
      <x:c r="B23" s="17" t="str">
        <x:v>22</x:v>
      </x:c>
      <x:c r="C23" s="17" t="str">
        <x:v>M1</x:v>
      </x:c>
      <x:c r="D23" s="17" t="str">
        <x:v>SECURITY</x:v>
      </x:c>
      <x:c r="E23" s="17" t="str">
        <x:v>P0</x:v>
      </x:c>
      <x:c r="F23" s="17" t="str">
        <x:v>OpenAPI 与响应白名单</x:v>
      </x:c>
      <x:c r="G23" s="17" t="str">
        <x:v>§3角色权限、§4供应商后台、§14安全审计</x:v>
      </x:c>
      <x:c r="H23" s="17" t="str">
        <x:v>P0-047</x:v>
      </x:c>
      <x:c r="I23" s="17" t="str">
        <x:v>M1-000,M1-P046</x:v>
      </x:c>
      <x:c r="J23" s="17" t="str">
        <x:v>完成“OpenAPI 与响应白名单”纵向切片：迁移/领域规则/API/DTO/错误码/对应页面/测试/证据；不实现阶段外功能。</x:v>
      </x:c>
      <x:c r="K23" s="17" t="str">
        <x:v>各端接口有权限、请求、响应、幂等和用户可读错误码；spec 由后端 @nestjs/swagger 经确定性脚本生成，openapi-typescript 生成统一类型；Web 使用 openapi-fetch，原生小程序使用同类型的 wx.request 适配器。CI 校验 spec/类型无未提交差异、全端类型检查通过，并以锁定版本的 oasdiff 阻断破坏性变更；对客 DTO 和响应契约测试禁止 supplyPrice、approvedSupplyPrice、supplyPriceSnapshot、供应商应付及毛利字段。</x:v>
      </x:c>
      <x:c r="L23" s="17" t="str">
        <x:v>unit+api+p0-e2e+authorization+response-whitelist+deterministic-openapi+oasdiff+miniapp-adapter</x:v>
      </x:c>
      <x:c r="M23" s="17" t="str">
        <x:v>DONE</x:v>
      </x:c>
      <x:c r="N23" s="17" t="str">
        <x:v>CI_PASS</x:v>
      </x:c>
      <x:c r="O23" s="17" t="str">
        <x:v>CODEX</x:v>
      </x:c>
      <x:c r="P23" s="17" t="str">
        <x:v>https://github.com/EasyStep-lee/flt1/issues/19</x:v>
      </x:c>
      <x:c r="Q23" s="17" t="str">
        <x:v>codex/m1-m1-p047</x:v>
      </x:c>
      <x:c r="R23" s="17" t="str">
        <x:v>codex/m1-m1-p047</x:v>
      </x:c>
      <x:c r="S23" s="17" t="str">
        <x:v>2a0791976a8190d7668d98f2bd808e78073582cc</x:v>
      </x:c>
      <x:c r="T23" s="17" t="str">
        <x:v>20</x:v>
      </x:c>
      <x:c r="U23" s="17" t="str">
        <x:v>CI_PASS</x:v>
      </x:c>
      <x:c r="V23" s="17" t="str">
        <x:v>YES</x:v>
      </x:c>
      <x:c r="W23" s="17" t="str">
        <x:v>按原子提交回退；无新增迁移</x:v>
      </x:c>
      <x:c r="X23" s="17" t="n">
        <x:v>46240.27243055555</x:v>
      </x:c>
      <x:c r="Y23" s="17" t="str">
        <x:v>PR #20精确head 2a07919的CI run 31076242739通过；用户授权转Ready并合并为9931842；合并后main CI run 31076692902通过；预发布/生产/正式验收未执行</x:v>
      </x:c>
    </x:row>
    <x:row r="24" ht="23" customHeight="1">
      <x:c r="A24" s="17" t="str">
        <x:v>M1-P066</x:v>
      </x:c>
      <x:c r="B24" s="17" t="str">
        <x:v>23</x:v>
      </x:c>
      <x:c r="C24" s="17" t="str">
        <x:v>M1</x:v>
      </x:c>
      <x:c r="D24" s="17" t="str">
        <x:v>UI_VERTICAL_SLICE</x:v>
      </x:c>
      <x:c r="E24" s="17" t="str">
        <x:v>P0</x:v>
      </x:c>
      <x:c r="F24" s="17" t="str">
        <x:v>公司后台登录与职能选择</x:v>
      </x:c>
      <x:c r="G24" s="17" t="str">
        <x:v>§3角色权限、§4供应商后台、§14安全审计</x:v>
      </x:c>
      <x:c r="H24" s="17" t="str">
        <x:v>P0-066</x:v>
      </x:c>
      <x:c r="I24" s="17" t="str">
        <x:v>M1-000,M1-P005</x:v>
      </x:c>
      <x:c r="J24" s="17" t="str">
        <x:v>完成“公司后台登录与职能选择”纵向切片：迁移/领域规则/API/DTO/错误码/对应页面/测试/证据；不实现阶段外功能。</x:v>
      </x:c>
      <x:c r="K24" s="17" t="str">
        <x:v>公司后台使用独立登录入口且不开放公众注册；只有一个职能账号时直达固定页面，同一人员拥有多个职能账号时先进入账号选择页，每次只签发一个 functionalAccountId 会话。</x:v>
      </x:c>
      <x:c r="L24" s="17" t="str">
        <x:v>unit+api+p0-e2e+openapi+migration+security</x:v>
      </x:c>
      <x:c r="M24" s="17" t="str">
        <x:v>DONE</x:v>
      </x:c>
      <x:c r="N24" s="17" t="str">
        <x:v>CI_PASS</x:v>
      </x:c>
      <x:c r="O24" s="17" t="str">
        <x:v>CODEX</x:v>
      </x:c>
      <x:c r="P24" s="17" t="str">
        <x:v>https://github.com/EasyStep-lee/flt1/issues/21</x:v>
      </x:c>
      <x:c r="Q24" s="17" t="str">
        <x:v>codex/m1-m1-p066</x:v>
      </x:c>
      <x:c r="R24" s="17" t="str">
        <x:v>codex/m1-m1-p066</x:v>
      </x:c>
      <x:c r="S24" s="17" t="str">
        <x:v>4c3e07a359ae2d99f47ed9265730a1d9dd27531c</x:v>
      </x:c>
      <x:c r="T24" s="17" t="str">
        <x:v>22</x:v>
      </x:c>
      <x:c r="U24" s="17" t="str">
        <x:v>CI_PASS</x:v>
      </x:c>
      <x:c r="V24" s="17" t="str">
        <x:v>YES</x:v>
      </x:c>
      <x:c r="W24" s="17" t="str">
        <x:v>按原子提交回退；迁移仅向前修复</x:v>
      </x:c>
      <x:c r="X24" s="17" t="n">
        <x:v>46240.39662037037</x:v>
      </x:c>
      <x:c r="Y24" s="17" t="str">
        <x:v>PR #22最终head 4c3e07a精确CI run 31084427860成功；用户授权转Ready并合并为1254f710；合并后main CI run 31089444537成功；预发布/生产/正式验收未执行</x:v>
      </x:c>
    </x:row>
    <x:row r="25" ht="23" customHeight="1">
      <x:c r="A25" s="17" t="str">
        <x:v>M1-P067</x:v>
      </x:c>
      <x:c r="B25" s="17" t="str">
        <x:v>24</x:v>
      </x:c>
      <x:c r="C25" s="17" t="str">
        <x:v>M1</x:v>
      </x:c>
      <x:c r="D25" s="17" t="str">
        <x:v>UI_VERTICAL_SLICE</x:v>
      </x:c>
      <x:c r="E25" s="17" t="str">
        <x:v>P0</x:v>
      </x:c>
      <x:c r="F25" s="17" t="str">
        <x:v>公司职能账号独立页面</x:v>
      </x:c>
      <x:c r="G25" s="17" t="str">
        <x:v>§3角色权限、§4供应商后台、§14安全审计</x:v>
      </x:c>
      <x:c r="H25" s="17" t="str">
        <x:v>P0-067</x:v>
      </x:c>
      <x:c r="I25" s="17" t="str">
        <x:v>M1-000,M1-P066</x:v>
      </x:c>
      <x:c r="J25" s="17" t="str">
        <x:v>完成“公司职能账号独立页面”纵向切片：迁移/领域规则/API/DTO/错误码/对应页面/测试/证据；不实现阶段外功能。</x:v>
      </x:c>
      <x:c r="K25" s="17" t="str">
        <x:v>超级管理员、供应商运营、商品与分类运营、价格审核、订单客服、福利卡运营、财务、物流、门户编辑和审计账号分别进入固定 workspaceRoute；页面不出现其他职能菜单，手工访问其他职能路由或接口返回无权限。</x:v>
      </x:c>
      <x:c r="L25" s="17" t="str">
        <x:v>unit+api+p0-e2e+openapi+migration+authorization+idempotency</x:v>
      </x:c>
      <x:c r="M25" s="17" t="str">
        <x:v>DONE</x:v>
      </x:c>
      <x:c r="N25" s="17" t="str">
        <x:v>CI_PASS</x:v>
      </x:c>
      <x:c r="O25" s="17" t="str">
        <x:v>CODEX</x:v>
      </x:c>
      <x:c r="P25" s="17" t="str">
        <x:v>https://github.com/EasyStep-lee/flt1/issues/23</x:v>
      </x:c>
      <x:c r="Q25" s="17" t="str">
        <x:v>codex/m1-m1-p067</x:v>
      </x:c>
      <x:c r="R25" s="17" t="str">
        <x:v>codex/m1-m1-p067</x:v>
      </x:c>
      <x:c r="S25" s="17" t="str">
        <x:v>702aa02b305f96bdc1e02002a108208fc9ac092f</x:v>
      </x:c>
      <x:c r="T25" s="17" t="str">
        <x:v>24</x:v>
      </x:c>
      <x:c r="U25" s="17" t="str">
        <x:v>CI_PASS</x:v>
      </x:c>
      <x:c r="V25" s="17" t="str">
        <x:v>YES</x:v>
      </x:c>
      <x:c r="W25" s="17" t="str">
        <x:v>按原子提交回退；迁移仅向前修复</x:v>
      </x:c>
      <x:c r="X25" s="17" t="n">
        <x:v>46241.10428240741</x:v>
      </x:c>
      <x:c r="Y25" s="17" t="str">
        <x:v>PR #24精确head 702aa02的CI run 31095481940成功；用户授权转Ready并合并为aa7b9a7；合并后main CI run 31139537997成功；预发布/生产/正式验收未执行</x:v>
      </x:c>
    </x:row>
    <x:row r="26" ht="23" customHeight="1">
      <x:c r="A26" s="17" t="str">
        <x:v>M1-P068</x:v>
      </x:c>
      <x:c r="B26" s="17" t="str">
        <x:v>25</x:v>
      </x:c>
      <x:c r="C26" s="17" t="str">
        <x:v>M1</x:v>
      </x:c>
      <x:c r="D26" s="17" t="str">
        <x:v>UI_VERTICAL_SLICE</x:v>
      </x:c>
      <x:c r="E26" s="17" t="str">
        <x:v>P0</x:v>
      </x:c>
      <x:c r="F26" s="17" t="str">
        <x:v>公司独立页面完整性</x:v>
      </x:c>
      <x:c r="G26" s="17" t="str">
        <x:v>§3角色权限、§4供应商后台、§14安全审计</x:v>
      </x:c>
      <x:c r="H26" s="17" t="str">
        <x:v>P0-068</x:v>
      </x:c>
      <x:c r="I26" s="17" t="str">
        <x:v>M1-000,M1-P067</x:v>
      </x:c>
      <x:c r="J26" s="17" t="str">
        <x:v>完成“公司独立页面完整性”纵向切片：迁移/领域规则/API/DTO/错误码/对应页面/测试/证据；不实现阶段外功能。</x:v>
      </x:c>
      <x:c r="K26" s="17" t="str">
        <x:v>每个公司职能页面均具备自己的工作台、内部列表/筛选/详情/时间线及加载、空态、失败和无权限状态；共用组件不导致数据、菜单或会话上下文合并。</x:v>
      </x:c>
      <x:c r="L26" s="17" t="str">
        <x:v>unit+api+p0-e2e+openapi+response-whitelist</x:v>
      </x:c>
      <x:c r="M26" s="17" t="str">
        <x:v>DONE</x:v>
      </x:c>
      <x:c r="N26" s="17" t="str">
        <x:v>CI_PASS</x:v>
      </x:c>
      <x:c r="O26" s="17" t="str">
        <x:v>CODEX</x:v>
      </x:c>
      <x:c r="P26" s="17" t="str">
        <x:v>https://github.com/EasyStep-lee/flt1/issues/25</x:v>
      </x:c>
      <x:c r="Q26" s="17" t="str">
        <x:v>codex/m1-m1-p068</x:v>
      </x:c>
      <x:c r="R26" s="17" t="str">
        <x:v>codex/m1-m1-p068</x:v>
      </x:c>
      <x:c r="S26" s="17" t="str">
        <x:v>9c91673bc698083ffaac9df07ba401c75f61e939</x:v>
      </x:c>
      <x:c r="T26" s="17" t="str">
        <x:v>26</x:v>
      </x:c>
      <x:c r="U26" s="17" t="str">
        <x:v>CI_PASS</x:v>
      </x:c>
      <x:c r="V26" s="17" t="str">
        <x:v>YES</x:v>
      </x:c>
      <x:c r="W26" s="17" t="str">
        <x:v>git revert P068原子提交；无新增迁移</x:v>
      </x:c>
      <x:c r="X26" s="17" t="n">
        <x:v>46241.168900462966</x:v>
      </x:c>
      <x:c r="Y26" s="17" t="str">
        <x:v>PR #26精确head 9c91673的CI run 31143472876成功；用户授权转Ready并合并为ff8d5ae；合并后main CI run 31144798071成功；预发布/生产/正式验收未执行</x:v>
      </x:c>
    </x:row>
    <x:row r="27" ht="23" customHeight="1">
      <x:c r="A27" s="17" t="str">
        <x:v>M1-P069</x:v>
      </x:c>
      <x:c r="B27" s="17" t="str">
        <x:v>26</x:v>
      </x:c>
      <x:c r="C27" s="17" t="str">
        <x:v>M1</x:v>
      </x:c>
      <x:c r="D27" s="17" t="str">
        <x:v>UI_VERTICAL_SLICE</x:v>
      </x:c>
      <x:c r="E27" s="17" t="str">
        <x:v>P0</x:v>
      </x:c>
      <x:c r="F27" s="17" t="str">
        <x:v>供应商注册、登录与职能选择</x:v>
      </x:c>
      <x:c r="G27" s="17" t="str">
        <x:v>§3角色权限、§4供应商后台、§14安全审计</x:v>
      </x:c>
      <x:c r="H27" s="17" t="str">
        <x:v>P0-069</x:v>
      </x:c>
      <x:c r="I27" s="17" t="str">
        <x:v>M1-000,M1-P003</x:v>
      </x:c>
      <x:c r="J27" s="17" t="str">
        <x:v>完成“供应商注册、登录与职能选择”纵向切片：迁移/领域规则/API/DTO/错误码/对应页面/测试/证据；不实现阶段外功能。</x:v>
      </x:c>
      <x:c r="K27" s="17" t="str">
        <x:v>门户供应商合作入口可进入注册和登录；审核通过后激活主体管理账号，各业务职能账号分别邀请；supplierId 由服务端绑定，同一人员多职能时必须在账号选择页逐一进入。</x:v>
      </x:c>
      <x:c r="L27" s="17" t="str">
        <x:v>unit+api+p0-e2e+openapi+migration+security</x:v>
      </x:c>
      <x:c r="M27" s="17" t="str">
        <x:v>DONE</x:v>
      </x:c>
      <x:c r="N27" s="17" t="str">
        <x:v>CI_PASS</x:v>
      </x:c>
      <x:c r="O27" s="17" t="str">
        <x:v>CODEX</x:v>
      </x:c>
      <x:c r="P27" s="17" t="str">
        <x:v>https://github.com/EasyStep-lee/flt1/issues/27</x:v>
      </x:c>
      <x:c r="Q27" s="17" t="str">
        <x:v>codex/m1-m1-p069</x:v>
      </x:c>
      <x:c r="R27" s="17" t="str">
        <x:v>codex/m1-m1-p069</x:v>
      </x:c>
      <x:c r="S27" s="17" t="str">
        <x:v>c914a5e7d1036e20f6a989f40455c30d9dbe0043</x:v>
      </x:c>
      <x:c r="T27" s="17" t="str">
        <x:v>28</x:v>
      </x:c>
      <x:c r="U27" s="17" t="str">
        <x:v>CI_PASS</x:v>
      </x:c>
      <x:c r="V27" s="17" t="str">
        <x:v>YES</x:v>
      </x:c>
      <x:c r="W27" s="17" t="str">
        <x:v>应用提交可revert；已发布迁移只允许前向修复</x:v>
      </x:c>
      <x:c r="X27" s="17" t="n">
        <x:v>46241.49663194444</x:v>
      </x:c>
      <x:c r="Y27" s="17" t="str">
        <x:v>PR #28精确head CI run 31174016101成功；用户授权后合并为417d165；合并后main CI run 31175113225成功；P069 GitHub门禁闭环</x:v>
      </x:c>
    </x:row>
    <x:row r="28" ht="23" customHeight="1">
      <x:c r="A28" s="17" t="str">
        <x:v>M1-P070</x:v>
      </x:c>
      <x:c r="B28" s="17" t="str">
        <x:v>27</x:v>
      </x:c>
      <x:c r="C28" s="17" t="str">
        <x:v>M1</x:v>
      </x:c>
      <x:c r="D28" s="17" t="str">
        <x:v>UI_VERTICAL_SLICE</x:v>
      </x:c>
      <x:c r="E28" s="17" t="str">
        <x:v>P0</x:v>
      </x:c>
      <x:c r="F28" s="17" t="str">
        <x:v>供应商职能账号独立页面</x:v>
      </x:c>
      <x:c r="G28" s="17" t="str">
        <x:v>§3角色权限、§4供应商后台、§14安全审计</x:v>
      </x:c>
      <x:c r="H28" s="17" t="str">
        <x:v>P0-070</x:v>
      </x:c>
      <x:c r="I28" s="17" t="str">
        <x:v>M1-000,M1-P069</x:v>
      </x:c>
      <x:c r="J28" s="17" t="str">
        <x:v>完成“供应商职能账号独立页面”纵向切片：迁移/领域规则/API/DTO/错误码/对应页面/测试/证据；不实现阶段外功能。</x:v>
      </x:c>
      <x:c r="K28" s="17" t="str">
        <x:v>主体管理、商品、价格、库存、履约、售后、财务和审计账号分别进入固定页面且只显示本职能内部菜单；兼任通过多个职能账号切换实现，不允许合并页面或权限。</x:v>
      </x:c>
      <x:c r="L28" s="17" t="str">
        <x:v>unit+api+p0-e2e+openapi</x:v>
      </x:c>
      <x:c r="M28" s="17" t="str">
        <x:v>DONE</x:v>
      </x:c>
      <x:c r="N28" s="17" t="str">
        <x:v>CI_PASS</x:v>
      </x:c>
      <x:c r="O28" s="17" t="str">
        <x:v>CODEX</x:v>
      </x:c>
      <x:c r="P28" s="17" t="str">
        <x:v>https://github.com/EasyStep-lee/flt1/issues/29</x:v>
      </x:c>
      <x:c r="Q28" s="17" t="str">
        <x:v>codex/m1-m1-p070</x:v>
      </x:c>
      <x:c r="R28" s="17" t="str">
        <x:v>codex/m1-m1-p070</x:v>
      </x:c>
      <x:c r="S28" s="17" t="str">
        <x:v>acadd8b838c4061c8184b12db077a030d0a8e277</x:v>
      </x:c>
      <x:c r="T28" s="17" t="str">
        <x:v>30</x:v>
      </x:c>
      <x:c r="U28" s="17" t="str">
        <x:v>CI_PASS</x:v>
      </x:c>
      <x:c r="V28" s="17" t="str">
        <x:v>YES</x:v>
      </x:c>
      <x:c r="W28" s="17" t="str">
        <x:v>git revert P070原子提交；无新增迁移</x:v>
      </x:c>
      <x:c r="X28" s="17" t="n">
        <x:v>46242.05831018519</x:v>
      </x:c>
      <x:c r="Y28" s="17" t="str">
        <x:v>PR #30精确head acadd8b的CI run 31183104823成功；用户授权后合并为a721d56；合并后main CI run 31232556011成功；P070 GitHub门禁闭环</x:v>
      </x:c>
    </x:row>
    <x:row r="29" ht="23" customHeight="1">
      <x:c r="A29" s="17" t="str">
        <x:v>M1-P072</x:v>
      </x:c>
      <x:c r="B29" s="17" t="str">
        <x:v>28</x:v>
      </x:c>
      <x:c r="C29" s="17" t="str">
        <x:v>M1</x:v>
      </x:c>
      <x:c r="D29" s="17" t="str">
        <x:v>SECURITY</x:v>
      </x:c>
      <x:c r="E29" s="17" t="str">
        <x:v>P0</x:v>
      </x:c>
      <x:c r="F29" s="17" t="str">
        <x:v>后台敏感操作与审计</x:v>
      </x:c>
      <x:c r="G29" s="17" t="str">
        <x:v>§3角色权限、§4供应商后台、§14安全审计</x:v>
      </x:c>
      <x:c r="H29" s="17" t="str">
        <x:v>P0-072</x:v>
      </x:c>
      <x:c r="I29" s="17" t="str">
        <x:v>M1-000,M1-P045,M1-P070</x:v>
      </x:c>
      <x:c r="J29" s="17" t="str">
        <x:v>完成“后台敏感操作与审计”纵向切片：迁移/领域规则/API/DTO/错误码/对应页面/测试/证据；不实现阶段外功能。</x:v>
      </x:c>
      <x:c r="K29" s="17" t="str">
        <x:v>供应价查看、供应价审批、退款复核、福利卡调整、付款登记、银行账户复核和敏感导出使用独立权限点；要求双人复核时按自然人 identityId 阻止同一人员跨职能账号自审、自批，超级管理员也不能绕过；职能账号/类型变更、登录、账号选择、查看敏感字段、导出和会话撤销均可审计。</x:v>
      </x:c>
      <x:c r="L29" s="17" t="str">
        <x:v>unit+api+p0-e2e+authorization+natural-identity-separation+concurrency+audit</x:v>
      </x:c>
      <x:c r="M29" s="17" t="str">
        <x:v>DONE</x:v>
      </x:c>
      <x:c r="N29" s="17" t="str">
        <x:v>CI_PASS</x:v>
      </x:c>
      <x:c r="O29" s="17" t="str">
        <x:v>CODEX</x:v>
      </x:c>
      <x:c r="P29" s="17" t="str">
        <x:v>https://github.com/EasyStep-lee/flt1/issues/31</x:v>
      </x:c>
      <x:c r="Q29" s="17" t="str">
        <x:v>codex/m1-m1-p072</x:v>
      </x:c>
      <x:c r="R29" s="17" t="str">
        <x:v>codex/m1-m1-p072</x:v>
      </x:c>
      <x:c r="S29" s="17" t="str">
        <x:v>efb50c01049686ce5acf8463342a53d4e572a7cd</x:v>
      </x:c>
      <x:c r="T29" s="17" t="str">
        <x:v>32</x:v>
      </x:c>
      <x:c r="U29" s="17" t="str">
        <x:v>CI_PASS</x:v>
      </x:c>
      <x:c r="V29" s="17" t="str">
        <x:v>NO</x:v>
      </x:c>
      <x:c r="W29" s="17" t="str">
        <x:v>应用提交使用git revert；已发布迁移只允许前向修复</x:v>
      </x:c>
      <x:c r="X29" s="17" t="n">
        <x:v>46242.269328703704</x:v>
      </x:c>
      <x:c r="Y29" s="17" t="str">
        <x:v>PR #32精确head efb50c0的CI run 31239438856成功；授权合并为4ff0258且main CI run 31240531655成功；同自然人、超级管理员、并发版本、同键命令合并、审计回滚与供应商数据域均有行为证据。</x:v>
      </x:c>
    </x:row>
    <x:row r="30" ht="23" customHeight="1">
      <x:c r="A30" s="17" t="str">
        <x:v>M1-GATE</x:v>
      </x:c>
      <x:c r="B30" s="17" t="str">
        <x:v>29</x:v>
      </x:c>
      <x:c r="C30" s="17" t="str">
        <x:v>M1</x:v>
      </x:c>
      <x:c r="D30" s="17" t="str">
        <x:v>STAGE_GATE</x:v>
      </x:c>
      <x:c r="E30" s="17" t="str">
        <x:v>P0</x:v>
      </x:c>
      <x:c r="F30" s="17" t="str">
        <x:v>M1阶段门禁验收</x:v>
      </x:c>
      <x:c r="G30" s="17" t="str">
        <x:v>执行包§02</x:v>
      </x:c>
      <x:c r="H30" s="17" t="str"/>
      <x:c r="I30" s="17" t="str">
        <x:v>M1-000,M1-P001,M1-P002,M1-P003,M1-P004,M1-P005,M1-P045,M1-P046,M1-P047,M1-P066,M1-P067,M1-P068,M1-P069,M1-P070,M1-P072</x:v>
      </x:c>
      <x:c r="J30" s="17" t="str">
        <x:v>M1交接记录、P0证据、质量输出、风险和回滚材料</x:v>
      </x:c>
      <x:c r="K30" s="17" t="str">
        <x:v>14项主P0均有代码、迁移、契约、越权测试和证据；供应商隔离及职能路由不可绕过。</x:v>
      </x:c>
      <x:c r="L30" s="17" t="str">
        <x:v>pnpm-verify+ci+stage-specific-evidence</x:v>
      </x:c>
      <x:c r="M30" s="17" t="str">
        <x:v>DONE</x:v>
      </x:c>
      <x:c r="N30" s="17" t="str">
        <x:v>CI_PASS</x:v>
      </x:c>
      <x:c r="O30" s="17" t="str">
        <x:v>CODEX</x:v>
      </x:c>
      <x:c r="P30" s="17" t="str">
        <x:v>https://github.com/EasyStep-lee/flt1/issues/33</x:v>
      </x:c>
      <x:c r="Q30" s="17" t="str">
        <x:v>codex/m1-m1</x:v>
      </x:c>
      <x:c r="R30" s="17" t="str">
        <x:v>codex/m1-m1-gate</x:v>
      </x:c>
      <x:c r="S30" s="17" t="str">
        <x:v>162787ae1687116badf0972664005332220976f9</x:v>
      </x:c>
      <x:c r="T30" s="17" t="str">
        <x:v>https://github.com/EasyStep-lee/flt1/pull/34</x:v>
      </x:c>
      <x:c r="U30" s="17" t="str">
        <x:v>CI_PASS</x:v>
      </x:c>
      <x:c r="V30" s="17" t="str">
        <x:v>YES</x:v>
      </x:c>
      <x:c r="W30" s="17" t="str">
        <x:v>按原子提交回退；迁移仅向前修复</x:v>
      </x:c>
      <x:c r="X30" s="191" t="n">
        <x:v>46243.21679398148</x:v>
      </x:c>
      <x:c r="Y30" s="17" t="str">
        <x:v>PR #34按精确head f5febff授权并合并为162787a；main CI run 31295823535在该合并提交成功，M1-GATE PASS。</x:v>
      </x:c>
    </x:row>
    <x:row r="31" ht="23" customHeight="1">
      <x:c r="A31" s="17" t="str">
        <x:v>M2-000</x:v>
      </x:c>
      <x:c r="B31" s="17" t="str">
        <x:v>30</x:v>
      </x:c>
      <x:c r="C31" s="17" t="str">
        <x:v>M2</x:v>
      </x:c>
      <x:c r="D31" s="17" t="str">
        <x:v>CONTRACT_SLICE_PLAN</x:v>
      </x:c>
      <x:c r="E31" s="17" t="str">
        <x:v>P0</x:v>
      </x:c>
      <x:c r="F31" s="17" t="str">
        <x:v>冻结M2字段、状态机、权限与契约切片</x:v>
      </x:c>
      <x:c r="G31" s="17" t="str">
        <x:v>执行包字段/状态机/权限/API台账</x:v>
      </x:c>
      <x:c r="H31" s="17" t="str"/>
      <x:c r="I31" s="17" t="str">
        <x:v>M1-GATE</x:v>
      </x:c>
      <x:c r="J31" s="17" t="str">
        <x:v>把M2涉及的字段、状态、DTO、错误码、权限、P0和失败测试细化为可编码契约</x:v>
      </x:c>
      <x:c r="K31" s="17" t="str">
        <x:v>所有本阶段开发任务可追踪到冻结契约；未决业务决定进入人工事项，不在代码中猜测。</x:v>
      </x:c>
      <x:c r="L31" s="17" t="str">
        <x:v>contract-review+negative-test-plan</x:v>
      </x:c>
      <x:c r="M31" s="17" t="str">
        <x:v>DONE</x:v>
      </x:c>
      <x:c r="N31" s="17" t="str">
        <x:v>CI_PASS</x:v>
      </x:c>
      <x:c r="O31" s="17" t="str">
        <x:v>CODEX</x:v>
      </x:c>
      <x:c r="P31" s="17" t="str">
        <x:v>https://github.com/EasyStep-lee/flt1/issues/35</x:v>
      </x:c>
      <x:c r="Q31" s="17" t="str">
        <x:v>codex/m2-m2</x:v>
      </x:c>
      <x:c r="R31" s="17" t="str">
        <x:v>codex/m2-contract-freeze</x:v>
      </x:c>
      <x:c r="S31" s="17" t="str">
        <x:v>25dfc2a56bf6943e12cf30cf05b1323385cd65df</x:v>
      </x:c>
      <x:c r="T31" s="17" t="str">
        <x:v>https://github.com/EasyStep-lee/flt1/pull/36</x:v>
      </x:c>
      <x:c r="U31" s="17" t="str">
        <x:v>CI_PASS</x:v>
      </x:c>
      <x:c r="V31" s="17" t="str">
        <x:v>NO</x:v>
      </x:c>
      <x:c r="W31" s="17" t="str">
        <x:v>按原子提交回退；迁移仅向前修复</x:v>
      </x:c>
      <x:c r="X31" s="17" t="n">
        <x:v>46243.313888888886</x:v>
      </x:c>
      <x:c r="Y31" s="17" t="str">
        <x:v>PR #36精确head 313546a CI_PASS并合并为main@2f52c21；合并后main CI run 31301103092成功，M2-P006已解锁。</x:v>
      </x:c>
    </x:row>
    <x:row r="32" ht="23" customHeight="1">
      <x:c r="A32" s="17" t="str">
        <x:v>M2-P006</x:v>
      </x:c>
      <x:c r="B32" s="17" t="str">
        <x:v>31</x:v>
      </x:c>
      <x:c r="C32" s="17" t="str">
        <x:v>M2</x:v>
      </x:c>
      <x:c r="D32" s="17" t="str">
        <x:v>CATALOG_DOMAIN</x:v>
      </x:c>
      <x:c r="E32" s="17" t="str">
        <x:v>P0</x:v>
      </x:c>
      <x:c r="F32" s="17" t="str">
        <x:v>商品两层模型</x:v>
      </x:c>
      <x:c r="G32" s="17" t="str">
        <x:v>§5分类模板、§6商品价格库存</x:v>
      </x:c>
      <x:c r="H32" s="17" t="str">
        <x:v>P0-006</x:v>
      </x:c>
      <x:c r="I32" s="17" t="str">
        <x:v>M2-000</x:v>
      </x:c>
      <x:c r="J32" s="17" t="str">
        <x:v>完成“商品两层模型”纵向切片：迁移/领域规则/API/DTO/错误码/对应页面/测试/证据；不实现阶段外功能。</x:v>
      </x:c>
      <x:c r="K32" s="17" t="str">
        <x:v>供应商提交 SupplierProduct，公司审核后才产生/更新可售 Product/Sku。</x:v>
      </x:c>
      <x:c r="L32" s="17" t="str">
        <x:v>unit+api+p0-e2e</x:v>
      </x:c>
      <x:c r="M32" s="17" t="str">
        <x:v>DONE</x:v>
      </x:c>
      <x:c r="N32" s="17" t="str">
        <x:v>CI_PASS</x:v>
      </x:c>
      <x:c r="O32" s="17" t="str">
        <x:v>CODEX</x:v>
      </x:c>
      <x:c r="P32" s="17" t="str">
        <x:v>https://github.com/EasyStep-lee/flt1/issues/37</x:v>
      </x:c>
      <x:c r="Q32" s="17" t="str">
        <x:v>codex/m2-m2-p006</x:v>
      </x:c>
      <x:c r="R32" s="17" t="str">
        <x:v>codex/m2-product-model</x:v>
      </x:c>
      <x:c r="S32" s="17" t="str">
        <x:v>bfa5e1ab140f4e37ceb664d8bd5304f1de366124</x:v>
      </x:c>
      <x:c r="T32" s="17" t="str">
        <x:v>https://github.com/EasyStep-lee/flt1/pull/38</x:v>
      </x:c>
      <x:c r="U32" s="17" t="str">
        <x:v>CI_PASS</x:v>
      </x:c>
      <x:c r="V32" s="17" t="str">
        <x:v>NO</x:v>
      </x:c>
      <x:c r="W32" s="17" t="str">
        <x:v>按原子提交回退；迁移仅向前修复</x:v>
      </x:c>
      <x:c r="X32" s="17" t="n">
        <x:v>46243.41143518518</x:v>
      </x:c>
      <x:c r="Y32" s="17" t="str">
        <x:v>PR #38精确head CI run 31304973970通过并按人工授权合并为main@ae7abc8；合并后main CI run 31306358667成功，M2-P007已解锁。</x:v>
      </x:c>
    </x:row>
    <x:row r="33" ht="23" customHeight="1">
      <x:c r="A33" s="17" t="str">
        <x:v>M2-P007</x:v>
      </x:c>
      <x:c r="B33" s="17" t="str">
        <x:v>32</x:v>
      </x:c>
      <x:c r="C33" s="17" t="str">
        <x:v>M2</x:v>
      </x:c>
      <x:c r="D33" s="17" t="str">
        <x:v>CATALOG_DOMAIN</x:v>
      </x:c>
      <x:c r="E33" s="17" t="str">
        <x:v>P0</x:v>
      </x:c>
      <x:c r="F33" s="17" t="str">
        <x:v>公司双页面审核上架</x:v>
      </x:c>
      <x:c r="G33" s="17" t="str">
        <x:v>§5分类模板、§6商品价格库存</x:v>
      </x:c>
      <x:c r="H33" s="17" t="str">
        <x:v>P0-007</x:v>
      </x:c>
      <x:c r="I33" s="17" t="str">
        <x:v>M2-000,M2-P006</x:v>
      </x:c>
      <x:c r="J33" s="17" t="str">
        <x:v>完成“公司双页面审核上架”纵向切片：迁移/领域规则/API/DTO/错误码/对应页面/测试/证据；不实现阶段外功能。</x:v>
      </x:c>
      <x:c r="K33" s="17" t="str">
        <x:v>公司商品职能页面完成商品资料审核、公司价格审核页面完成三类初始价格审核；两项均通过前商品无法出现在前台或加入购物车。</x:v>
      </x:c>
      <x:c r="L33" s="17" t="str">
        <x:v>unit+api+p0-e2e</x:v>
      </x:c>
      <x:c r="M33" s="17" t="str">
        <x:v>DONE</x:v>
      </x:c>
      <x:c r="N33" s="17" t="str">
        <x:v>CI_PASS</x:v>
      </x:c>
      <x:c r="O33" s="17" t="str">
        <x:v>CODEX</x:v>
      </x:c>
      <x:c r="P33" s="17" t="str">
        <x:v>https://github.com/EasyStep-lee/flt1/issues/39</x:v>
      </x:c>
      <x:c r="Q33" s="17" t="str">
        <x:v>codex/m2-m2-p007</x:v>
      </x:c>
      <x:c r="R33" s="17" t="str">
        <x:v>codex/m2-product-approval</x:v>
      </x:c>
      <x:c r="S33" s="17" t="str">
        <x:v>96367acf9304dadee489e97ca7047deccedbb1a4</x:v>
      </x:c>
      <x:c r="T33" s="17" t="str">
        <x:v>https://github.com/EasyStep-lee/flt1/pull/40</x:v>
      </x:c>
      <x:c r="U33" s="17" t="str">
        <x:v>CI_PASS</x:v>
      </x:c>
      <x:c r="V33" s="17" t="str">
        <x:v>NO</x:v>
      </x:c>
      <x:c r="W33" s="17" t="str">
        <x:v>按原子提交回退；迁移仅向前修复</x:v>
      </x:c>
      <x:c r="X33" s="17" t="n">
        <x:v>46243.49652777778</x:v>
      </x:c>
      <x:c r="Y33" s="17" t="str">
        <x:v>PR #40精确head 96367ac的CI run 31311125039通过；按人工授权合并为main@15a10da，合并后main CI run 31311672836成功，M2-P008已解锁。</x:v>
      </x:c>
    </x:row>
    <x:row r="34" ht="23" customHeight="1">
      <x:c r="A34" s="17" t="str">
        <x:v>M2-P008</x:v>
      </x:c>
      <x:c r="B34" s="17" t="str">
        <x:v>33</x:v>
      </x:c>
      <x:c r="C34" s="17" t="str">
        <x:v>M2</x:v>
      </x:c>
      <x:c r="D34" s="17" t="str">
        <x:v>CATALOG_DOMAIN</x:v>
      </x:c>
      <x:c r="E34" s="17" t="str">
        <x:v>P0</x:v>
      </x:c>
      <x:c r="F34" s="17" t="str">
        <x:v>供应商独立价格页面</x:v>
      </x:c>
      <x:c r="G34" s="17" t="str">
        <x:v>§5分类模板、§6商品价格库存</x:v>
      </x:c>
      <x:c r="H34" s="17" t="str">
        <x:v>P0-008</x:v>
      </x:c>
      <x:c r="I34" s="17" t="str">
        <x:v>M2-000,M2-P006</x:v>
      </x:c>
      <x:c r="J34" s="17" t="str">
        <x:v>完成“供应商独立价格页面”纵向切片：迁移/领域规则/API/DTO/错误码/对应页面/测试/证据；不实现阶段外功能。</x:v>
      </x:c>
      <x:c r="K34" s="17" t="str">
        <x:v>供应商商品页面不加载价格字段；价格职能页面自主设置供应价、平台零售价和集采销售价并提交初始价格审核，公司不得静默改价。</x:v>
      </x:c>
      <x:c r="L34" s="17" t="str">
        <x:v>unit+api+p0-e2e</x:v>
      </x:c>
      <x:c r="M34" s="17" t="str">
        <x:v>DONE</x:v>
      </x:c>
      <x:c r="N34" s="17" t="str">
        <x:v>CI_PASS</x:v>
      </x:c>
      <x:c r="O34" s="17" t="str">
        <x:v>CODEX</x:v>
      </x:c>
      <x:c r="P34" s="17" t="str">
        <x:v>https://github.com/EasyStep-lee/flt1/issues/41</x:v>
      </x:c>
      <x:c r="Q34" s="17" t="str">
        <x:v>codex/m2-m2-p008</x:v>
      </x:c>
      <x:c r="R34" s="17" t="str">
        <x:v>codex/m2-supplier-pricing</x:v>
      </x:c>
      <x:c r="S34" s="17" t="str">
        <x:v>23397b8eac5dff197d6ba7c9e4afc9f77e2287e3</x:v>
      </x:c>
      <x:c r="T34" s="17" t="str">
        <x:v>https://github.com/EasyStep-lee/flt1/pull/42</x:v>
      </x:c>
      <x:c r="U34" s="17" t="str">
        <x:v>CI_PASS</x:v>
      </x:c>
      <x:c r="V34" s="17" t="str">
        <x:v>NO</x:v>
      </x:c>
      <x:c r="W34" s="17" t="str">
        <x:v>按原子提交回退；迁移仅向前修复</x:v>
      </x:c>
      <x:c r="X34" s="17" t="n">
        <x:v>46244.05306712963</x:v>
      </x:c>
      <x:c r="Y34" s="17" t="str">
        <x:v>PR #42精确head CI run 31318336134通过并按人工授权合并为main@590a770；合并后main CI run 31346326144成功，M2-P009已解锁。</x:v>
      </x:c>
    </x:row>
    <x:row r="35" ht="23" customHeight="1">
      <x:c r="A35" s="17" t="str">
        <x:v>M2-P009</x:v>
      </x:c>
      <x:c r="B35" s="17" t="str">
        <x:v>34</x:v>
      </x:c>
      <x:c r="C35" s="17" t="str">
        <x:v>M2</x:v>
      </x:c>
      <x:c r="D35" s="17" t="str">
        <x:v>CATALOG_DOMAIN</x:v>
      </x:c>
      <x:c r="E35" s="17" t="str">
        <x:v>P0</x:v>
      </x:c>
      <x:c r="F35" s="17" t="str">
        <x:v>无供应商店铺</x:v>
      </x:c>
      <x:c r="G35" s="17" t="str">
        <x:v>§5分类模板、§6商品价格库存</x:v>
      </x:c>
      <x:c r="H35" s="17" t="str">
        <x:v>P0-009</x:v>
      </x:c>
      <x:c r="I35" s="17" t="str">
        <x:v>M2-000,M2-P006</x:v>
      </x:c>
      <x:c r="J35" s="17" t="str">
        <x:v>完成“无供应商店铺”纵向切片：迁移/领域规则/API/DTO/错误码/对应页面/测试/证据；不实现阶段外功能。</x:v>
      </x:c>
      <x:c r="K35" s="17" t="str">
        <x:v>不存在供应商装修页、独立结算、店铺优惠券和供应商收款入口。</x:v>
      </x:c>
      <x:c r="L35" s="17" t="str">
        <x:v>unit+api+p0-e2e</x:v>
      </x:c>
      <x:c r="M35" s="17" t="str">
        <x:v>DONE</x:v>
      </x:c>
      <x:c r="N35" s="17" t="str">
        <x:v>CI_PASS</x:v>
      </x:c>
      <x:c r="O35" s="17" t="str">
        <x:v>CODEX</x:v>
      </x:c>
      <x:c r="P35" s="17" t="str">
        <x:v>https://github.com/EasyStep-lee/flt1/issues/43</x:v>
      </x:c>
      <x:c r="Q35" s="17" t="str">
        <x:v>codex/m2-m2-p009</x:v>
      </x:c>
      <x:c r="R35" s="17" t="str">
        <x:v>codex/m2-no-supplier-storefront</x:v>
      </x:c>
      <x:c r="S35" s="17" t="str">
        <x:v>fbf8fe62ce7113007a7ff3240974e9df72b08ba0</x:v>
      </x:c>
      <x:c r="T35" s="17" t="str">
        <x:v>https://github.com/EasyStep-lee/flt1/pull/44</x:v>
      </x:c>
      <x:c r="U35" s="17" t="str">
        <x:v>CI_PASS</x:v>
      </x:c>
      <x:c r="V35" s="17" t="str">
        <x:v>YES</x:v>
      </x:c>
      <x:c r="W35" s="17" t="str">
        <x:v>按原子提交回退；本切片无迁移</x:v>
      </x:c>
      <x:c r="X35" s="17" t="n">
        <x:v>46244.1490162037</x:v>
      </x:c>
      <x:c r="Y35" s="17" t="str">
        <x:v>最终head fbf8fe6的PR CI run 31351519702成功；按精确head人工授权合并为main@fb242c0；合并后main CI run 31352608893成功，M2-P010已解锁。</x:v>
      </x:c>
    </x:row>
    <x:row r="36" ht="23" customHeight="1">
      <x:c r="A36" s="17" t="str">
        <x:v>M2-P010</x:v>
      </x:c>
      <x:c r="B36" s="17" t="str">
        <x:v>35</x:v>
      </x:c>
      <x:c r="C36" s="17" t="str">
        <x:v>M2</x:v>
      </x:c>
      <x:c r="D36" s="17" t="str">
        <x:v>CATALOG_DOMAIN</x:v>
      </x:c>
      <x:c r="E36" s="17" t="str">
        <x:v>P0</x:v>
      </x:c>
      <x:c r="F36" s="17" t="str">
        <x:v>看他还卖什么</x:v>
      </x:c>
      <x:c r="G36" s="17" t="str">
        <x:v>§5分类模板、§6商品价格库存</x:v>
      </x:c>
      <x:c r="H36" s="17" t="str">
        <x:v>P0-010</x:v>
      </x:c>
      <x:c r="I36" s="17" t="str">
        <x:v>M2-000,M2-P006</x:v>
      </x:c>
      <x:c r="J36" s="17" t="str">
        <x:v>完成“看他还卖什么”纵向切片：迁移/领域规则/API/DTO/错误码/对应页面/测试/证据；不实现阶段外功能。</x:v>
      </x:c>
      <x:c r="K36" s="17" t="str">
        <x:v>按 supplierId 筛选公司已上架商品，销售主体和统一货架不改变。</x:v>
      </x:c>
      <x:c r="L36" s="17" t="str">
        <x:v>unit+api+p0-e2e</x:v>
      </x:c>
      <x:c r="M36" s="17" t="str">
        <x:v>DONE</x:v>
      </x:c>
      <x:c r="N36" s="17" t="str">
        <x:v>CI_PASS</x:v>
      </x:c>
      <x:c r="O36" s="17" t="str">
        <x:v>CODEX</x:v>
      </x:c>
      <x:c r="P36" s="17" t="str">
        <x:v>https://github.com/EasyStep-lee/flt1/issues/45</x:v>
      </x:c>
      <x:c r="Q36" s="17" t="str">
        <x:v>codex/m2-m2-p010</x:v>
      </x:c>
      <x:c r="R36" s="17" t="str">
        <x:v>codex/m2-more-from-supplier</x:v>
      </x:c>
      <x:c r="S36" s="17" t="str">
        <x:v>08745d1d1f2ecb41acbfc4d21104c13daa570146</x:v>
      </x:c>
      <x:c r="T36" s="17" t="str">
        <x:v>https://github.com/EasyStep-lee/flt1/pull/46</x:v>
      </x:c>
      <x:c r="U36" s="17" t="str">
        <x:v>CI_PASS</x:v>
      </x:c>
      <x:c r="V36" s="17" t="str">
        <x:v>YES</x:v>
      </x:c>
      <x:c r="W36" s="17" t="str">
        <x:v>按原子提交回退；本切片无迁移</x:v>
      </x:c>
      <x:c r="X36" s="17" t="n">
        <x:v>46244.24444444444</x:v>
      </x:c>
      <x:c r="Y36" s="17" t="str">
        <x:v>PR #46精确head CI run 31358378754通过；按人工授权合并为main@d1c34e7；合并后main CI run 31359557525通过。P0-089、真机、staging与production仍未执行。</x:v>
      </x:c>
    </x:row>
    <x:row r="37" ht="23" customHeight="1">
      <x:c r="A37" s="17" t="str">
        <x:v>M2-P011</x:v>
      </x:c>
      <x:c r="B37" s="17" t="str">
        <x:v>36</x:v>
      </x:c>
      <x:c r="C37" s="17" t="str">
        <x:v>M2</x:v>
      </x:c>
      <x:c r="D37" s="17" t="str">
        <x:v>CATALOG_DOMAIN</x:v>
      </x:c>
      <x:c r="E37" s="17" t="str">
        <x:v>P0</x:v>
      </x:c>
      <x:c r="F37" s="17" t="str">
        <x:v>分类树</x:v>
      </x:c>
      <x:c r="G37" s="17" t="str">
        <x:v>§5分类模板、§6商品价格库存</x:v>
      </x:c>
      <x:c r="H37" s="17" t="str">
        <x:v>P0-011</x:v>
      </x:c>
      <x:c r="I37" s="17" t="str">
        <x:v>M2-000</x:v>
      </x:c>
      <x:c r="J37" s="17" t="str">
        <x:v>完成“分类树”纵向切片：迁移/领域规则/API/DTO/错误码/对应页面/测试/证据；不实现阶段外功能。</x:v>
      </x:c>
      <x:c r="K37" s="17" t="str">
        <x:v>商品必须绑定启用的末级分类，分类支持排序、停用和历史引用保护。</x:v>
      </x:c>
      <x:c r="L37" s="17" t="str">
        <x:v>unit+api+p0-e2e</x:v>
      </x:c>
      <x:c r="M37" s="17" t="str">
        <x:v>DONE</x:v>
      </x:c>
      <x:c r="N37" s="17" t="str">
        <x:v>CI_PASS</x:v>
      </x:c>
      <x:c r="O37" s="17" t="str">
        <x:v>CODEX</x:v>
      </x:c>
      <x:c r="P37" s="17" t="str">
        <x:v>https://github.com/EasyStep-lee/flt1/issues/47</x:v>
      </x:c>
      <x:c r="Q37" s="17" t="str">
        <x:v>codex/m2-m2-p011</x:v>
      </x:c>
      <x:c r="R37" s="17" t="str">
        <x:v>codex/m2-category-tree</x:v>
      </x:c>
      <x:c r="S37" s="17" t="str">
        <x:v>abb82b1be670ab145f719d8682b59ba23ffcfe7d</x:v>
      </x:c>
      <x:c r="T37" s="17" t="str">
        <x:v>https://github.com/EasyStep-lee/flt1/pull/48</x:v>
      </x:c>
      <x:c r="U37" s="17" t="str">
        <x:v>CI_PASS</x:v>
      </x:c>
      <x:c r="V37" s="17" t="str">
        <x:v>NO</x:v>
      </x:c>
      <x:c r="W37" s="17" t="str">
        <x:v>回退应用提交；已执行环境的迁移不回改并采用向前修复</x:v>
      </x:c>
      <x:c r="X37" s="17" t="n">
        <x:v>46244.40503472222</x:v>
      </x:c>
      <x:c r="Y37" s="17" t="str">
        <x:v>PR #48精确head CI run 31372338118通过并按人工授权合并为main@49b59ea；合并后main CI run 31375326708通过；staging与production未执行。</x:v>
      </x:c>
    </x:row>
    <x:row r="38" ht="23" customHeight="1">
      <x:c r="A38" s="17" t="str">
        <x:v>M2-P012</x:v>
      </x:c>
      <x:c r="B38" s="17" t="str">
        <x:v>37</x:v>
      </x:c>
      <x:c r="C38" s="17" t="str">
        <x:v>M2</x:v>
      </x:c>
      <x:c r="D38" s="17" t="str">
        <x:v>CATALOG_DOMAIN</x:v>
      </x:c>
      <x:c r="E38" s="17" t="str">
        <x:v>P0</x:v>
      </x:c>
      <x:c r="F38" s="17" t="str">
        <x:v>分类模板</x:v>
      </x:c>
      <x:c r="G38" s="17" t="str">
        <x:v>§5分类模板、§6商品价格库存</x:v>
      </x:c>
      <x:c r="H38" s="17" t="str">
        <x:v>P0-012</x:v>
      </x:c>
      <x:c r="I38" s="17" t="str">
        <x:v>M2-000,M2-P011</x:v>
      </x:c>
      <x:c r="J38" s="17" t="str">
        <x:v>完成“分类模板”纵向切片：迁移/领域规则/API/DTO/错误码/对应页面/测试/证据；不实现阶段外功能。</x:v>
      </x:c>
      <x:c r="K38" s="17" t="str">
        <x:v>末级分类绑定模板版本，决定必填字段、SKU、资质和详情模块。</x:v>
      </x:c>
      <x:c r="L38" s="17" t="str">
        <x:v>unit+api+p0-e2e</x:v>
      </x:c>
      <x:c r="M38" s="17" t="str">
        <x:v>DONE</x:v>
      </x:c>
      <x:c r="N38" s="17" t="str">
        <x:v>CI_PASS</x:v>
      </x:c>
      <x:c r="O38" s="17" t="str">
        <x:v>CODEX</x:v>
      </x:c>
      <x:c r="P38" s="17" t="str">
        <x:v>https://github.com/EasyStep-lee/flt1/issues/49</x:v>
      </x:c>
      <x:c r="Q38" s="17" t="str">
        <x:v>codex/m2-m2-p012</x:v>
      </x:c>
      <x:c r="R38" s="17" t="str">
        <x:v>codex/m2-category-template</x:v>
      </x:c>
      <x:c r="S38" s="17" t="str">
        <x:v>4faae84321583c28abc7532f1093c7c2bbc95de1</x:v>
      </x:c>
      <x:c r="T38" s="17" t="str">
        <x:v>https://github.com/EasyStep-lee/flt1/pull/50</x:v>
      </x:c>
      <x:c r="U38" s="17" t="str">
        <x:v>CI_PASS</x:v>
      </x:c>
      <x:c r="V38" s="17" t="str">
        <x:v>NO</x:v>
      </x:c>
      <x:c r="W38" s="17" t="str">
        <x:v>回退应用提交；共享环境已应用迁移后不回改并采用向前修复</x:v>
      </x:c>
      <x:c r="X38" s="17" t="n">
        <x:v>46244.68038194445</x:v>
      </x:c>
      <x:c r="Y38" s="17" t="str">
        <x:v>PR #50精确head 4faae843 CI通过并按人工授权合并为main@9a85a641；合并后main CI run 31398383884通过。staging与production未执行。</x:v>
      </x:c>
    </x:row>
    <x:row r="39" ht="23" customHeight="1">
      <x:c r="A39" s="17" t="str">
        <x:v>M2-P013</x:v>
      </x:c>
      <x:c r="B39" s="17" t="str">
        <x:v>38</x:v>
      </x:c>
      <x:c r="C39" s="17" t="str">
        <x:v>M2</x:v>
      </x:c>
      <x:c r="D39" s="17" t="str">
        <x:v>CATALOG_DOMAIN</x:v>
      </x:c>
      <x:c r="E39" s="17" t="str">
        <x:v>P0</x:v>
      </x:c>
      <x:c r="F39" s="17" t="str">
        <x:v>食品详情</x:v>
      </x:c>
      <x:c r="G39" s="17" t="str">
        <x:v>§5分类模板、§6商品价格库存</x:v>
      </x:c>
      <x:c r="H39" s="17" t="str">
        <x:v>P0-013</x:v>
      </x:c>
      <x:c r="I39" s="17" t="str">
        <x:v>M2-000,M2-P012</x:v>
      </x:c>
      <x:c r="J39" s="17" t="str">
        <x:v>完成“食品详情”纵向切片：迁移/领域规则/API/DTO/错误码/对应页面/测试/证据；不实现阶段外功能。</x:v>
      </x:c>
      <x:c r="K39" s="17" t="str">
        <x:v>配料、营养、许可、保质期、储存和过敏原按模板展示。</x:v>
      </x:c>
      <x:c r="L39" s="17" t="str">
        <x:v>unit+api+p0-e2e</x:v>
      </x:c>
      <x:c r="M39" s="17" t="str">
        <x:v>DONE</x:v>
      </x:c>
      <x:c r="N39" s="17" t="str">
        <x:v>CI_PASS</x:v>
      </x:c>
      <x:c r="O39" s="17" t="str">
        <x:v>CODEX</x:v>
      </x:c>
      <x:c r="P39" s="17" t="str">
        <x:v>https://github.com/EasyStep-lee/flt1/issues/51</x:v>
      </x:c>
      <x:c r="Q39" s="17" t="str">
        <x:v>codex/m2-m2-p013</x:v>
      </x:c>
      <x:c r="R39" s="17" t="str">
        <x:v>codex/m2-food-detail</x:v>
      </x:c>
      <x:c r="S39" s="17" t="str">
        <x:v>22d42359eb6e5ecfaf978efea0c2964c84267d27</x:v>
      </x:c>
      <x:c r="T39" s="17" t="str">
        <x:v>https://github.com/EasyStep-lee/flt1/pull/52</x:v>
      </x:c>
      <x:c r="U39" s="17" t="str">
        <x:v>CI_PASS</x:v>
      </x:c>
      <x:c r="V39" s="17" t="str">
        <x:v>NO</x:v>
      </x:c>
      <x:c r="W39" s="17" t="str">
        <x:v>回退应用提交；共享环境已应用迁移后不回改并采用向前修复</x:v>
      </x:c>
      <x:c r="X39" s="17" t="n">
        <x:v>46245.055763888886</x:v>
      </x:c>
      <x:c r="Y39" s="17" t="str">
        <x:v>PR #52精确head 22d42359的CI run 31413574540通过并按人工授权合并为main@81e3808c；合并后main CI run 31448561555通过。staging、device与production未执行。</x:v>
      </x:c>
    </x:row>
    <x:row r="40" ht="23" customHeight="1">
      <x:c r="A40" s="17" t="str">
        <x:v>M2-P014</x:v>
      </x:c>
      <x:c r="B40" s="17" t="str">
        <x:v>39</x:v>
      </x:c>
      <x:c r="C40" s="17" t="str">
        <x:v>M2</x:v>
      </x:c>
      <x:c r="D40" s="17" t="str">
        <x:v>CATALOG_DOMAIN</x:v>
      </x:c>
      <x:c r="E40" s="17" t="str">
        <x:v>P0</x:v>
      </x:c>
      <x:c r="F40" s="17" t="str">
        <x:v>生鲜详情</x:v>
      </x:c>
      <x:c r="G40" s="17" t="str">
        <x:v>§5分类模板、§6商品价格库存</x:v>
      </x:c>
      <x:c r="H40" s="17" t="str">
        <x:v>P0-014</x:v>
      </x:c>
      <x:c r="I40" s="17" t="str">
        <x:v>M2-000,M2-P012</x:v>
      </x:c>
      <x:c r="J40" s="17" t="str">
        <x:v>完成“生鲜详情”纵向切片：迁移/领域规则/API/DTO/错误码/对应页面/测试/证据；不实现阶段外功能。</x:v>
      </x:c>
      <x:c r="K40" s="17" t="str">
        <x:v>产地、等级、保鲜、温区、称重和售后规则按模板展示。</x:v>
      </x:c>
      <x:c r="L40" s="17" t="str">
        <x:v>unit+api+p0-e2e</x:v>
      </x:c>
      <x:c r="M40" s="17" t="str">
        <x:v>DONE</x:v>
      </x:c>
      <x:c r="N40" s="17" t="str">
        <x:v>CI_PASS</x:v>
      </x:c>
      <x:c r="O40" s="17" t="str">
        <x:v>CODEX</x:v>
      </x:c>
      <x:c r="P40" s="17" t="str">
        <x:v>https://github.com/EasyStep-lee/flt1/issues/53</x:v>
      </x:c>
      <x:c r="Q40" s="17" t="str">
        <x:v>codex/m2-m2-p014</x:v>
      </x:c>
      <x:c r="R40" s="17" t="str">
        <x:v>codex/m2-fresh-detail</x:v>
      </x:c>
      <x:c r="S40" s="17" t="str">
        <x:v>9bbaa92e22d2c7055ffefbe089f92eaaf69cdabe</x:v>
      </x:c>
      <x:c r="T40" s="17" t="str">
        <x:v>https://github.com/EasyStep-lee/flt1/pull/54</x:v>
      </x:c>
      <x:c r="U40" s="17" t="str">
        <x:v>CI_PASS</x:v>
      </x:c>
      <x:c r="V40" s="17" t="str">
        <x:v>NO</x:v>
      </x:c>
      <x:c r="W40" s="17" t="str">
        <x:v>回退应用提交；共享环境已应用迁移后不回改并采用向前修复</x:v>
      </x:c>
      <x:c r="X40" s="17" t="n">
        <x:v>46245.12520833333</x:v>
      </x:c>
      <x:c r="Y40" s="17" t="str">
        <x:v>PR #54精确head CI run 31452009986通过并按人工授权合并为main@f2d6c1c；合并后main CI run 31453656294通过。staging、device与production未执行。</x:v>
      </x:c>
    </x:row>
    <x:row r="41" ht="23" customHeight="1">
      <x:c r="A41" s="17" t="str">
        <x:v>M2-P015</x:v>
      </x:c>
      <x:c r="B41" s="17" t="str">
        <x:v>40</x:v>
      </x:c>
      <x:c r="C41" s="17" t="str">
        <x:v>M2</x:v>
      </x:c>
      <x:c r="D41" s="17" t="str">
        <x:v>CATALOG_DOMAIN</x:v>
      </x:c>
      <x:c r="E41" s="17" t="str">
        <x:v>P0</x:v>
      </x:c>
      <x:c r="F41" s="17" t="str">
        <x:v>服饰详情</x:v>
      </x:c>
      <x:c r="G41" s="17" t="str">
        <x:v>§5分类模板、§6商品价格库存</x:v>
      </x:c>
      <x:c r="H41" s="17" t="str">
        <x:v>P0-015</x:v>
      </x:c>
      <x:c r="I41" s="17" t="str">
        <x:v>M2-000,M2-P012</x:v>
      </x:c>
      <x:c r="J41" s="17" t="str">
        <x:v>完成“服饰详情”纵向切片：迁移/领域规则/API/DTO/错误码/对应页面/测试/证据；不实现阶段外功能。</x:v>
      </x:c>
      <x:c r="K41" s="17" t="str">
        <x:v>颜色尺码 SKU、材质、尺码表和洗护说明完整。</x:v>
      </x:c>
      <x:c r="L41" s="17" t="str">
        <x:v>unit+api+p0-e2e</x:v>
      </x:c>
      <x:c r="M41" s="17" t="str">
        <x:v>DONE</x:v>
      </x:c>
      <x:c r="N41" s="17" t="str">
        <x:v>CI_PASS</x:v>
      </x:c>
      <x:c r="O41" s="17" t="str">
        <x:v>CODEX</x:v>
      </x:c>
      <x:c r="P41" s="17" t="str">
        <x:v>https://github.com/EasyStep-lee/flt1/issues/55</x:v>
      </x:c>
      <x:c r="Q41" s="17" t="str">
        <x:v>codex/m2-m2-p015</x:v>
      </x:c>
      <x:c r="R41" s="17" t="str">
        <x:v>codex/m2-apparel-detail</x:v>
      </x:c>
      <x:c r="S41" s="17" t="str">
        <x:v>7319f6f2fa13e490e46f262ba9aae7f0746016ad</x:v>
      </x:c>
      <x:c r="T41" s="17" t="str">
        <x:v>https://github.com/EasyStep-lee/flt1/pull/56</x:v>
      </x:c>
      <x:c r="U41" s="17" t="str">
        <x:v>CI_PASS</x:v>
      </x:c>
      <x:c r="V41" s="17" t="str">
        <x:v>NO</x:v>
      </x:c>
      <x:c r="W41" s="17" t="str">
        <x:v>按原子提交回退；迁移仅向前修复</x:v>
      </x:c>
      <x:c r="X41" s="17" t="n">
        <x:v>46245.2406712963</x:v>
      </x:c>
      <x:c r="Y41" s="17" t="str">
        <x:v>PR #56最终head 7319f6f的CI run 31460861833通过并按精确授权合并为main@dfd03e1；合并后main run 31462310044完整门禁通过，Issue #55关闭，P016已解锁。</x:v>
      </x:c>
    </x:row>
    <x:row r="42" ht="23" customHeight="1">
      <x:c r="A42" s="17" t="str">
        <x:v>M2-P016</x:v>
      </x:c>
      <x:c r="B42" s="17" t="str">
        <x:v>41</x:v>
      </x:c>
      <x:c r="C42" s="17" t="str">
        <x:v>M2</x:v>
      </x:c>
      <x:c r="D42" s="17" t="str">
        <x:v>CATALOG_DOMAIN</x:v>
      </x:c>
      <x:c r="E42" s="17" t="str">
        <x:v>P0</x:v>
      </x:c>
      <x:c r="F42" s="17" t="str">
        <x:v>数码详情</x:v>
      </x:c>
      <x:c r="G42" s="17" t="str">
        <x:v>§5分类模板、§6商品价格库存</x:v>
      </x:c>
      <x:c r="H42" s="17" t="str">
        <x:v>P0-016</x:v>
      </x:c>
      <x:c r="I42" s="17" t="str">
        <x:v>M2-000,M2-P012</x:v>
      </x:c>
      <x:c r="J42" s="17" t="str">
        <x:v>完成“数码详情”纵向切片：迁移/领域规则/API/DTO/错误码/对应页面/测试/证据；不实现阶段外功能。</x:v>
      </x:c>
      <x:c r="K42" s="17" t="str">
        <x:v>型号、参数、能效、包装清单和保修信息完整。</x:v>
      </x:c>
      <x:c r="L42" s="17" t="str">
        <x:v>unit+api+p0-e2e</x:v>
      </x:c>
      <x:c r="M42" s="17" t="str">
        <x:v>DONE</x:v>
      </x:c>
      <x:c r="N42" s="17" t="str">
        <x:v>CI_PASS</x:v>
      </x:c>
      <x:c r="O42" s="17" t="str">
        <x:v>CODEX</x:v>
      </x:c>
      <x:c r="P42" s="17" t="str">
        <x:v>https://github.com/EasyStep-lee/flt1/issues/57</x:v>
      </x:c>
      <x:c r="Q42" s="17" t="str">
        <x:v>codex/m2-m2-p016</x:v>
      </x:c>
      <x:c r="R42" s="17" t="str">
        <x:v>codex/m2-digital-detail</x:v>
      </x:c>
      <x:c r="S42" s="17" t="str">
        <x:v>6ec6e8f3193c0cfdb19ebc481bbbd77f7201df4f</x:v>
      </x:c>
      <x:c r="T42" s="17" t="str">
        <x:v>https://github.com/EasyStep-lee/flt1/pull/58</x:v>
      </x:c>
      <x:c r="U42" s="17" t="str">
        <x:v>CI_PASS</x:v>
      </x:c>
      <x:c r="V42" s="17" t="str">
        <x:v>NO</x:v>
      </x:c>
      <x:c r="W42" s="17" t="str">
        <x:v>按原子提交回退；迁移仅向前修复</x:v>
      </x:c>
      <x:c r="X42" s="17" t="n">
        <x:v>46245.362233796295</x:v>
      </x:c>
      <x:c r="Y42" s="17" t="str">
        <x:v>PR #58最终head 6ec6e8f的CI run 31471253414通过并按精确授权合并为main@371d99d；合并后main run 31472192291完整门禁通过，Issue #57关闭，P017已解锁。</x:v>
      </x:c>
    </x:row>
    <x:row r="43" ht="23" customHeight="1">
      <x:c r="A43" s="17" t="str">
        <x:v>M2-P017</x:v>
      </x:c>
      <x:c r="B43" s="17" t="str">
        <x:v>42</x:v>
      </x:c>
      <x:c r="C43" s="17" t="str">
        <x:v>M2</x:v>
      </x:c>
      <x:c r="D43" s="17" t="str">
        <x:v>CATALOG_DOMAIN</x:v>
      </x:c>
      <x:c r="E43" s="17" t="str">
        <x:v>P0</x:v>
      </x:c>
      <x:c r="F43" s="17" t="str">
        <x:v>礼盒组合</x:v>
      </x:c>
      <x:c r="G43" s="17" t="str">
        <x:v>§5分类模板、§6商品价格库存</x:v>
      </x:c>
      <x:c r="H43" s="17" t="str">
        <x:v>P0-017</x:v>
      </x:c>
      <x:c r="I43" s="17" t="str">
        <x:v>M2-000,M2-P012</x:v>
      </x:c>
      <x:c r="J43" s="17" t="str">
        <x:v>完成“礼盒组合”纵向切片：迁移/领域规则/API/DTO/错误码/对应页面/测试/证据；不实现阶段外功能。</x:v>
      </x:c>
      <x:c r="K43" s="17" t="str">
        <x:v>组合商品明确展示子项、数量、规格和有效期下限。</x:v>
      </x:c>
      <x:c r="L43" s="17" t="str">
        <x:v>unit+api+p0-e2e</x:v>
      </x:c>
      <x:c r="M43" s="17" t="str">
        <x:v>DONE</x:v>
      </x:c>
      <x:c r="N43" s="17" t="str">
        <x:v>CI_PASS</x:v>
      </x:c>
      <x:c r="O43" s="17" t="str">
        <x:v>CODEX</x:v>
      </x:c>
      <x:c r="P43" s="17" t="str">
        <x:v>https://github.com/EasyStep-lee/flt1/issues/59</x:v>
      </x:c>
      <x:c r="Q43" s="17" t="str">
        <x:v>codex/m2-m2-p017</x:v>
      </x:c>
      <x:c r="R43" s="17" t="str">
        <x:v>codex/m2-gift-box-detail</x:v>
      </x:c>
      <x:c r="S43" s="17" t="str">
        <x:v>59b020e38d38dc2a8d5d1e1009a2fdc8c5558d30</x:v>
      </x:c>
      <x:c r="T43" s="17" t="str">
        <x:v>https://github.com/EasyStep-lee/flt1/pull/60</x:v>
      </x:c>
      <x:c r="U43" s="17" t="str">
        <x:v>CI_PASS</x:v>
      </x:c>
      <x:c r="V43" s="17" t="str">
        <x:v>NO</x:v>
      </x:c>
      <x:c r="W43" s="17" t="str">
        <x:v>按原子提交回退；迁移仅向前修复</x:v>
      </x:c>
      <x:c r="X43" s="17" t="n">
        <x:v>46245.42947916667</x:v>
      </x:c>
      <x:c r="Y43" s="17" t="str">
        <x:v>最终head 59b020e的PR CI run 31479644045成功；按用户精确head授权转Ready并合并为main@56bd581；合并后main CI run 31480997963成功，Issue #59关闭，P018解锁。</x:v>
      </x:c>
    </x:row>
    <x:row r="44" ht="23" customHeight="1">
      <x:c r="A44" s="17" t="str">
        <x:v>M2-P018</x:v>
      </x:c>
      <x:c r="B44" s="17" t="str">
        <x:v>43</x:v>
      </x:c>
      <x:c r="C44" s="17" t="str">
        <x:v>M2</x:v>
      </x:c>
      <x:c r="D44" s="17" t="str">
        <x:v>CATALOG_DOMAIN</x:v>
      </x:c>
      <x:c r="E44" s="17" t="str">
        <x:v>P0</x:v>
      </x:c>
      <x:c r="F44" s="17" t="str">
        <x:v>强监管默认关闭</x:v>
      </x:c>
      <x:c r="G44" s="17" t="str">
        <x:v>§5分类模板、§6商品价格库存</x:v>
      </x:c>
      <x:c r="H44" s="17" t="str">
        <x:v>P0-018</x:v>
      </x:c>
      <x:c r="I44" s="17" t="str">
        <x:v>M2-000,M2-P012</x:v>
      </x:c>
      <x:c r="J44" s="17" t="str">
        <x:v>完成“强监管默认关闭”纵向切片：迁移/领域规则/API/DTO/错误码/对应页面/测试/证据；不实现阶段外功能。</x:v>
      </x:c>
      <x:c r="K44" s="17" t="str">
        <x:v>未配置公司资质、模板和人工开关的高风险品类不能交易。</x:v>
      </x:c>
      <x:c r="L44" s="17" t="str">
        <x:v>unit+api+p0-e2e+idempotency+concurrency</x:v>
      </x:c>
      <x:c r="M44" s="17" t="str">
        <x:v>DONE</x:v>
      </x:c>
      <x:c r="N44" s="17" t="str">
        <x:v>CI_PASS</x:v>
      </x:c>
      <x:c r="O44" s="17" t="str">
        <x:v>CODEX</x:v>
      </x:c>
      <x:c r="P44" s="17" t="str">
        <x:v>https://github.com/EasyStep-lee/flt1/issues/61</x:v>
      </x:c>
      <x:c r="Q44" s="17" t="str">
        <x:v>codex/m2-m2-p018</x:v>
      </x:c>
      <x:c r="R44" s="17" t="str">
        <x:v>codex/m2-regulated-default-deny</x:v>
      </x:c>
      <x:c r="S44" s="17" t="str">
        <x:v>37e9f103382a0a397cdbcbc848ae5aff2eed1d79</x:v>
      </x:c>
      <x:c r="T44" s="17" t="str">
        <x:v>https://github.com/EasyStep-lee/flt1/pull/62</x:v>
      </x:c>
      <x:c r="U44" s="17" t="str">
        <x:v>CI_PASS</x:v>
      </x:c>
      <x:c r="V44" s="17" t="str">
        <x:v>YES</x:v>
      </x:c>
      <x:c r="W44" s="17" t="str">
        <x:v>按原子提交回退；迁移仅向前修复</x:v>
      </x:c>
      <x:c r="X44" s="17" t="n">
        <x:v>46246.057650462964</x:v>
      </x:c>
      <x:c r="Y44" s="17" t="str">
        <x:v>PR #62精确head 37e9f10经用户授权合并为main@413adffe；合并后main Actions run 31552935068/job 93979305359成功；EXT-007正式数据及staging/device/production未执行。</x:v>
      </x:c>
    </x:row>
    <x:row r="45" ht="23" customHeight="1">
      <x:c r="A45" s="17" t="str">
        <x:v>M2-P019</x:v>
      </x:c>
      <x:c r="B45" s="17" t="str">
        <x:v>44</x:v>
      </x:c>
      <x:c r="C45" s="17" t="str">
        <x:v>M2</x:v>
      </x:c>
      <x:c r="D45" s="17" t="str">
        <x:v>CATALOG_DOMAIN</x:v>
      </x:c>
      <x:c r="E45" s="17" t="str">
        <x:v>P0</x:v>
      </x:c>
      <x:c r="F45" s="17" t="str">
        <x:v>上架商品分级调价</x:v>
      </x:c>
      <x:c r="G45" s="17" t="str">
        <x:v>§5分类模板、§6商品价格库存</x:v>
      </x:c>
      <x:c r="H45" s="17" t="str">
        <x:v>P0-019</x:v>
      </x:c>
      <x:c r="I45" s="17" t="str">
        <x:v>M2-000,M2-P008</x:v>
      </x:c>
      <x:c r="J45" s="17" t="str">
        <x:v>完成“上架商品分级调价”纵向切片：迁移/领域规则/API/DTO/错误码/对应页面/测试/证据；不实现阶段外功能。</x:v>
      </x:c>
      <x:c r="K45" s="17" t="str">
        <x:v>已上架商品供应价变更必须提交 SupplyPriceChangeRequest，审核通过前继续使用原价；平台零售价和集采销售价变更不产生审批单，立即或定时生效。三类变更均完整留痕且不回改历史订单。</x:v>
      </x:c>
      <x:c r="L45" s="17" t="str">
        <x:v>unit+api+p0-e2e+concurrency+idempotency+failure-recovery</x:v>
      </x:c>
      <x:c r="M45" s="17" t="str">
        <x:v>IN_PROGRESS</x:v>
      </x:c>
      <x:c r="N45" s="17" t="str">
        <x:v>LOCAL_PASS</x:v>
      </x:c>
      <x:c r="O45" s="17" t="str">
        <x:v>CODEX</x:v>
      </x:c>
      <x:c r="P45" s="17" t="str">
        <x:v>https://github.com/EasyStep-lee/flt1/issues/63</x:v>
      </x:c>
      <x:c r="Q45" s="17" t="str">
        <x:v>codex/m2-m2-p019</x:v>
      </x:c>
      <x:c r="R45" s="17" t="str">
        <x:v>codex/m2-tiered-price-change</x:v>
      </x:c>
      <x:c r="S45" s="17" t="str">
        <x:v>66a251160cf5229550c35dbd14f3e8a0660cd753</x:v>
      </x:c>
      <x:c r="T45" s="17" t="str"/>
      <x:c r="U45" s="17" t="str">
        <x:v>NOT_EXECUTED</x:v>
      </x:c>
      <x:c r="V45" s="17" t="str">
        <x:v>NO</x:v>
      </x:c>
      <x:c r="W45" s="17" t="str">
        <x:v>回退应用提交；已应用共享迁移不回改，使用后续前向迁移修复</x:v>
      </x:c>
      <x:c r="X45" s="17" t="n">
        <x:v>46246.131157407406</x:v>
      </x:c>
      <x:c r="Y45" s="17" t="str">
        <x:v>真实RED 3/3因404失败；GREEN API 9/9、双审核回归15/15、契约/迁移3/3、P019 E2E 2/2；head 66a2511完整pnpm verify 17/17、API 172/172、P0 E2E 46/46、MySQL演练product=22通过；Draft PR及精确head CI待执行，P020及以后锁定。</x:v>
      </x:c>
    </x:row>
    <x:row r="46" ht="23" customHeight="1">
      <x:c r="A46" s="17" t="str">
        <x:v>M2-P021</x:v>
      </x:c>
      <x:c r="B46" s="17" t="str">
        <x:v>45</x:v>
      </x:c>
      <x:c r="C46" s="17" t="str">
        <x:v>M2</x:v>
      </x:c>
      <x:c r="D46" s="17" t="str">
        <x:v>CATALOG_DOMAIN</x:v>
      </x:c>
      <x:c r="E46" s="17" t="str">
        <x:v>P0</x:v>
      </x:c>
      <x:c r="F46" s="17" t="str">
        <x:v>商品详情与价格隔离</x:v>
      </x:c>
      <x:c r="G46" s="17" t="str">
        <x:v>§5分类模板、§6商品价格库存</x:v>
      </x:c>
      <x:c r="H46" s="17" t="str">
        <x:v>P0-021</x:v>
      </x:c>
      <x:c r="I46" s="17" t="str">
        <x:v>M2-000,M2-P006</x:v>
      </x:c>
      <x:c r="J46" s="17" t="str">
        <x:v>完成“商品详情与价格隔离”纵向切片：迁移/领域规则/API/DTO/错误码/对应页面/测试/证据；不实现阶段外功能。</x:v>
      </x:c>
      <x:c r="K46" s="17" t="str">
        <x:v>个人详情只展示平台零售价，企业详情只展示集采销售价；页面、源码、接口响应、缓存和埋点均不包含供应价、供应价快照或内部毛利。</x:v>
      </x:c>
      <x:c r="L46" s="17" t="str">
        <x:v>unit+api+p0-e2e+authorization+response-whitelist</x:v>
      </x:c>
      <x:c r="M46" s="17" t="str">
        <x:v>NOT_STARTED</x:v>
      </x:c>
      <x:c r="N46" s="17" t="str">
        <x:v>NOT_EXECUTED</x:v>
      </x:c>
      <x:c r="O46" s="17" t="str">
        <x:v>UNASSIGNED</x:v>
      </x:c>
      <x:c r="P46" s="17" t="str"/>
      <x:c r="Q46" s="17" t="str">
        <x:v>codex/m2-m2-p021</x:v>
      </x:c>
      <x:c r="R46" s="17" t="str"/>
      <x:c r="S46" s="17" t="str"/>
      <x:c r="T46" s="17" t="str"/>
      <x:c r="U46" s="17" t="str"/>
      <x:c r="V46" s="17" t="str">
        <x:v>NO</x:v>
      </x:c>
      <x:c r="W46" s="17" t="str">
        <x:v>按原子提交回退；迁移仅向前修复</x:v>
      </x:c>
      <x:c r="X46" s="17" t="str"/>
      <x:c r="Y46" s="17" t="str"/>
    </x:row>
    <x:row r="47" ht="23" customHeight="1">
      <x:c r="A47" s="17" t="str">
        <x:v>M2-P061</x:v>
      </x:c>
      <x:c r="B47" s="17" t="str">
        <x:v>46</x:v>
      </x:c>
      <x:c r="C47" s="17" t="str">
        <x:v>M2</x:v>
      </x:c>
      <x:c r="D47" s="17" t="str">
        <x:v>CATALOG_DOMAIN</x:v>
      </x:c>
      <x:c r="E47" s="17" t="str">
        <x:v>P0</x:v>
      </x:c>
      <x:c r="F47" s="17" t="str">
        <x:v>商品资源与集采标识</x:v>
      </x:c>
      <x:c r="G47" s="17" t="str">
        <x:v>§5分类模板、§6商品价格库存</x:v>
      </x:c>
      <x:c r="H47" s="17" t="str">
        <x:v>P0-061</x:v>
      </x:c>
      <x:c r="I47" s="17" t="str">
        <x:v>M2-000,M2-P006</x:v>
      </x:c>
      <x:c r="J47" s="17" t="str">
        <x:v>完成“商品资源与集采标识”纵向切片：迁移/领域规则/API/DTO/错误码/对应页面/测试/证据；不实现阶段外功能。</x:v>
      </x:c>
      <x:c r="K47" s="17" t="str">
        <x:v>个人小程序和企业采购入口引用同一 Product/Sku、分类、图片和库存；供应商勾选集采标识且商品 ACTIVE 后才进入企业采购货架。</x:v>
      </x:c>
      <x:c r="L47" s="17" t="str">
        <x:v>unit+api+p0-e2e</x:v>
      </x:c>
      <x:c r="M47" s="17" t="str">
        <x:v>NOT_STARTED</x:v>
      </x:c>
      <x:c r="N47" s="17" t="str">
        <x:v>NOT_EXECUTED</x:v>
      </x:c>
      <x:c r="O47" s="17" t="str">
        <x:v>UNASSIGNED</x:v>
      </x:c>
      <x:c r="P47" s="17" t="str"/>
      <x:c r="Q47" s="17" t="str">
        <x:v>codex/m2-m2-p061</x:v>
      </x:c>
      <x:c r="R47" s="17" t="str"/>
      <x:c r="S47" s="17" t="str"/>
      <x:c r="T47" s="17" t="str"/>
      <x:c r="U47" s="17" t="str"/>
      <x:c r="V47" s="17" t="str">
        <x:v>NO</x:v>
      </x:c>
      <x:c r="W47" s="17" t="str">
        <x:v>按原子提交回退；迁移仅向前修复</x:v>
      </x:c>
      <x:c r="X47" s="17" t="str"/>
      <x:c r="Y47" s="17" t="str"/>
    </x:row>
    <x:row r="48" ht="23" customHeight="1">
      <x:c r="A48" s="17" t="str">
        <x:v>M2-P063</x:v>
      </x:c>
      <x:c r="B48" s="17" t="str">
        <x:v>47</x:v>
      </x:c>
      <x:c r="C48" s="17" t="str">
        <x:v>M2</x:v>
      </x:c>
      <x:c r="D48" s="17" t="str">
        <x:v>CATALOG_DOMAIN</x:v>
      </x:c>
      <x:c r="E48" s="17" t="str">
        <x:v>P0</x:v>
      </x:c>
      <x:c r="F48" s="17" t="str">
        <x:v>跨渠道共用库存</x:v>
      </x:c>
      <x:c r="G48" s="17" t="str">
        <x:v>§5分类模板、§6商品价格库存</x:v>
      </x:c>
      <x:c r="H48" s="17" t="str">
        <x:v>P0-063</x:v>
      </x:c>
      <x:c r="I48" s="17" t="str">
        <x:v>M2-000,M2-P006</x:v>
      </x:c>
      <x:c r="J48" s="17" t="str">
        <x:v>完成“跨渠道共用库存”纵向切片：迁移/领域规则/API/DTO/错误码/对应页面/测试/证据；不实现阶段外功能。</x:v>
      </x:c>
      <x:c r="K48" s="17" t="str">
        <x:v>个人订单和企业采购订单并发购买同一 SKU 时锁定同一 InventoryBalance，预扣、释放和出库流水完整且不超卖；商品表、供应商草稿和缓存不存在第二套可成交库存。</x:v>
      </x:c>
      <x:c r="L48" s="17" t="str">
        <x:v>unit+api+p0-e2e+concurrency+idempotency+failure-recovery</x:v>
      </x:c>
      <x:c r="M48" s="17" t="str">
        <x:v>NOT_STARTED</x:v>
      </x:c>
      <x:c r="N48" s="17" t="str">
        <x:v>NOT_EXECUTED</x:v>
      </x:c>
      <x:c r="O48" s="17" t="str">
        <x:v>UNASSIGNED</x:v>
      </x:c>
      <x:c r="P48" s="17" t="str"/>
      <x:c r="Q48" s="17" t="str">
        <x:v>codex/m2-m2-p063</x:v>
      </x:c>
      <x:c r="R48" s="17" t="str"/>
      <x:c r="S48" s="17" t="str"/>
      <x:c r="T48" s="17" t="str"/>
      <x:c r="U48" s="17" t="str"/>
      <x:c r="V48" s="17" t="str">
        <x:v>NO</x:v>
      </x:c>
      <x:c r="W48" s="17" t="str">
        <x:v>按原子提交回退；迁移仅向前修复</x:v>
      </x:c>
      <x:c r="X48" s="17" t="str"/>
      <x:c r="Y48" s="17" t="str"/>
    </x:row>
    <x:row r="49" ht="23" customHeight="1">
      <x:c r="A49" s="17" t="str">
        <x:v>M2-P071</x:v>
      </x:c>
      <x:c r="B49" s="17" t="str">
        <x:v>48</x:v>
      </x:c>
      <x:c r="C49" s="17" t="str">
        <x:v>M2</x:v>
      </x:c>
      <x:c r="D49" s="17" t="str">
        <x:v>UI_VERTICAL_SLICE</x:v>
      </x:c>
      <x:c r="E49" s="17" t="str">
        <x:v>P0</x:v>
      </x:c>
      <x:c r="F49" s="17" t="str">
        <x:v>独立价格与审批页面</x:v>
      </x:c>
      <x:c r="G49" s="17" t="str">
        <x:v>§3角色权限、§4供应商后台、§14安全审计</x:v>
      </x:c>
      <x:c r="H49" s="17" t="str">
        <x:v>P0-071</x:v>
      </x:c>
      <x:c r="I49" s="17" t="str">
        <x:v>M2-000,M2-P019</x:v>
      </x:c>
      <x:c r="J49" s="17" t="str">
        <x:v>完成“独立价格与审批页面”纵向切片：迁移/领域规则/API/DTO/错误码/对应页面/测试/证据；不实现阶段外功能。</x:v>
      </x:c>
      <x:c r="K49" s="17" t="str">
        <x:v>供应商价格独立页面清楚区分初始价格审核、供应价变更申请和两类销售价直接调价；公司价格审核独立页面展示原值、新值、比例、原因、生效时间和历史意见，重复提交、并发审批和无理由批量通过被阻止。</x:v>
      </x:c>
      <x:c r="L49" s="17" t="str">
        <x:v>unit+api+p0-e2e</x:v>
      </x:c>
      <x:c r="M49" s="17" t="str">
        <x:v>NOT_STARTED</x:v>
      </x:c>
      <x:c r="N49" s="17" t="str">
        <x:v>NOT_EXECUTED</x:v>
      </x:c>
      <x:c r="O49" s="17" t="str">
        <x:v>UNASSIGNED</x:v>
      </x:c>
      <x:c r="P49" s="17" t="str"/>
      <x:c r="Q49" s="17" t="str">
        <x:v>codex/m2-m2-p071</x:v>
      </x:c>
      <x:c r="R49" s="17" t="str"/>
      <x:c r="S49" s="17" t="str"/>
      <x:c r="T49" s="17" t="str"/>
      <x:c r="U49" s="17" t="str"/>
      <x:c r="V49" s="17" t="str">
        <x:v>NO</x:v>
      </x:c>
      <x:c r="W49" s="17" t="str">
        <x:v>按原子提交回退；迁移仅向前修复</x:v>
      </x:c>
      <x:c r="X49" s="17" t="str"/>
      <x:c r="Y49" s="17" t="str"/>
    </x:row>
    <x:row r="50" ht="23" customHeight="1">
      <x:c r="A50" s="17" t="str">
        <x:v>M2-GATE</x:v>
      </x:c>
      <x:c r="B50" s="17" t="str">
        <x:v>49</x:v>
      </x:c>
      <x:c r="C50" s="17" t="str">
        <x:v>M2</x:v>
      </x:c>
      <x:c r="D50" s="17" t="str">
        <x:v>STAGE_GATE</x:v>
      </x:c>
      <x:c r="E50" s="17" t="str">
        <x:v>P0</x:v>
      </x:c>
      <x:c r="F50" s="17" t="str">
        <x:v>M2阶段门禁验收</x:v>
      </x:c>
      <x:c r="G50" s="17" t="str">
        <x:v>执行包§02</x:v>
      </x:c>
      <x:c r="H50" s="17" t="str"/>
      <x:c r="I50" s="17" t="str">
        <x:v>M2-000,M2-P006,M2-P007,M2-P008,M2-P009,M2-P010,M2-P011,M2-P012,M2-P013,M2-P014,M2-P015,M2-P016,M2-P017,M2-P018,M2-P019,M2-P021,M2-P061,M2-P063,M2-P071</x:v>
      </x:c>
      <x:c r="J50" s="17" t="str">
        <x:v>M2交接记录、P0证据、质量输出、风险和回滚材料</x:v>
      </x:c>
      <x:c r="K50" s="17" t="str">
        <x:v>18项主P0均通过；首上架双审核、供应价审核、零售/集采免审留痕和供应价隔离均被自动化证明。</x:v>
      </x:c>
      <x:c r="L50" s="17" t="str">
        <x:v>pnpm-verify+ci+stage-specific-evidence</x:v>
      </x:c>
      <x:c r="M50" s="17" t="str">
        <x:v>NOT_STARTED</x:v>
      </x:c>
      <x:c r="N50" s="17" t="str">
        <x:v>NOT_EXECUTED</x:v>
      </x:c>
      <x:c r="O50" s="17" t="str">
        <x:v>UNASSIGNED</x:v>
      </x:c>
      <x:c r="P50" s="17" t="str"/>
      <x:c r="Q50" s="17" t="str">
        <x:v>codex/m2-m2</x:v>
      </x:c>
      <x:c r="R50" s="17" t="str"/>
      <x:c r="S50" s="17" t="str"/>
      <x:c r="T50" s="17" t="str"/>
      <x:c r="U50" s="17" t="str"/>
      <x:c r="V50" s="17" t="str">
        <x:v>YES</x:v>
      </x:c>
      <x:c r="W50" s="17" t="str">
        <x:v>按原子提交回退；迁移仅向前修复</x:v>
      </x:c>
      <x:c r="X50" s="17" t="str"/>
      <x:c r="Y50" s="17" t="str"/>
    </x:row>
    <x:row r="51" ht="23" customHeight="1">
      <x:c r="A51" s="17" t="str">
        <x:v>M3-000</x:v>
      </x:c>
      <x:c r="B51" s="17" t="str">
        <x:v>50</x:v>
      </x:c>
      <x:c r="C51" s="17" t="str">
        <x:v>M3</x:v>
      </x:c>
      <x:c r="D51" s="17" t="str">
        <x:v>CONTRACT_SLICE_PLAN</x:v>
      </x:c>
      <x:c r="E51" s="17" t="str">
        <x:v>P0</x:v>
      </x:c>
      <x:c r="F51" s="17" t="str">
        <x:v>冻结M3字段、状态机、权限与契约切片</x:v>
      </x:c>
      <x:c r="G51" s="17" t="str">
        <x:v>执行包字段/状态机/权限/API台账</x:v>
      </x:c>
      <x:c r="H51" s="17" t="str"/>
      <x:c r="I51" s="17" t="str">
        <x:v>M2-GATE</x:v>
      </x:c>
      <x:c r="J51" s="17" t="str">
        <x:v>把M3涉及的字段、状态、DTO、错误码、权限、P0和失败测试细化为可编码契约</x:v>
      </x:c>
      <x:c r="K51" s="17" t="str">
        <x:v>M3契约明确福利卡三类资金来源且不存在个人充值；小程序请求经miniapp-kit适配；企业登录交易页noindex/private/no-store；所有任务可追踪到冻结契约。</x:v>
      </x:c>
      <x:c r="L51" s="17" t="str">
        <x:v>contract-review+negative-test-plan+miniapp-adapter+portal-cache</x:v>
      </x:c>
      <x:c r="M51" s="17" t="str">
        <x:v>NOT_STARTED</x:v>
      </x:c>
      <x:c r="N51" s="17" t="str">
        <x:v>NOT_EXECUTED</x:v>
      </x:c>
      <x:c r="O51" s="17" t="str">
        <x:v>UNASSIGNED</x:v>
      </x:c>
      <x:c r="P51" s="17" t="str"/>
      <x:c r="Q51" s="17" t="str">
        <x:v>codex/m3-m3</x:v>
      </x:c>
      <x:c r="R51" s="17" t="str"/>
      <x:c r="S51" s="17" t="str"/>
      <x:c r="T51" s="17" t="str"/>
      <x:c r="U51" s="17" t="str"/>
      <x:c r="V51" s="17" t="str">
        <x:v>NO</x:v>
      </x:c>
      <x:c r="W51" s="17" t="str">
        <x:v>按原子提交回退；迁移仅向前修复</x:v>
      </x:c>
      <x:c r="X51" s="17" t="str"/>
      <x:c r="Y51" s="17" t="str"/>
    </x:row>
    <x:row r="52" ht="23" customHeight="1">
      <x:c r="A52" s="17" t="str">
        <x:v>M3-P020</x:v>
      </x:c>
      <x:c r="B52" s="17" t="str">
        <x:v>51</x:v>
      </x:c>
      <x:c r="C52" s="17" t="str">
        <x:v>M3</x:v>
      </x:c>
      <x:c r="D52" s="17" t="str">
        <x:v>CATALOG_DOMAIN</x:v>
      </x:c>
      <x:c r="E52" s="17" t="str">
        <x:v>P0</x:v>
      </x:c>
      <x:c r="F52" s="17" t="str">
        <x:v>用户首页</x:v>
      </x:c>
      <x:c r="G52" s="17" t="str">
        <x:v>§7用户小程序</x:v>
      </x:c>
      <x:c r="H52" s="17" t="str">
        <x:v>P0-020</x:v>
      </x:c>
      <x:c r="I52" s="17" t="str">
        <x:v>M3-000</x:v>
      </x:c>
      <x:c r="J52" s="17" t="str">
        <x:v>完成“用户首页”纵向切片：迁移/领域规则/API/DTO/错误码/对应页面/测试/证据；不实现阶段外功能。</x:v>
      </x:c>
      <x:c r="K52" s="17" t="str">
        <x:v>搜索、分类、活动、福利卡、配送区域和个人订单入口完整；不混入企业采购入口。</x:v>
      </x:c>
      <x:c r="L52" s="17" t="str">
        <x:v>unit+api+p0-e2e</x:v>
      </x:c>
      <x:c r="M52" s="17" t="str">
        <x:v>NOT_STARTED</x:v>
      </x:c>
      <x:c r="N52" s="17" t="str">
        <x:v>NOT_EXECUTED</x:v>
      </x:c>
      <x:c r="O52" s="17" t="str">
        <x:v>UNASSIGNED</x:v>
      </x:c>
      <x:c r="P52" s="17" t="str"/>
      <x:c r="Q52" s="17" t="str">
        <x:v>codex/m3-m3-p020</x:v>
      </x:c>
      <x:c r="R52" s="17" t="str"/>
      <x:c r="S52" s="17" t="str"/>
      <x:c r="T52" s="17" t="str"/>
      <x:c r="U52" s="17" t="str"/>
      <x:c r="V52" s="17" t="str">
        <x:v>NO</x:v>
      </x:c>
      <x:c r="W52" s="17" t="str">
        <x:v>按原子提交回退；迁移仅向前修复</x:v>
      </x:c>
      <x:c r="X52" s="17" t="str"/>
      <x:c r="Y52" s="17" t="str"/>
    </x:row>
    <x:row r="53" ht="23" customHeight="1">
      <x:c r="A53" s="17" t="str">
        <x:v>M3-P022</x:v>
      </x:c>
      <x:c r="B53" s="17" t="str">
        <x:v>52</x:v>
      </x:c>
      <x:c r="C53" s="17" t="str">
        <x:v>M3</x:v>
      </x:c>
      <x:c r="D53" s="17" t="str">
        <x:v>BUSINESS_VERTICAL_SLICE</x:v>
      </x:c>
      <x:c r="E53" s="17" t="str">
        <x:v>P0</x:v>
      </x:c>
      <x:c r="F53" s="17" t="str">
        <x:v>个人与企业跨供应商订单</x:v>
      </x:c>
      <x:c r="G53" s="17" t="str">
        <x:v>§8企业采购、§9订单福利卡支付</x:v>
      </x:c>
      <x:c r="H53" s="17" t="str">
        <x:v>P0-022</x:v>
      </x:c>
      <x:c r="I53" s="17" t="str">
        <x:v>M3-000,M3-P020</x:v>
      </x:c>
      <x:c r="J53" s="17" t="str">
        <x:v>完成“个人与企业跨供应商订单”纵向切片：迁移/领域规则/API/DTO/错误码/对应页面/测试/证据；不实现阶段外功能。</x:v>
      </x:c>
      <x:c r="K53" s="17" t="str">
        <x:v>个人零售和企业采购均允许一次选择至少三个供应商商品，向公司提交一个主订单并完成一次结账；平台按 supplierId 准确生成各供应商履约子单。</x:v>
      </x:c>
      <x:c r="L53" s="17" t="str">
        <x:v>unit+api+p0-e2e+concurrency+idempotency+failure-recovery</x:v>
      </x:c>
      <x:c r="M53" s="17" t="str">
        <x:v>NOT_STARTED</x:v>
      </x:c>
      <x:c r="N53" s="17" t="str">
        <x:v>NOT_EXECUTED</x:v>
      </x:c>
      <x:c r="O53" s="17" t="str">
        <x:v>UNASSIGNED</x:v>
      </x:c>
      <x:c r="P53" s="17" t="str"/>
      <x:c r="Q53" s="17" t="str">
        <x:v>codex/m3-m3-p022</x:v>
      </x:c>
      <x:c r="R53" s="17" t="str"/>
      <x:c r="S53" s="17" t="str"/>
      <x:c r="T53" s="17" t="str"/>
      <x:c r="U53" s="17" t="str"/>
      <x:c r="V53" s="17" t="str">
        <x:v>NO</x:v>
      </x:c>
      <x:c r="W53" s="17" t="str">
        <x:v>按原子提交回退；迁移仅向前修复</x:v>
      </x:c>
      <x:c r="X53" s="17" t="str"/>
      <x:c r="Y53" s="17" t="str"/>
    </x:row>
    <x:row r="54" ht="23" customHeight="1">
      <x:c r="A54" s="17" t="str">
        <x:v>M3-P023</x:v>
      </x:c>
      <x:c r="B54" s="17" t="str">
        <x:v>53</x:v>
      </x:c>
      <x:c r="C54" s="17" t="str">
        <x:v>M3</x:v>
      </x:c>
      <x:c r="D54" s="17" t="str">
        <x:v>BUSINESS_VERTICAL_SLICE</x:v>
      </x:c>
      <x:c r="E54" s="17" t="str">
        <x:v>P0</x:v>
      </x:c>
      <x:c r="F54" s="17" t="str">
        <x:v>库存预扣</x:v>
      </x:c>
      <x:c r="G54" s="17" t="str">
        <x:v>§8企业采购、§9订单福利卡支付</x:v>
      </x:c>
      <x:c r="H54" s="17" t="str">
        <x:v>P0-023</x:v>
      </x:c>
      <x:c r="I54" s="17" t="str">
        <x:v>M3-000,M3-P022</x:v>
      </x:c>
      <x:c r="J54" s="17" t="str">
        <x:v>完成“库存预扣”纵向切片：迁移/领域规则/API/DTO/错误码/对应页面/测试/证据；不实现阶段外功能。</x:v>
      </x:c>
      <x:c r="K54" s="17" t="str">
        <x:v>提交订单预扣库存，支付取消、失败或超时时库存与福利卡冻结均准确释放。</x:v>
      </x:c>
      <x:c r="L54" s="17" t="str">
        <x:v>unit+api+p0-e2e+concurrency+idempotency+failure-recovery</x:v>
      </x:c>
      <x:c r="M54" s="17" t="str">
        <x:v>NOT_STARTED</x:v>
      </x:c>
      <x:c r="N54" s="17" t="str">
        <x:v>NOT_EXECUTED</x:v>
      </x:c>
      <x:c r="O54" s="17" t="str">
        <x:v>UNASSIGNED</x:v>
      </x:c>
      <x:c r="P54" s="17" t="str"/>
      <x:c r="Q54" s="17" t="str">
        <x:v>codex/m3-m3-p023</x:v>
      </x:c>
      <x:c r="R54" s="17" t="str"/>
      <x:c r="S54" s="17" t="str"/>
      <x:c r="T54" s="17" t="str"/>
      <x:c r="U54" s="17" t="str"/>
      <x:c r="V54" s="17" t="str">
        <x:v>NO</x:v>
      </x:c>
      <x:c r="W54" s="17" t="str">
        <x:v>按原子提交回退；迁移仅向前修复</x:v>
      </x:c>
      <x:c r="X54" s="17" t="str"/>
      <x:c r="Y54" s="17" t="str"/>
    </x:row>
    <x:row r="55" ht="23" customHeight="1">
      <x:c r="A55" s="17" t="str">
        <x:v>M3-P024</x:v>
      </x:c>
      <x:c r="B55" s="17" t="str">
        <x:v>54</x:v>
      </x:c>
      <x:c r="C55" s="17" t="str">
        <x:v>M3</x:v>
      </x:c>
      <x:c r="D55" s="17" t="str">
        <x:v>FINANCE_TRANSACTION</x:v>
      </x:c>
      <x:c r="E55" s="17" t="str">
        <x:v>P0</x:v>
      </x:c>
      <x:c r="F55" s="17" t="str">
        <x:v>支付幂等</x:v>
      </x:c>
      <x:c r="G55" s="17" t="str">
        <x:v>§8企业采购、§9订单福利卡支付</x:v>
      </x:c>
      <x:c r="H55" s="17" t="str">
        <x:v>P0-024</x:v>
      </x:c>
      <x:c r="I55" s="17" t="str">
        <x:v>M3-000,M3-P023</x:v>
      </x:c>
      <x:c r="J55" s="17" t="str">
        <x:v>完成“支付幂等”纵向切片：迁移/领域规则/API/DTO/错误码/对应页面/测试/证据；不实现阶段外功能。</x:v>
      </x:c>
      <x:c r="K55" s="17" t="str">
        <x:v>重复微信支付回调不重复扣福利卡、微信支付金额或共用库存，不重复生成个人跑腿任务、企业配送单或改变订单金额。</x:v>
      </x:c>
      <x:c r="L55" s="17" t="str">
        <x:v>unit+api+p0-e2e+concurrency+idempotency+failure-recovery</x:v>
      </x:c>
      <x:c r="M55" s="17" t="str">
        <x:v>NOT_STARTED</x:v>
      </x:c>
      <x:c r="N55" s="17" t="str">
        <x:v>NOT_EXECUTED</x:v>
      </x:c>
      <x:c r="O55" s="17" t="str">
        <x:v>UNASSIGNED</x:v>
      </x:c>
      <x:c r="P55" s="17" t="str"/>
      <x:c r="Q55" s="17" t="str">
        <x:v>codex/m3-m3-p024</x:v>
      </x:c>
      <x:c r="R55" s="17" t="str"/>
      <x:c r="S55" s="17" t="str"/>
      <x:c r="T55" s="17" t="str"/>
      <x:c r="U55" s="17" t="str"/>
      <x:c r="V55" s="17" t="str">
        <x:v>YES</x:v>
      </x:c>
      <x:c r="W55" s="17" t="str">
        <x:v>按原子提交回退；迁移仅向前修复</x:v>
      </x:c>
      <x:c r="X55" s="17" t="str"/>
      <x:c r="Y55" s="17" t="str"/>
    </x:row>
    <x:row r="56" ht="23" customHeight="1">
      <x:c r="A56" s="17" t="str">
        <x:v>M3-P025</x:v>
      </x:c>
      <x:c r="B56" s="17" t="str">
        <x:v>55</x:v>
      </x:c>
      <x:c r="C56" s="17" t="str">
        <x:v>M3</x:v>
      </x:c>
      <x:c r="D56" s="17" t="str">
        <x:v>FINANCE_TRANSACTION</x:v>
      </x:c>
      <x:c r="E56" s="17" t="str">
        <x:v>P0</x:v>
      </x:c>
      <x:c r="F56" s="17" t="str">
        <x:v>公司统一对客结账</x:v>
      </x:c>
      <x:c r="G56" s="17" t="str">
        <x:v>§8企业采购、§9订单福利卡支付</x:v>
      </x:c>
      <x:c r="H56" s="17" t="str">
        <x:v>P0-025</x:v>
      </x:c>
      <x:c r="I56" s="17" t="str">
        <x:v>M3-000,M3-P024</x:v>
      </x:c>
      <x:c r="J56" s="17" t="str">
        <x:v>完成“公司统一对客结账”纵向切片：迁移/领域规则/API/DTO/错误码/对应页面/测试/证据；不实现阶段外功能。</x:v>
      </x:c>
      <x:c r="K56" s="17" t="str">
        <x:v>个人和企业跨供应商主订单均只向公司结账；福利卡由公司统一发行记账，P0 在线现金付款只进入公司微信支付商户号，供应商不接触客户资金或分别收款，支付宝等其他通道请求被拒绝。</x:v>
      </x:c>
      <x:c r="L56" s="17" t="str">
        <x:v>unit+api+p0-e2e+concurrency+idempotency+failure-recovery</x:v>
      </x:c>
      <x:c r="M56" s="17" t="str">
        <x:v>NOT_STARTED</x:v>
      </x:c>
      <x:c r="N56" s="17" t="str">
        <x:v>NOT_EXECUTED</x:v>
      </x:c>
      <x:c r="O56" s="17" t="str">
        <x:v>UNASSIGNED</x:v>
      </x:c>
      <x:c r="P56" s="17" t="str"/>
      <x:c r="Q56" s="17" t="str">
        <x:v>codex/m3-m3-p025</x:v>
      </x:c>
      <x:c r="R56" s="17" t="str"/>
      <x:c r="S56" s="17" t="str"/>
      <x:c r="T56" s="17" t="str"/>
      <x:c r="U56" s="17" t="str"/>
      <x:c r="V56" s="17" t="str">
        <x:v>NO</x:v>
      </x:c>
      <x:c r="W56" s="17" t="str">
        <x:v>按原子提交回退；迁移仅向前修复</x:v>
      </x:c>
      <x:c r="X56" s="17" t="str"/>
      <x:c r="Y56" s="17" t="str"/>
    </x:row>
    <x:row r="57" ht="23" customHeight="1">
      <x:c r="A57" s="17" t="str">
        <x:v>M3-P026</x:v>
      </x:c>
      <x:c r="B57" s="17" t="str">
        <x:v>56</x:v>
      </x:c>
      <x:c r="C57" s="17" t="str">
        <x:v>M3</x:v>
      </x:c>
      <x:c r="D57" s="17" t="str">
        <x:v>FINANCE_TRANSACTION</x:v>
      </x:c>
      <x:c r="E57" s="17" t="str">
        <x:v>P0</x:v>
      </x:c>
      <x:c r="F57" s="17" t="str">
        <x:v>按原支付结构退款</x:v>
      </x:c>
      <x:c r="G57" s="17" t="str">
        <x:v>§8企业采购、§9订单福利卡支付</x:v>
      </x:c>
      <x:c r="H57" s="17" t="str">
        <x:v>P0-026</x:v>
      </x:c>
      <x:c r="I57" s="17" t="str">
        <x:v>M3-000,M3-P025</x:v>
      </x:c>
      <x:c r="J57" s="17" t="str">
        <x:v>完成“按原支付结构退款”纵向切片：迁移/领域规则/API/DTO/错误码/对应页面/测试/证据；不实现阶段外功能。</x:v>
      </x:c>
      <x:c r="K57" s="17" t="str">
        <x:v>公司发起退款，福利卡部分退原账户、微信支付部分退原微信支付交易，并生成资金、库存和对账影响记录。</x:v>
      </x:c>
      <x:c r="L57" s="17" t="str">
        <x:v>unit+api+p0-e2e+concurrency+idempotency+failure-recovery</x:v>
      </x:c>
      <x:c r="M57" s="17" t="str">
        <x:v>NOT_STARTED</x:v>
      </x:c>
      <x:c r="N57" s="17" t="str">
        <x:v>NOT_EXECUTED</x:v>
      </x:c>
      <x:c r="O57" s="17" t="str">
        <x:v>UNASSIGNED</x:v>
      </x:c>
      <x:c r="P57" s="17" t="str"/>
      <x:c r="Q57" s="17" t="str">
        <x:v>codex/m3-m3-p026</x:v>
      </x:c>
      <x:c r="R57" s="17" t="str"/>
      <x:c r="S57" s="17" t="str"/>
      <x:c r="T57" s="17" t="str"/>
      <x:c r="U57" s="17" t="str"/>
      <x:c r="V57" s="17" t="str">
        <x:v>YES</x:v>
      </x:c>
      <x:c r="W57" s="17" t="str">
        <x:v>按原子提交回退；迁移仅向前修复</x:v>
      </x:c>
      <x:c r="X57" s="17" t="str"/>
      <x:c r="Y57" s="17" t="str"/>
    </x:row>
    <x:row r="58" ht="23" customHeight="1">
      <x:c r="A58" s="17" t="str">
        <x:v>M3-P027</x:v>
      </x:c>
      <x:c r="B58" s="17" t="str">
        <x:v>57</x:v>
      </x:c>
      <x:c r="C58" s="17" t="str">
        <x:v>M3</x:v>
      </x:c>
      <x:c r="D58" s="17" t="str">
        <x:v>BUSINESS_VERTICAL_SLICE</x:v>
      </x:c>
      <x:c r="E58" s="17" t="str">
        <x:v>P0</x:v>
      </x:c>
      <x:c r="F58" s="17" t="str">
        <x:v>门户宣传</x:v>
      </x:c>
      <x:c r="G58" s="17" t="str">
        <x:v>§8企业采购、§9订单福利卡支付</x:v>
      </x:c>
      <x:c r="H58" s="17" t="str">
        <x:v>P0-027</x:v>
      </x:c>
      <x:c r="I58" s="17" t="str">
        <x:v>M3-000</x:v>
      </x:c>
      <x:c r="J58" s="17" t="str">
        <x:v>完成“门户宣传”纵向切片：迁移/领域规则/API/DTO/错误码/对应页面/测试/证据；不实现阶段外功能。</x:v>
      </x:c>
      <x:c r="K58" s="17" t="str">
        <x:v>公司介绍、供应链能力、案例、供应商合作、新闻和联系页面完整并支持 SEO。</x:v>
      </x:c>
      <x:c r="L58" s="17" t="str">
        <x:v>unit+api+p0-e2e</x:v>
      </x:c>
      <x:c r="M58" s="17" t="str">
        <x:v>NOT_STARTED</x:v>
      </x:c>
      <x:c r="N58" s="17" t="str">
        <x:v>NOT_EXECUTED</x:v>
      </x:c>
      <x:c r="O58" s="17" t="str">
        <x:v>UNASSIGNED</x:v>
      </x:c>
      <x:c r="P58" s="17" t="str"/>
      <x:c r="Q58" s="17" t="str">
        <x:v>codex/m3-m3-p027</x:v>
      </x:c>
      <x:c r="R58" s="17" t="str"/>
      <x:c r="S58" s="17" t="str"/>
      <x:c r="T58" s="17" t="str"/>
      <x:c r="U58" s="17" t="str"/>
      <x:c r="V58" s="17" t="str">
        <x:v>NO</x:v>
      </x:c>
      <x:c r="W58" s="17" t="str">
        <x:v>按原子提交回退；迁移仅向前修复</x:v>
      </x:c>
      <x:c r="X58" s="17" t="str"/>
      <x:c r="Y58" s="17" t="str"/>
    </x:row>
    <x:row r="59" ht="23" customHeight="1">
      <x:c r="A59" s="17" t="str">
        <x:v>M3-P028</x:v>
      </x:c>
      <x:c r="B59" s="17" t="str">
        <x:v>58</x:v>
      </x:c>
      <x:c r="C59" s="17" t="str">
        <x:v>M3</x:v>
      </x:c>
      <x:c r="D59" s="17" t="str">
        <x:v>BUSINESS_VERTICAL_SLICE</x:v>
      </x:c>
      <x:c r="E59" s="17" t="str">
        <x:v>P0</x:v>
      </x:c>
      <x:c r="F59" s="17" t="str">
        <x:v>企业注册认证</x:v>
      </x:c>
      <x:c r="G59" s="17" t="str">
        <x:v>§8企业采购、§9订单福利卡支付</x:v>
      </x:c>
      <x:c r="H59" s="17" t="str">
        <x:v>P0-028</x:v>
      </x:c>
      <x:c r="I59" s="17" t="str">
        <x:v>M3-000,M3-P027</x:v>
      </x:c>
      <x:c r="J59" s="17" t="str">
        <x:v>完成“企业注册认证”纵向切片：迁移/领域规则/API/DTO/错误码/对应页面/测试/证据；不实现阶段外功能。</x:v>
      </x:c>
      <x:c r="K59" s="17" t="str">
        <x:v>正常企业可从门户“社区集采”入口注册，提交营业执照、联系人、开票和收货资料，并完成审核补正和认证。</x:v>
      </x:c>
      <x:c r="L59" s="17" t="str">
        <x:v>unit+api+p0-e2e</x:v>
      </x:c>
      <x:c r="M59" s="17" t="str">
        <x:v>NOT_STARTED</x:v>
      </x:c>
      <x:c r="N59" s="17" t="str">
        <x:v>NOT_EXECUTED</x:v>
      </x:c>
      <x:c r="O59" s="17" t="str">
        <x:v>UNASSIGNED</x:v>
      </x:c>
      <x:c r="P59" s="17" t="str"/>
      <x:c r="Q59" s="17" t="str">
        <x:v>codex/m3-m3-p028</x:v>
      </x:c>
      <x:c r="R59" s="17" t="str"/>
      <x:c r="S59" s="17" t="str"/>
      <x:c r="T59" s="17" t="str"/>
      <x:c r="U59" s="17" t="str"/>
      <x:c r="V59" s="17" t="str">
        <x:v>YES</x:v>
      </x:c>
      <x:c r="W59" s="17" t="str">
        <x:v>按原子提交回退；迁移仅向前修复</x:v>
      </x:c>
      <x:c r="X59" s="17" t="str"/>
      <x:c r="Y59" s="17" t="str"/>
    </x:row>
    <x:row r="60" ht="23" customHeight="1">
      <x:c r="A60" s="17" t="str">
        <x:v>M3-P029</x:v>
      </x:c>
      <x:c r="B60" s="17" t="str">
        <x:v>59</x:v>
      </x:c>
      <x:c r="C60" s="17" t="str">
        <x:v>M3</x:v>
      </x:c>
      <x:c r="D60" s="17" t="str">
        <x:v>BUSINESS_VERTICAL_SLICE</x:v>
      </x:c>
      <x:c r="E60" s="17" t="str">
        <x:v>P0</x:v>
      </x:c>
      <x:c r="F60" s="17" t="str">
        <x:v>统一企业采购</x:v>
      </x:c>
      <x:c r="G60" s="17" t="str">
        <x:v>§8企业采购、§9订单福利卡支付</x:v>
      </x:c>
      <x:c r="H60" s="17" t="str">
        <x:v>P0-029</x:v>
      </x:c>
      <x:c r="I60" s="17" t="str">
        <x:v>M3-000,M3-P028</x:v>
      </x:c>
      <x:c r="J60" s="17" t="str">
        <x:v>完成“统一企业采购”纵向切片：迁移/领域规则/API/DTO/错误码/对应页面/测试/证据；不实现阶段外功能。</x:v>
      </x:c>
      <x:c r="K60" s="17" t="str">
        <x:v>认证企业可跨供应商选择带集采标识的共用商品，提交一个企业主订单并完成付款、统一配送、收货、售后和发票。</x:v>
      </x:c>
      <x:c r="L60" s="17" t="str">
        <x:v>unit+api+p0-e2e</x:v>
      </x:c>
      <x:c r="M60" s="17" t="str">
        <x:v>NOT_STARTED</x:v>
      </x:c>
      <x:c r="N60" s="17" t="str">
        <x:v>NOT_EXECUTED</x:v>
      </x:c>
      <x:c r="O60" s="17" t="str">
        <x:v>UNASSIGNED</x:v>
      </x:c>
      <x:c r="P60" s="17" t="str"/>
      <x:c r="Q60" s="17" t="str">
        <x:v>codex/m3-m3-p029</x:v>
      </x:c>
      <x:c r="R60" s="17" t="str"/>
      <x:c r="S60" s="17" t="str"/>
      <x:c r="T60" s="17" t="str"/>
      <x:c r="U60" s="17" t="str"/>
      <x:c r="V60" s="17" t="str">
        <x:v>NO</x:v>
      </x:c>
      <x:c r="W60" s="17" t="str">
        <x:v>按原子提交回退；迁移仅向前修复</x:v>
      </x:c>
      <x:c r="X60" s="17" t="str"/>
      <x:c r="Y60" s="17" t="str"/>
    </x:row>
    <x:row r="61" ht="23" customHeight="1">
      <x:c r="A61" s="17" t="str">
        <x:v>M3-P030</x:v>
      </x:c>
      <x:c r="B61" s="17" t="str">
        <x:v>60</x:v>
      </x:c>
      <x:c r="C61" s="17" t="str">
        <x:v>M3</x:v>
      </x:c>
      <x:c r="D61" s="17" t="str">
        <x:v>BUSINESS_VERTICAL_SLICE</x:v>
      </x:c>
      <x:c r="E61" s="17" t="str">
        <x:v>P0</x:v>
      </x:c>
      <x:c r="F61" s="17" t="str">
        <x:v>社区集采边界</x:v>
      </x:c>
      <x:c r="G61" s="17" t="str">
        <x:v>§8企业采购、§9订单福利卡支付</x:v>
      </x:c>
      <x:c r="H61" s="17" t="str">
        <x:v>P0-030</x:v>
      </x:c>
      <x:c r="I61" s="17" t="str">
        <x:v>M3-000,M3-P029</x:v>
      </x:c>
      <x:c r="J61" s="17" t="str">
        <x:v>完成“社区集采边界”纵向切片：迁移/领域规则/API/DTO/错误码/对应页面/测试/证据；不实现阶段外功能。</x:v>
      </x:c>
      <x:c r="K61" s="17" t="str">
        <x:v>“社区集采”不依赖指定社区、活动时间、成团门槛或团长；平台不实现企业内部 OA、预算和采购审批。</x:v>
      </x:c>
      <x:c r="L61" s="17" t="str">
        <x:v>unit+api+p0-e2e</x:v>
      </x:c>
      <x:c r="M61" s="17" t="str">
        <x:v>NOT_STARTED</x:v>
      </x:c>
      <x:c r="N61" s="17" t="str">
        <x:v>NOT_EXECUTED</x:v>
      </x:c>
      <x:c r="O61" s="17" t="str">
        <x:v>UNASSIGNED</x:v>
      </x:c>
      <x:c r="P61" s="17" t="str"/>
      <x:c r="Q61" s="17" t="str">
        <x:v>codex/m3-m3-p030</x:v>
      </x:c>
      <x:c r="R61" s="17" t="str"/>
      <x:c r="S61" s="17" t="str"/>
      <x:c r="T61" s="17" t="str"/>
      <x:c r="U61" s="17" t="str"/>
      <x:c r="V61" s="17" t="str">
        <x:v>NO</x:v>
      </x:c>
      <x:c r="W61" s="17" t="str">
        <x:v>按原子提交回退；迁移仅向前修复</x:v>
      </x:c>
      <x:c r="X61" s="17" t="str"/>
      <x:c r="Y61" s="17" t="str"/>
    </x:row>
    <x:row r="62" ht="23" customHeight="1">
      <x:c r="A62" s="17" t="str">
        <x:v>M3-P031</x:v>
      </x:c>
      <x:c r="B62" s="17" t="str">
        <x:v>61</x:v>
      </x:c>
      <x:c r="C62" s="17" t="str">
        <x:v>M3</x:v>
      </x:c>
      <x:c r="D62" s="17" t="str">
        <x:v>BUSINESS_VERTICAL_SLICE</x:v>
      </x:c>
      <x:c r="E62" s="17" t="str">
        <x:v>P0</x:v>
      </x:c>
      <x:c r="F62" s="17" t="str">
        <x:v>供应商备货</x:v>
      </x:c>
      <x:c r="G62" s="17" t="str">
        <x:v>§8企业采购、§9订单福利卡支付</x:v>
      </x:c>
      <x:c r="H62" s="17" t="str">
        <x:v>P0-031</x:v>
      </x:c>
      <x:c r="I62" s="17" t="str">
        <x:v>M3-000,M3-P029</x:v>
      </x:c>
      <x:c r="J62" s="17" t="str">
        <x:v>完成“供应商备货”纵向切片：迁移/领域规则/API/DTO/错误码/对应页面/测试/证据；不实现阶段外功能。</x:v>
      </x:c>
      <x:c r="K62" s="17" t="str">
        <x:v>个人和企业主订单均按 supplierId 生成 SupplierFulfillmentSubOrder；各供应商只能确认、报缺、备货和移交自己的商品，不得看到其他供应商子单。</x:v>
      </x:c>
      <x:c r="L62" s="17" t="str">
        <x:v>unit+api+p0-e2e</x:v>
      </x:c>
      <x:c r="M62" s="17" t="str">
        <x:v>NOT_STARTED</x:v>
      </x:c>
      <x:c r="N62" s="17" t="str">
        <x:v>NOT_EXECUTED</x:v>
      </x:c>
      <x:c r="O62" s="17" t="str">
        <x:v>UNASSIGNED</x:v>
      </x:c>
      <x:c r="P62" s="17" t="str"/>
      <x:c r="Q62" s="17" t="str">
        <x:v>codex/m3-m3-p031</x:v>
      </x:c>
      <x:c r="R62" s="17" t="str"/>
      <x:c r="S62" s="17" t="str"/>
      <x:c r="T62" s="17" t="str"/>
      <x:c r="U62" s="17" t="str"/>
      <x:c r="V62" s="17" t="str">
        <x:v>NO</x:v>
      </x:c>
      <x:c r="W62" s="17" t="str">
        <x:v>按原子提交回退；迁移仅向前修复</x:v>
      </x:c>
      <x:c r="X62" s="17" t="str"/>
      <x:c r="Y62" s="17" t="str"/>
    </x:row>
    <x:row r="63" ht="23" customHeight="1">
      <x:c r="A63" s="17" t="str">
        <x:v>M3-P051</x:v>
      </x:c>
      <x:c r="B63" s="17" t="str">
        <x:v>62</x:v>
      </x:c>
      <x:c r="C63" s="17" t="str">
        <x:v>M3</x:v>
      </x:c>
      <x:c r="D63" s="17" t="str">
        <x:v>FINANCE_TRANSACTION</x:v>
      </x:c>
      <x:c r="E63" s="17" t="str">
        <x:v>P0</x:v>
      </x:c>
      <x:c r="F63" s="17" t="str">
        <x:v>福利卡计划与批次</x:v>
      </x:c>
      <x:c r="G63" s="17" t="str">
        <x:v>§8企业采购、§9订单福利卡支付</x:v>
      </x:c>
      <x:c r="H63" s="17" t="str">
        <x:v>P0-051</x:v>
      </x:c>
      <x:c r="I63" s="17" t="str">
        <x:v>M3-000</x:v>
      </x:c>
      <x:c r="J63" s="17" t="str">
        <x:v>完成“福利卡计划与批次”纵向切片：迁移/领域规则/API/DTO/错误码/对应页面/测试/证据；不实现阶段外功能。</x:v>
      </x:c>
      <x:c r="K63" s="17" t="str">
        <x:v>公司可创建企业福利计划和发行批次，配置额度、适用范围、领取方式、协议版本和状态；资金来源只允许企业福利发放、公司活动赠送、实体卡/兑换码。</x:v>
      </x:c>
      <x:c r="L63" s="17" t="str">
        <x:v>unit+api+p0-e2e+funding-source-whitelist+idempotency</x:v>
      </x:c>
      <x:c r="M63" s="17" t="str">
        <x:v>NOT_STARTED</x:v>
      </x:c>
      <x:c r="N63" s="17" t="str">
        <x:v>NOT_EXECUTED</x:v>
      </x:c>
      <x:c r="O63" s="17" t="str">
        <x:v>UNASSIGNED</x:v>
      </x:c>
      <x:c r="P63" s="17" t="str"/>
      <x:c r="Q63" s="17" t="str">
        <x:v>codex/m3-m3-p051</x:v>
      </x:c>
      <x:c r="R63" s="17" t="str"/>
      <x:c r="S63" s="17" t="str"/>
      <x:c r="T63" s="17" t="str"/>
      <x:c r="U63" s="17" t="str"/>
      <x:c r="V63" s="17" t="str">
        <x:v>YES</x:v>
      </x:c>
      <x:c r="W63" s="17" t="str">
        <x:v>按原子提交回退；迁移仅向前修复</x:v>
      </x:c>
      <x:c r="X63" s="17" t="str"/>
      <x:c r="Y63" s="17" t="str"/>
    </x:row>
    <x:row r="64" ht="23" customHeight="1">
      <x:c r="A64" s="17" t="str">
        <x:v>M3-P052</x:v>
      </x:c>
      <x:c r="B64" s="17" t="str">
        <x:v>63</x:v>
      </x:c>
      <x:c r="C64" s="17" t="str">
        <x:v>M3</x:v>
      </x:c>
      <x:c r="D64" s="17" t="str">
        <x:v>FINANCE_TRANSACTION</x:v>
      </x:c>
      <x:c r="E64" s="17" t="str">
        <x:v>P0</x:v>
      </x:c>
      <x:c r="F64" s="17" t="str">
        <x:v>福利卡绑定</x:v>
      </x:c>
      <x:c r="G64" s="17" t="str">
        <x:v>§8企业采购、§9订单福利卡支付</x:v>
      </x:c>
      <x:c r="H64" s="17" t="str">
        <x:v>P0-052</x:v>
      </x:c>
      <x:c r="I64" s="17" t="str">
        <x:v>M3-000,M3-P051</x:v>
      </x:c>
      <x:c r="J64" s="17" t="str">
        <x:v>完成“福利卡绑定”纵向切片：迁移/领域规则/API/DTO/错误码/对应页面/测试/证据；不实现阶段外功能。</x:v>
      </x:c>
      <x:c r="K64" s="17" t="str">
        <x:v>用户可通过卡号密码、兑换码或扫码绑定；重复兑换、作废卡、冻结卡和非本人领取均被拦截且结果幂等。</x:v>
      </x:c>
      <x:c r="L64" s="17" t="str">
        <x:v>unit+api+p0-e2e+concurrency+idempotency+failure-recovery</x:v>
      </x:c>
      <x:c r="M64" s="17" t="str">
        <x:v>NOT_STARTED</x:v>
      </x:c>
      <x:c r="N64" s="17" t="str">
        <x:v>NOT_EXECUTED</x:v>
      </x:c>
      <x:c r="O64" s="17" t="str">
        <x:v>UNASSIGNED</x:v>
      </x:c>
      <x:c r="P64" s="17" t="str"/>
      <x:c r="Q64" s="17" t="str">
        <x:v>codex/m3-m3-p052</x:v>
      </x:c>
      <x:c r="R64" s="17" t="str"/>
      <x:c r="S64" s="17" t="str"/>
      <x:c r="T64" s="17" t="str"/>
      <x:c r="U64" s="17" t="str"/>
      <x:c r="V64" s="17" t="str">
        <x:v>YES</x:v>
      </x:c>
      <x:c r="W64" s="17" t="str">
        <x:v>按原子提交回退；迁移仅向前修复</x:v>
      </x:c>
      <x:c r="X64" s="17" t="str"/>
      <x:c r="Y64" s="17" t="str"/>
    </x:row>
    <x:row r="65" ht="23" customHeight="1">
      <x:c r="A65" s="17" t="str">
        <x:v>M3-P053</x:v>
      </x:c>
      <x:c r="B65" s="17" t="str">
        <x:v>64</x:v>
      </x:c>
      <x:c r="C65" s="17" t="str">
        <x:v>M3</x:v>
      </x:c>
      <x:c r="D65" s="17" t="str">
        <x:v>FINANCE_TRANSACTION</x:v>
      </x:c>
      <x:c r="E65" s="17" t="str">
        <x:v>P0</x:v>
      </x:c>
      <x:c r="F65" s="17" t="str">
        <x:v>福利卡账户选择</x:v>
      </x:c>
      <x:c r="G65" s="17" t="str">
        <x:v>§8企业采购、§9订单福利卡支付</x:v>
      </x:c>
      <x:c r="H65" s="17" t="str">
        <x:v>P0-053</x:v>
      </x:c>
      <x:c r="I65" s="17" t="str">
        <x:v>M3-000,M3-P052</x:v>
      </x:c>
      <x:c r="J65" s="17" t="str">
        <x:v>完成“福利卡账户选择”纵向切片：迁移/领域规则/API/DTO/错误码/对应页面/测试/证据；不实现阶段外功能。</x:v>
      </x:c>
      <x:c r="K65" s="17" t="str">
        <x:v>结算页只展示当前订单可用账户，显示余额与适用范围，并自动计算最大可抵扣金额。</x:v>
      </x:c>
      <x:c r="L65" s="17" t="str">
        <x:v>unit+api+p0-e2e+concurrency+idempotency+failure-recovery</x:v>
      </x:c>
      <x:c r="M65" s="17" t="str">
        <x:v>NOT_STARTED</x:v>
      </x:c>
      <x:c r="N65" s="17" t="str">
        <x:v>NOT_EXECUTED</x:v>
      </x:c>
      <x:c r="O65" s="17" t="str">
        <x:v>UNASSIGNED</x:v>
      </x:c>
      <x:c r="P65" s="17" t="str"/>
      <x:c r="Q65" s="17" t="str">
        <x:v>codex/m3-m3-p053</x:v>
      </x:c>
      <x:c r="R65" s="17" t="str"/>
      <x:c r="S65" s="17" t="str"/>
      <x:c r="T65" s="17" t="str"/>
      <x:c r="U65" s="17" t="str"/>
      <x:c r="V65" s="17" t="str">
        <x:v>YES</x:v>
      </x:c>
      <x:c r="W65" s="17" t="str">
        <x:v>按原子提交回退；迁移仅向前修复</x:v>
      </x:c>
      <x:c r="X65" s="17" t="str"/>
      <x:c r="Y65" s="17" t="str"/>
    </x:row>
    <x:row r="66" ht="23" customHeight="1">
      <x:c r="A66" s="17" t="str">
        <x:v>M3-P054</x:v>
      </x:c>
      <x:c r="B66" s="17" t="str">
        <x:v>65</x:v>
      </x:c>
      <x:c r="C66" s="17" t="str">
        <x:v>M3</x:v>
      </x:c>
      <x:c r="D66" s="17" t="str">
        <x:v>FINANCE_TRANSACTION</x:v>
      </x:c>
      <x:c r="E66" s="17" t="str">
        <x:v>P0</x:v>
      </x:c>
      <x:c r="F66" s="17" t="str">
        <x:v>福利卡适用范围</x:v>
      </x:c>
      <x:c r="G66" s="17" t="str">
        <x:v>§8企业采购、§9订单福利卡支付</x:v>
      </x:c>
      <x:c r="H66" s="17" t="str">
        <x:v>P0-054</x:v>
      </x:c>
      <x:c r="I66" s="17" t="str">
        <x:v>M3-000,M3-P051</x:v>
      </x:c>
      <x:c r="J66" s="17" t="str">
        <x:v>完成“福利卡适用范围”纵向切片：迁移/领域规则/API/DTO/错误码/对应页面/测试/证据；不实现阶段外功能。</x:v>
      </x:c>
      <x:c r="K66" s="17" t="str">
        <x:v>分类/商品白名单、黑名单和配送费规则由后端统一校验，商品详情、购物车和结算页口径一致。</x:v>
      </x:c>
      <x:c r="L66" s="17" t="str">
        <x:v>unit+api+p0-e2e+concurrency+idempotency+failure-recovery</x:v>
      </x:c>
      <x:c r="M66" s="17" t="str">
        <x:v>NOT_STARTED</x:v>
      </x:c>
      <x:c r="N66" s="17" t="str">
        <x:v>NOT_EXECUTED</x:v>
      </x:c>
      <x:c r="O66" s="17" t="str">
        <x:v>UNASSIGNED</x:v>
      </x:c>
      <x:c r="P66" s="17" t="str"/>
      <x:c r="Q66" s="17" t="str">
        <x:v>codex/m3-m3-p054</x:v>
      </x:c>
      <x:c r="R66" s="17" t="str"/>
      <x:c r="S66" s="17" t="str"/>
      <x:c r="T66" s="17" t="str"/>
      <x:c r="U66" s="17" t="str"/>
      <x:c r="V66" s="17" t="str">
        <x:v>YES</x:v>
      </x:c>
      <x:c r="W66" s="17" t="str">
        <x:v>按原子提交回退；迁移仅向前修复</x:v>
      </x:c>
      <x:c r="X66" s="17" t="str"/>
      <x:c r="Y66" s="17" t="str"/>
    </x:row>
    <x:row r="67" ht="23" customHeight="1">
      <x:c r="A67" s="17" t="str">
        <x:v>M3-P055</x:v>
      </x:c>
      <x:c r="B67" s="17" t="str">
        <x:v>66</x:v>
      </x:c>
      <x:c r="C67" s="17" t="str">
        <x:v>M3</x:v>
      </x:c>
      <x:c r="D67" s="17" t="str">
        <x:v>FINANCE_TRANSACTION</x:v>
      </x:c>
      <x:c r="E67" s="17" t="str">
        <x:v>P0</x:v>
      </x:c>
      <x:c r="F67" s="17" t="str">
        <x:v>福利卡全额支付</x:v>
      </x:c>
      <x:c r="G67" s="17" t="str">
        <x:v>§8企业采购、§9订单福利卡支付</x:v>
      </x:c>
      <x:c r="H67" s="17" t="str">
        <x:v>P0-055</x:v>
      </x:c>
      <x:c r="I67" s="17" t="str">
        <x:v>M3-000,M3-P053</x:v>
      </x:c>
      <x:c r="J67" s="17" t="str">
        <x:v>完成“福利卡全额支付”纵向切片：迁移/领域规则/API/DTO/错误码/对应页面/测试/证据；不实现阶段外功能。</x:v>
      </x:c>
      <x:c r="K67" s="17" t="str">
        <x:v>现金应付为零时不调用外部支付，福利卡冻结转实扣、订单置为已支付和流水写入在同一幂等事务完成。</x:v>
      </x:c>
      <x:c r="L67" s="17" t="str">
        <x:v>unit+api+p0-e2e+concurrency+idempotency+failure-recovery</x:v>
      </x:c>
      <x:c r="M67" s="17" t="str">
        <x:v>NOT_STARTED</x:v>
      </x:c>
      <x:c r="N67" s="17" t="str">
        <x:v>NOT_EXECUTED</x:v>
      </x:c>
      <x:c r="O67" s="17" t="str">
        <x:v>UNASSIGNED</x:v>
      </x:c>
      <x:c r="P67" s="17" t="str"/>
      <x:c r="Q67" s="17" t="str">
        <x:v>codex/m3-m3-p055</x:v>
      </x:c>
      <x:c r="R67" s="17" t="str"/>
      <x:c r="S67" s="17" t="str"/>
      <x:c r="T67" s="17" t="str"/>
      <x:c r="U67" s="17" t="str"/>
      <x:c r="V67" s="17" t="str">
        <x:v>YES</x:v>
      </x:c>
      <x:c r="W67" s="17" t="str">
        <x:v>按原子提交回退；迁移仅向前修复</x:v>
      </x:c>
      <x:c r="X67" s="17" t="str"/>
      <x:c r="Y67" s="17" t="str"/>
    </x:row>
    <x:row r="68" ht="23" customHeight="1">
      <x:c r="A68" s="17" t="str">
        <x:v>M3-P056</x:v>
      </x:c>
      <x:c r="B68" s="17" t="str">
        <x:v>67</x:v>
      </x:c>
      <x:c r="C68" s="17" t="str">
        <x:v>M3</x:v>
      </x:c>
      <x:c r="D68" s="17" t="str">
        <x:v>FINANCE_TRANSACTION</x:v>
      </x:c>
      <x:c r="E68" s="17" t="str">
        <x:v>P0</x:v>
      </x:c>
      <x:c r="F68" s="17" t="str">
        <x:v>福利卡＋微信支付成功</x:v>
      </x:c>
      <x:c r="G68" s="17" t="str">
        <x:v>§8企业采购、§9订单福利卡支付</x:v>
      </x:c>
      <x:c r="H68" s="17" t="str">
        <x:v>P0-056</x:v>
      </x:c>
      <x:c r="I68" s="17" t="str">
        <x:v>M3-000,M3-P055</x:v>
      </x:c>
      <x:c r="J68" s="17" t="str">
        <x:v>完成“福利卡＋微信支付成功”纵向切片：迁移/领域规则/API/DTO/错误码/对应页面/测试/证据；不实现阶段外功能。</x:v>
      </x:c>
      <x:c r="K68" s="17" t="str">
        <x:v>福利卡先冻结，微信支付差额成功后福利卡转实扣；订单总额始终等于福利卡抵扣加微信支付实付，且只生成一笔公司微信支付交易。</x:v>
      </x:c>
      <x:c r="L68" s="17" t="str">
        <x:v>unit+api+p0-e2e+concurrency+idempotency+failure-recovery</x:v>
      </x:c>
      <x:c r="M68" s="17" t="str">
        <x:v>NOT_STARTED</x:v>
      </x:c>
      <x:c r="N68" s="17" t="str">
        <x:v>NOT_EXECUTED</x:v>
      </x:c>
      <x:c r="O68" s="17" t="str">
        <x:v>UNASSIGNED</x:v>
      </x:c>
      <x:c r="P68" s="17" t="str"/>
      <x:c r="Q68" s="17" t="str">
        <x:v>codex/m3-m3-p056</x:v>
      </x:c>
      <x:c r="R68" s="17" t="str"/>
      <x:c r="S68" s="17" t="str"/>
      <x:c r="T68" s="17" t="str"/>
      <x:c r="U68" s="17" t="str"/>
      <x:c r="V68" s="17" t="str">
        <x:v>YES</x:v>
      </x:c>
      <x:c r="W68" s="17" t="str">
        <x:v>按原子提交回退；迁移仅向前修复</x:v>
      </x:c>
      <x:c r="X68" s="17" t="str"/>
      <x:c r="Y68" s="17" t="str"/>
    </x:row>
    <x:row r="69" ht="23" customHeight="1">
      <x:c r="A69" s="17" t="str">
        <x:v>M3-P057</x:v>
      </x:c>
      <x:c r="B69" s="17" t="str">
        <x:v>68</x:v>
      </x:c>
      <x:c r="C69" s="17" t="str">
        <x:v>M3</x:v>
      </x:c>
      <x:c r="D69" s="17" t="str">
        <x:v>FINANCE_TRANSACTION</x:v>
      </x:c>
      <x:c r="E69" s="17" t="str">
        <x:v>P0</x:v>
      </x:c>
      <x:c r="F69" s="17" t="str">
        <x:v>混合支付取消</x:v>
      </x:c>
      <x:c r="G69" s="17" t="str">
        <x:v>§8企业采购、§9订单福利卡支付</x:v>
      </x:c>
      <x:c r="H69" s="17" t="str">
        <x:v>P0-057</x:v>
      </x:c>
      <x:c r="I69" s="17" t="str">
        <x:v>M3-000,M3-P056</x:v>
      </x:c>
      <x:c r="J69" s="17" t="str">
        <x:v>完成“混合支付取消”纵向切片：迁移/领域规则/API/DTO/错误码/对应页面/测试/证据；不实现阶段外功能。</x:v>
      </x:c>
      <x:c r="K69" s="17" t="str">
        <x:v>用户取消后服务端先查微信支付交易，确认未支付才释放福利卡、优惠券和库存；状态未知时不误释放。</x:v>
      </x:c>
      <x:c r="L69" s="17" t="str">
        <x:v>unit+api+p0-e2e+concurrency+idempotency+failure-recovery</x:v>
      </x:c>
      <x:c r="M69" s="17" t="str">
        <x:v>NOT_STARTED</x:v>
      </x:c>
      <x:c r="N69" s="17" t="str">
        <x:v>NOT_EXECUTED</x:v>
      </x:c>
      <x:c r="O69" s="17" t="str">
        <x:v>UNASSIGNED</x:v>
      </x:c>
      <x:c r="P69" s="17" t="str"/>
      <x:c r="Q69" s="17" t="str">
        <x:v>codex/m3-m3-p057</x:v>
      </x:c>
      <x:c r="R69" s="17" t="str"/>
      <x:c r="S69" s="17" t="str"/>
      <x:c r="T69" s="17" t="str"/>
      <x:c r="U69" s="17" t="str"/>
      <x:c r="V69" s="17" t="str">
        <x:v>YES</x:v>
      </x:c>
      <x:c r="W69" s="17" t="str">
        <x:v>按原子提交回退；迁移仅向前修复</x:v>
      </x:c>
      <x:c r="X69" s="17" t="str"/>
      <x:c r="Y69" s="17" t="str"/>
    </x:row>
    <x:row r="70" ht="23" customHeight="1">
      <x:c r="A70" s="17" t="str">
        <x:v>M3-P058</x:v>
      </x:c>
      <x:c r="B70" s="17" t="str">
        <x:v>69</x:v>
      </x:c>
      <x:c r="C70" s="17" t="str">
        <x:v>M3</x:v>
      </x:c>
      <x:c r="D70" s="17" t="str">
        <x:v>FINANCE_TRANSACTION</x:v>
      </x:c>
      <x:c r="E70" s="17" t="str">
        <x:v>P0</x:v>
      </x:c>
      <x:c r="F70" s="17" t="str">
        <x:v>混合支付拆分退款</x:v>
      </x:c>
      <x:c r="G70" s="17" t="str">
        <x:v>§8企业采购、§9订单福利卡支付</x:v>
      </x:c>
      <x:c r="H70" s="17" t="str">
        <x:v>P0-058</x:v>
      </x:c>
      <x:c r="I70" s="17" t="str">
        <x:v>M3-000,M3-P056</x:v>
      </x:c>
      <x:c r="J70" s="17" t="str">
        <x:v>完成“混合支付拆分退款”纵向切片：迁移/领域规则/API/DTO/错误码/对应页面/测试/证据；不实现阶段外功能。</x:v>
      </x:c>
      <x:c r="K70" s="17" t="str">
        <x:v>全额和部分退款均按 OrderPaymentAllocation 返回原福利卡账户和原微信支付交易，尾差规则确定且可复现。</x:v>
      </x:c>
      <x:c r="L70" s="17" t="str">
        <x:v>unit+api+p0-e2e+concurrency+idempotency+failure-recovery</x:v>
      </x:c>
      <x:c r="M70" s="17" t="str">
        <x:v>NOT_STARTED</x:v>
      </x:c>
      <x:c r="N70" s="17" t="str">
        <x:v>NOT_EXECUTED</x:v>
      </x:c>
      <x:c r="O70" s="17" t="str">
        <x:v>UNASSIGNED</x:v>
      </x:c>
      <x:c r="P70" s="17" t="str"/>
      <x:c r="Q70" s="17" t="str">
        <x:v>codex/m3-m3-p058</x:v>
      </x:c>
      <x:c r="R70" s="17" t="str"/>
      <x:c r="S70" s="17" t="str"/>
      <x:c r="T70" s="17" t="str"/>
      <x:c r="U70" s="17" t="str"/>
      <x:c r="V70" s="17" t="str">
        <x:v>YES</x:v>
      </x:c>
      <x:c r="W70" s="17" t="str">
        <x:v>按原子提交回退；迁移仅向前修复</x:v>
      </x:c>
      <x:c r="X70" s="17" t="str"/>
      <x:c r="Y70" s="17" t="str"/>
    </x:row>
    <x:row r="71" ht="23" customHeight="1">
      <x:c r="A71" s="17" t="str">
        <x:v>M3-P059</x:v>
      </x:c>
      <x:c r="B71" s="17" t="str">
        <x:v>70</x:v>
      </x:c>
      <x:c r="C71" s="17" t="str">
        <x:v>M3</x:v>
      </x:c>
      <x:c r="D71" s="17" t="str">
        <x:v>FINANCE_TRANSACTION</x:v>
      </x:c>
      <x:c r="E71" s="17" t="str">
        <x:v>P0</x:v>
      </x:c>
      <x:c r="F71" s="17" t="str">
        <x:v>福利卡账本</x:v>
      </x:c>
      <x:c r="G71" s="17" t="str">
        <x:v>§8企业采购、§9订单福利卡支付</x:v>
      </x:c>
      <x:c r="H71" s="17" t="str">
        <x:v>P0-059</x:v>
      </x:c>
      <x:c r="I71" s="17" t="str">
        <x:v>M3-000,M3-P058</x:v>
      </x:c>
      <x:c r="J71" s="17" t="str">
        <x:v>完成“福利卡账本”纵向切片：迁移/领域规则/API/DTO/错误码/对应页面/测试/证据；不实现阶段外功能。</x:v>
      </x:c>
      <x:c r="K71" s="17" t="str">
        <x:v>发行、领取、冻结、解冻、实扣、退款、冲正和调整全部写入append-only WelfareCardLedger，余额与流水一致且不为负；个人现金充值和第四类资金来源被拒绝且不写流水。</x:v>
      </x:c>
      <x:c r="L71" s="17" t="str">
        <x:v>unit+api+p0-e2e+concurrency+idempotency+funding-source-negative</x:v>
      </x:c>
      <x:c r="M71" s="17" t="str">
        <x:v>NOT_STARTED</x:v>
      </x:c>
      <x:c r="N71" s="17" t="str">
        <x:v>NOT_EXECUTED</x:v>
      </x:c>
      <x:c r="O71" s="17" t="str">
        <x:v>UNASSIGNED</x:v>
      </x:c>
      <x:c r="P71" s="17" t="str"/>
      <x:c r="Q71" s="17" t="str">
        <x:v>codex/m3-m3-p059</x:v>
      </x:c>
      <x:c r="R71" s="17" t="str"/>
      <x:c r="S71" s="17" t="str"/>
      <x:c r="T71" s="17" t="str"/>
      <x:c r="U71" s="17" t="str"/>
      <x:c r="V71" s="17" t="str">
        <x:v>NO</x:v>
      </x:c>
      <x:c r="W71" s="17" t="str">
        <x:v>按原子提交回退；迁移仅向前修复</x:v>
      </x:c>
      <x:c r="X71" s="17" t="str"/>
      <x:c r="Y71" s="17" t="str"/>
    </x:row>
    <x:row r="72" ht="23" customHeight="1">
      <x:c r="A72" s="17" t="str">
        <x:v>M3-P062</x:v>
      </x:c>
      <x:c r="B72" s="17" t="str">
        <x:v>71</x:v>
      </x:c>
      <x:c r="C72" s="17" t="str">
        <x:v>M3</x:v>
      </x:c>
      <x:c r="D72" s="17" t="str">
        <x:v>BUSINESS_VERTICAL_SLICE</x:v>
      </x:c>
      <x:c r="E72" s="17" t="str">
        <x:v>P0</x:v>
      </x:c>
      <x:c r="F72" s="17" t="str">
        <x:v>多供应商企业主订单</x:v>
      </x:c>
      <x:c r="G72" s="17" t="str">
        <x:v>§8企业采购、§9订单福利卡支付</x:v>
      </x:c>
      <x:c r="H72" s="17" t="str">
        <x:v>P0-062</x:v>
      </x:c>
      <x:c r="I72" s="17" t="str">
        <x:v>M3-000,M3-P029</x:v>
      </x:c>
      <x:c r="J72" s="17" t="str">
        <x:v>完成“多供应商企业主订单”纵向切片：迁移/领域规则/API/DTO/错误码/对应页面/测试/证据；不实现阶段外功能。</x:v>
      </x:c>
      <x:c r="K72" s="17" t="str">
        <x:v>企业可一次选择至少三个供应商商品并提交一个主订单；平台按 supplierId 准确生成子单，金额与商品汇总一致。</x:v>
      </x:c>
      <x:c r="L72" s="17" t="str">
        <x:v>unit+api+p0-e2e</x:v>
      </x:c>
      <x:c r="M72" s="17" t="str">
        <x:v>NOT_STARTED</x:v>
      </x:c>
      <x:c r="N72" s="17" t="str">
        <x:v>NOT_EXECUTED</x:v>
      </x:c>
      <x:c r="O72" s="17" t="str">
        <x:v>UNASSIGNED</x:v>
      </x:c>
      <x:c r="P72" s="17" t="str"/>
      <x:c r="Q72" s="17" t="str">
        <x:v>codex/m3-m3-p062</x:v>
      </x:c>
      <x:c r="R72" s="17" t="str"/>
      <x:c r="S72" s="17" t="str"/>
      <x:c r="T72" s="17" t="str"/>
      <x:c r="U72" s="17" t="str"/>
      <x:c r="V72" s="17" t="str">
        <x:v>NO</x:v>
      </x:c>
      <x:c r="W72" s="17" t="str">
        <x:v>按原子提交回退；迁移仅向前修复</x:v>
      </x:c>
      <x:c r="X72" s="17" t="str"/>
      <x:c r="Y72" s="17" t="str"/>
    </x:row>
    <x:row r="73" ht="23" customHeight="1">
      <x:c r="A73" s="17" t="str">
        <x:v>M3-P073</x:v>
      </x:c>
      <x:c r="B73" s="17" t="str">
        <x:v>72</x:v>
      </x:c>
      <x:c r="C73" s="17" t="str">
        <x:v>M3</x:v>
      </x:c>
      <x:c r="D73" s="17" t="str">
        <x:v>UI_VERTICAL_SLICE</x:v>
      </x:c>
      <x:c r="E73" s="17" t="str">
        <x:v>P0</x:v>
      </x:c>
      <x:c r="F73" s="17" t="str">
        <x:v>门户全站导航</x:v>
      </x:c>
      <x:c r="G73" s="17" t="str">
        <x:v>§8企业门户网站</x:v>
      </x:c>
      <x:c r="H73" s="17" t="str">
        <x:v>P0-073</x:v>
      </x:c>
      <x:c r="I73" s="17" t="str">
        <x:v>M3-000</x:v>
      </x:c>
      <x:c r="J73" s="17" t="str">
        <x:v>完成“门户全站导航”纵向切片：迁移/领域规则/API/DTO/错误码/对应页面/测试/证据；不实现阶段外功能。</x:v>
      </x:c>
      <x:c r="K73" s="17" t="str">
        <x:v>桌面和移动端均提供首页、关于、供应链能力、社区集采、福利卡、供应商合作、新闻和联系入口；登录前后企业入口、采购车和工作台状态正确，页脚主体和法律入口完整。</x:v>
      </x:c>
      <x:c r="L73" s="17" t="str">
        <x:v>unit+api+p0-e2e</x:v>
      </x:c>
      <x:c r="M73" s="17" t="str">
        <x:v>NOT_STARTED</x:v>
      </x:c>
      <x:c r="N73" s="17" t="str">
        <x:v>NOT_EXECUTED</x:v>
      </x:c>
      <x:c r="O73" s="17" t="str">
        <x:v>UNASSIGNED</x:v>
      </x:c>
      <x:c r="P73" s="17" t="str"/>
      <x:c r="Q73" s="17" t="str">
        <x:v>codex/m3-m3-p073</x:v>
      </x:c>
      <x:c r="R73" s="17" t="str"/>
      <x:c r="S73" s="17" t="str"/>
      <x:c r="T73" s="17" t="str"/>
      <x:c r="U73" s="17" t="str"/>
      <x:c r="V73" s="17" t="str">
        <x:v>NO</x:v>
      </x:c>
      <x:c r="W73" s="17" t="str">
        <x:v>按原子提交回退；迁移仅向前修复</x:v>
      </x:c>
      <x:c r="X73" s="17" t="str"/>
      <x:c r="Y73" s="17" t="str"/>
    </x:row>
    <x:row r="74" ht="23" customHeight="1">
      <x:c r="A74" s="17" t="str">
        <x:v>M3-P074</x:v>
      </x:c>
      <x:c r="B74" s="17" t="str">
        <x:v>73</x:v>
      </x:c>
      <x:c r="C74" s="17" t="str">
        <x:v>M3</x:v>
      </x:c>
      <x:c r="D74" s="17" t="str">
        <x:v>UI_VERTICAL_SLICE</x:v>
      </x:c>
      <x:c r="E74" s="17" t="str">
        <x:v>P0</x:v>
      </x:c>
      <x:c r="F74" s="17" t="str">
        <x:v>门户首页闭环</x:v>
      </x:c>
      <x:c r="G74" s="17" t="str">
        <x:v>§8企业门户网站</x:v>
      </x:c>
      <x:c r="H74" s="17" t="str">
        <x:v>P0-074</x:v>
      </x:c>
      <x:c r="I74" s="17" t="str">
        <x:v>M3-000,M3-P073</x:v>
      </x:c>
      <x:c r="J74" s="17" t="str">
        <x:v>完成“门户首页闭环”纵向切片：迁移/领域规则/API/DTO/错误码/对应页面/测试/证据；不实现阶段外功能。</x:v>
      </x:c>
      <x:c r="K74" s="17" t="str">
        <x:v>首页按主视觉、核心服务、供应链能力、社区集采说明、分类预览、授权案例、供应商合作、新闻和底部 CTA 顺序展示；不使用虚构销量、倒计时或未授权案例。</x:v>
      </x:c>
      <x:c r="L74" s="17" t="str">
        <x:v>unit+api+p0-e2e</x:v>
      </x:c>
      <x:c r="M74" s="17" t="str">
        <x:v>NOT_STARTED</x:v>
      </x:c>
      <x:c r="N74" s="17" t="str">
        <x:v>NOT_EXECUTED</x:v>
      </x:c>
      <x:c r="O74" s="17" t="str">
        <x:v>UNASSIGNED</x:v>
      </x:c>
      <x:c r="P74" s="17" t="str"/>
      <x:c r="Q74" s="17" t="str">
        <x:v>codex/m3-m3-p074</x:v>
      </x:c>
      <x:c r="R74" s="17" t="str"/>
      <x:c r="S74" s="17" t="str"/>
      <x:c r="T74" s="17" t="str"/>
      <x:c r="U74" s="17" t="str"/>
      <x:c r="V74" s="17" t="str">
        <x:v>NO</x:v>
      </x:c>
      <x:c r="W74" s="17" t="str">
        <x:v>按原子提交回退；迁移仅向前修复</x:v>
      </x:c>
      <x:c r="X74" s="17" t="str"/>
      <x:c r="Y74" s="17" t="str"/>
    </x:row>
    <x:row r="75" ht="23" customHeight="1">
      <x:c r="A75" s="17" t="str">
        <x:v>M3-P075</x:v>
      </x:c>
      <x:c r="B75" s="17" t="str">
        <x:v>74</x:v>
      </x:c>
      <x:c r="C75" s="17" t="str">
        <x:v>M3</x:v>
      </x:c>
      <x:c r="D75" s="17" t="str">
        <x:v>UI_VERTICAL_SLICE</x:v>
      </x:c>
      <x:c r="E75" s="17" t="str">
        <x:v>P0</x:v>
      </x:c>
      <x:c r="F75" s="17" t="str">
        <x:v>企业宣传页面</x:v>
      </x:c>
      <x:c r="G75" s="17" t="str">
        <x:v>§8企业门户网站</x:v>
      </x:c>
      <x:c r="H75" s="17" t="str">
        <x:v>P0-075</x:v>
      </x:c>
      <x:c r="I75" s="17" t="str">
        <x:v>M3-000,M3-P073</x:v>
      </x:c>
      <x:c r="J75" s="17" t="str">
        <x:v>完成“企业宣传页面”纵向切片：迁移/领域规则/API/DTO/错误码/对应页面/测试/证据；不实现阶段外功能。</x:v>
      </x:c>
      <x:c r="K75" s="17" t="str">
        <x:v>关于、能力、案例、新闻和联系页面内容完整，资质与案例按授权展示，规则公告保留版本和生效时间，页面具有明确下一步入口。</x:v>
      </x:c>
      <x:c r="L75" s="17" t="str">
        <x:v>unit+api+p0-e2e</x:v>
      </x:c>
      <x:c r="M75" s="17" t="str">
        <x:v>NOT_STARTED</x:v>
      </x:c>
      <x:c r="N75" s="17" t="str">
        <x:v>NOT_EXECUTED</x:v>
      </x:c>
      <x:c r="O75" s="17" t="str">
        <x:v>UNASSIGNED</x:v>
      </x:c>
      <x:c r="P75" s="17" t="str"/>
      <x:c r="Q75" s="17" t="str">
        <x:v>codex/m3-m3-p075</x:v>
      </x:c>
      <x:c r="R75" s="17" t="str"/>
      <x:c r="S75" s="17" t="str"/>
      <x:c r="T75" s="17" t="str"/>
      <x:c r="U75" s="17" t="str"/>
      <x:c r="V75" s="17" t="str">
        <x:v>NO</x:v>
      </x:c>
      <x:c r="W75" s="17" t="str">
        <x:v>按原子提交回退；迁移仅向前修复</x:v>
      </x:c>
      <x:c r="X75" s="17" t="str"/>
      <x:c r="Y75" s="17" t="str"/>
    </x:row>
    <x:row r="76" ht="23" customHeight="1">
      <x:c r="A76" s="17" t="str">
        <x:v>M3-P076</x:v>
      </x:c>
      <x:c r="B76" s="17" t="str">
        <x:v>75</x:v>
      </x:c>
      <x:c r="C76" s="17" t="str">
        <x:v>M3</x:v>
      </x:c>
      <x:c r="D76" s="17" t="str">
        <x:v>UI_VERTICAL_SLICE</x:v>
      </x:c>
      <x:c r="E76" s="17" t="str">
        <x:v>P0</x:v>
      </x:c>
      <x:c r="F76" s="17" t="str">
        <x:v>供应商与福利服务页</x:v>
      </x:c>
      <x:c r="G76" s="17" t="str">
        <x:v>§8企业门户网站</x:v>
      </x:c>
      <x:c r="H76" s="17" t="str">
        <x:v>P0-076</x:v>
      </x:c>
      <x:c r="I76" s="17" t="str">
        <x:v>M3-000,M3-P073</x:v>
      </x:c>
      <x:c r="J76" s="17" t="str">
        <x:v>完成“供应商与福利服务页”纵向切片：迁移/领域规则/API/DTO/错误码/对应页面/测试/证据；不实现阶段外功能。</x:v>
      </x:c>
      <x:c r="K76" s="17" t="str">
        <x:v>供应商合作页明确条件、分类、资料、流程、注册与登录；福利卡服务页明确企业办理和员工使用流程，商务咨询表单最小化收集并幂等提交。</x:v>
      </x:c>
      <x:c r="L76" s="17" t="str">
        <x:v>unit+api+p0-e2e</x:v>
      </x:c>
      <x:c r="M76" s="17" t="str">
        <x:v>NOT_STARTED</x:v>
      </x:c>
      <x:c r="N76" s="17" t="str">
        <x:v>NOT_EXECUTED</x:v>
      </x:c>
      <x:c r="O76" s="17" t="str">
        <x:v>UNASSIGNED</x:v>
      </x:c>
      <x:c r="P76" s="17" t="str"/>
      <x:c r="Q76" s="17" t="str">
        <x:v>codex/m3-m3-p076</x:v>
      </x:c>
      <x:c r="R76" s="17" t="str"/>
      <x:c r="S76" s="17" t="str"/>
      <x:c r="T76" s="17" t="str"/>
      <x:c r="U76" s="17" t="str"/>
      <x:c r="V76" s="17" t="str">
        <x:v>NO</x:v>
      </x:c>
      <x:c r="W76" s="17" t="str">
        <x:v>按原子提交回退；迁移仅向前修复</x:v>
      </x:c>
      <x:c r="X76" s="17" t="str"/>
      <x:c r="Y76" s="17" t="str"/>
    </x:row>
    <x:row r="77" ht="23" customHeight="1">
      <x:c r="A77" s="17" t="str">
        <x:v>M3-P077</x:v>
      </x:c>
      <x:c r="B77" s="17" t="str">
        <x:v>76</x:v>
      </x:c>
      <x:c r="C77" s="17" t="str">
        <x:v>M3</x:v>
      </x:c>
      <x:c r="D77" s="17" t="str">
        <x:v>UI_VERTICAL_SLICE</x:v>
      </x:c>
      <x:c r="E77" s="17" t="str">
        <x:v>P0</x:v>
      </x:c>
      <x:c r="F77" s="17" t="str">
        <x:v>企业注册认证界面</x:v>
      </x:c>
      <x:c r="G77" s="17" t="str">
        <x:v>§8企业门户网站</x:v>
      </x:c>
      <x:c r="H77" s="17" t="str">
        <x:v>P0-077</x:v>
      </x:c>
      <x:c r="I77" s="17" t="str">
        <x:v>M3-000,M3-P074</x:v>
      </x:c>
      <x:c r="J77" s="17" t="str">
        <x:v>完成“企业注册认证界面”纵向切片：迁移/领域规则/API/DTO/错误码/对应页面/测试/证据；不实现阶段外功能。</x:v>
      </x:c>
      <x:c r="K77" s="17" t="str">
        <x:v>企业注册、主体、联系人、开票、收货、预览提交和认证进度页面完整；补正定位字段，暂停说明影响，重复企业和上传异常均有安全且可操作的反馈。</x:v>
      </x:c>
      <x:c r="L77" s="17" t="str">
        <x:v>unit+api+p0-e2e</x:v>
      </x:c>
      <x:c r="M77" s="17" t="str">
        <x:v>NOT_STARTED</x:v>
      </x:c>
      <x:c r="N77" s="17" t="str">
        <x:v>NOT_EXECUTED</x:v>
      </x:c>
      <x:c r="O77" s="17" t="str">
        <x:v>UNASSIGNED</x:v>
      </x:c>
      <x:c r="P77" s="17" t="str"/>
      <x:c r="Q77" s="17" t="str">
        <x:v>codex/m3-m3-p077</x:v>
      </x:c>
      <x:c r="R77" s="17" t="str"/>
      <x:c r="S77" s="17" t="str"/>
      <x:c r="T77" s="17" t="str"/>
      <x:c r="U77" s="17" t="str"/>
      <x:c r="V77" s="17" t="str">
        <x:v>YES</x:v>
      </x:c>
      <x:c r="W77" s="17" t="str">
        <x:v>按原子提交回退；迁移仅向前修复</x:v>
      </x:c>
      <x:c r="X77" s="17" t="str"/>
      <x:c r="Y77" s="17" t="str"/>
    </x:row>
    <x:row r="78" ht="23" customHeight="1">
      <x:c r="A78" s="17" t="str">
        <x:v>M3-P078</x:v>
      </x:c>
      <x:c r="B78" s="17" t="str">
        <x:v>77</x:v>
      </x:c>
      <x:c r="C78" s="17" t="str">
        <x:v>M3</x:v>
      </x:c>
      <x:c r="D78" s="17" t="str">
        <x:v>UI_VERTICAL_SLICE</x:v>
      </x:c>
      <x:c r="E78" s="17" t="str">
        <x:v>P0</x:v>
      </x:c>
      <x:c r="F78" s="17" t="str">
        <x:v>企业采购货架</x:v>
      </x:c>
      <x:c r="G78" s="17" t="str">
        <x:v>§8企业门户网站</x:v>
      </x:c>
      <x:c r="H78" s="17" t="str">
        <x:v>P0-078</x:v>
      </x:c>
      <x:c r="I78" s="17" t="str">
        <x:v>M3-000,M3-P077</x:v>
      </x:c>
      <x:c r="J78" s="17" t="str">
        <x:v>完成“企业采购货架”纵向切片：迁移/领域规则/API/DTO/错误码/对应页面/测试/证据；不实现阶段外功能。</x:v>
      </x:c>
      <x:c r="K78" s="17" t="str">
        <x:v>认证企业可使用分类、搜索、筛选、商品卡和模板化详情；只展示带集采标识的共用商品、集采销售价和必要库存状态，供应价与内部毛利在页面和接口中均不存在。</x:v>
      </x:c>
      <x:c r="L78" s="17" t="str">
        <x:v>unit+api+p0-e2e</x:v>
      </x:c>
      <x:c r="M78" s="17" t="str">
        <x:v>NOT_STARTED</x:v>
      </x:c>
      <x:c r="N78" s="17" t="str">
        <x:v>NOT_EXECUTED</x:v>
      </x:c>
      <x:c r="O78" s="17" t="str">
        <x:v>UNASSIGNED</x:v>
      </x:c>
      <x:c r="P78" s="17" t="str"/>
      <x:c r="Q78" s="17" t="str">
        <x:v>codex/m3-m3-p078</x:v>
      </x:c>
      <x:c r="R78" s="17" t="str"/>
      <x:c r="S78" s="17" t="str"/>
      <x:c r="T78" s="17" t="str"/>
      <x:c r="U78" s="17" t="str"/>
      <x:c r="V78" s="17" t="str">
        <x:v>NO</x:v>
      </x:c>
      <x:c r="W78" s="17" t="str">
        <x:v>按原子提交回退；迁移仅向前修复</x:v>
      </x:c>
      <x:c r="X78" s="17" t="str"/>
      <x:c r="Y78" s="17" t="str"/>
    </x:row>
    <x:row r="79" ht="23" customHeight="1">
      <x:c r="A79" s="17" t="str">
        <x:v>M3-P079</x:v>
      </x:c>
      <x:c r="B79" s="17" t="str">
        <x:v>78</x:v>
      </x:c>
      <x:c r="C79" s="17" t="str">
        <x:v>M3</x:v>
      </x:c>
      <x:c r="D79" s="17" t="str">
        <x:v>UI_VERTICAL_SLICE</x:v>
      </x:c>
      <x:c r="E79" s="17" t="str">
        <x:v>P0</x:v>
      </x:c>
      <x:c r="F79" s="17" t="str">
        <x:v>采购车与结算界面</x:v>
      </x:c>
      <x:c r="G79" s="17" t="str">
        <x:v>§8企业门户网站</x:v>
      </x:c>
      <x:c r="H79" s="17" t="str">
        <x:v>P0-079</x:v>
      </x:c>
      <x:c r="I79" s="17" t="str">
        <x:v>M3-000,M3-P078</x:v>
      </x:c>
      <x:c r="J79" s="17" t="str">
        <x:v>完成“采购车与结算界面”纵向切片：迁移/领域规则/API/DTO/错误码/对应页面/测试/证据；不实现阶段外功能。</x:v>
      </x:c>
      <x:c r="K79" s="17" t="str">
        <x:v>采购车支持跨供应商分组但统一结账；结算页统一展示商品、地址、开票、配送、付款和总金额，价格/库存/配送变化逐项提示且不产生多次付款。</x:v>
      </x:c>
      <x:c r="L79" s="17" t="str">
        <x:v>unit+api+p0-e2e</x:v>
      </x:c>
      <x:c r="M79" s="17" t="str">
        <x:v>NOT_STARTED</x:v>
      </x:c>
      <x:c r="N79" s="17" t="str">
        <x:v>NOT_EXECUTED</x:v>
      </x:c>
      <x:c r="O79" s="17" t="str">
        <x:v>UNASSIGNED</x:v>
      </x:c>
      <x:c r="P79" s="17" t="str"/>
      <x:c r="Q79" s="17" t="str">
        <x:v>codex/m3-m3-p079</x:v>
      </x:c>
      <x:c r="R79" s="17" t="str"/>
      <x:c r="S79" s="17" t="str"/>
      <x:c r="T79" s="17" t="str"/>
      <x:c r="U79" s="17" t="str"/>
      <x:c r="V79" s="17" t="str">
        <x:v>NO</x:v>
      </x:c>
      <x:c r="W79" s="17" t="str">
        <x:v>按原子提交回退；迁移仅向前修复</x:v>
      </x:c>
      <x:c r="X79" s="17" t="str"/>
      <x:c r="Y79" s="17" t="str"/>
    </x:row>
    <x:row r="80" ht="23" customHeight="1">
      <x:c r="A80" s="17" t="str">
        <x:v>M3-P080</x:v>
      </x:c>
      <x:c r="B80" s="17" t="str">
        <x:v>79</x:v>
      </x:c>
      <x:c r="C80" s="17" t="str">
        <x:v>M3</x:v>
      </x:c>
      <x:c r="D80" s="17" t="str">
        <x:v>UI_VERTICAL_SLICE</x:v>
      </x:c>
      <x:c r="E80" s="17" t="str">
        <x:v>P0</x:v>
      </x:c>
      <x:c r="F80" s="17" t="str">
        <x:v>企业工作台与订单</x:v>
      </x:c>
      <x:c r="G80" s="17" t="str">
        <x:v>§8企业门户网站</x:v>
      </x:c>
      <x:c r="H80" s="17" t="str">
        <x:v>P0-080</x:v>
      </x:c>
      <x:c r="I80" s="17" t="str">
        <x:v>M3-000,M3-P077</x:v>
      </x:c>
      <x:c r="J80" s="17" t="str">
        <x:v>完成“企业工作台与订单”纵向切片：迁移/领域规则/API/DTO/错误码/对应页面/测试/证据；不实现阶段外功能。</x:v>
      </x:c>
      <x:c r="K80" s="17" t="str">
        <x:v>工作台、订单列表、订单详情、统一配送时间线、售后、发票、常购清单、企业资料和消息页面完整；数据仅限本企业且不展示供应商内部结算。</x:v>
      </x:c>
      <x:c r="L80" s="17" t="str">
        <x:v>unit+api+p0-e2e</x:v>
      </x:c>
      <x:c r="M80" s="17" t="str">
        <x:v>NOT_STARTED</x:v>
      </x:c>
      <x:c r="N80" s="17" t="str">
        <x:v>NOT_EXECUTED</x:v>
      </x:c>
      <x:c r="O80" s="17" t="str">
        <x:v>UNASSIGNED</x:v>
      </x:c>
      <x:c r="P80" s="17" t="str"/>
      <x:c r="Q80" s="17" t="str">
        <x:v>codex/m3-m3-p080</x:v>
      </x:c>
      <x:c r="R80" s="17" t="str"/>
      <x:c r="S80" s="17" t="str"/>
      <x:c r="T80" s="17" t="str"/>
      <x:c r="U80" s="17" t="str"/>
      <x:c r="V80" s="17" t="str">
        <x:v>NO</x:v>
      </x:c>
      <x:c r="W80" s="17" t="str">
        <x:v>按原子提交回退；迁移仅向前修复</x:v>
      </x:c>
      <x:c r="X80" s="17" t="str"/>
      <x:c r="Y80" s="17" t="str"/>
    </x:row>
    <x:row r="81" ht="23" customHeight="1">
      <x:c r="A81" s="17" t="str">
        <x:v>M3-P081</x:v>
      </x:c>
      <x:c r="B81" s="17" t="str">
        <x:v>80</x:v>
      </x:c>
      <x:c r="C81" s="17" t="str">
        <x:v>M3</x:v>
      </x:c>
      <x:c r="D81" s="17" t="str">
        <x:v>UI_VERTICAL_SLICE</x:v>
      </x:c>
      <x:c r="E81" s="17" t="str">
        <x:v>P0</x:v>
      </x:c>
      <x:c r="F81" s="17" t="str">
        <x:v>响应式与页面状态</x:v>
      </x:c>
      <x:c r="G81" s="17" t="str">
        <x:v>§8企业门户网站</x:v>
      </x:c>
      <x:c r="H81" s="17" t="str">
        <x:v>P0-081</x:v>
      </x:c>
      <x:c r="I81" s="17" t="str">
        <x:v>M3-000,M3-P073</x:v>
      </x:c>
      <x:c r="J81" s="17" t="str">
        <x:v>完成“响应式与页面状态”纵向切片：迁移/领域规则/API/DTO/错误码/对应页面/测试/证据；不实现阶段外功能。</x:v>
      </x:c>
      <x:c r="K81" s="17" t="str">
        <x:v>桌面、平板和手机可完成注册、浏览、采购车、下单、订单和售后；加载、空态、失败、未认证、无权限、对象失效和表单错误状态均有明确反馈。</x:v>
      </x:c>
      <x:c r="L81" s="17" t="str">
        <x:v>unit+api+p0-e2e</x:v>
      </x:c>
      <x:c r="M81" s="17" t="str">
        <x:v>NOT_STARTED</x:v>
      </x:c>
      <x:c r="N81" s="17" t="str">
        <x:v>NOT_EXECUTED</x:v>
      </x:c>
      <x:c r="O81" s="17" t="str">
        <x:v>UNASSIGNED</x:v>
      </x:c>
      <x:c r="P81" s="17" t="str"/>
      <x:c r="Q81" s="17" t="str">
        <x:v>codex/m3-m3-p081</x:v>
      </x:c>
      <x:c r="R81" s="17" t="str"/>
      <x:c r="S81" s="17" t="str"/>
      <x:c r="T81" s="17" t="str"/>
      <x:c r="U81" s="17" t="str"/>
      <x:c r="V81" s="17" t="str">
        <x:v>NO</x:v>
      </x:c>
      <x:c r="W81" s="17" t="str">
        <x:v>按原子提交回退；迁移仅向前修复</x:v>
      </x:c>
      <x:c r="X81" s="17" t="str"/>
      <x:c r="Y81" s="17" t="str"/>
    </x:row>
    <x:row r="82" ht="23" customHeight="1">
      <x:c r="A82" s="17" t="str">
        <x:v>M3-P083</x:v>
      </x:c>
      <x:c r="B82" s="17" t="str">
        <x:v>81</x:v>
      </x:c>
      <x:c r="C82" s="17" t="str">
        <x:v>M3</x:v>
      </x:c>
      <x:c r="D82" s="17" t="str">
        <x:v>UI_VERTICAL_SLICE</x:v>
      </x:c>
      <x:c r="E82" s="17" t="str">
        <x:v>P0</x:v>
      </x:c>
      <x:c r="F82" s="17" t="str">
        <x:v>用户小程序定位与入口隔离</x:v>
      </x:c>
      <x:c r="G82" s="17" t="str">
        <x:v>§7用户小程序</x:v>
      </x:c>
      <x:c r="H82" s="17" t="str">
        <x:v>P0-083</x:v>
      </x:c>
      <x:c r="I82" s="17" t="str">
        <x:v>M3-000</x:v>
      </x:c>
      <x:c r="J82" s="17" t="str">
        <x:v>完成“用户小程序定位与入口隔离”纵向切片：迁移/领域规则/API/DTO/错误码/对应页面/测试/证据；不实现阶段外功能。</x:v>
      </x:c>
      <x:c r="K82" s="17" t="str">
        <x:v>小程序是个人零售入口，游客可浏览、登录后交易；公司是唯一销售/收款/退款/开票/售后主体，页面不出现企业采购交易、供应商后台或跑腿工作台入口。</x:v>
      </x:c>
      <x:c r="L82" s="17" t="str">
        <x:v>unit+api+p0-e2e+wechat-device-manual</x:v>
      </x:c>
      <x:c r="M82" s="17" t="str">
        <x:v>NOT_STARTED</x:v>
      </x:c>
      <x:c r="N82" s="17" t="str">
        <x:v>NOT_EXECUTED</x:v>
      </x:c>
      <x:c r="O82" s="17" t="str">
        <x:v>UNASSIGNED</x:v>
      </x:c>
      <x:c r="P82" s="17" t="str"/>
      <x:c r="Q82" s="17" t="str">
        <x:v>codex/m3-m3-p083</x:v>
      </x:c>
      <x:c r="R82" s="17" t="str"/>
      <x:c r="S82" s="17" t="str"/>
      <x:c r="T82" s="17" t="str"/>
      <x:c r="U82" s="17" t="str"/>
      <x:c r="V82" s="17" t="str">
        <x:v>YES</x:v>
      </x:c>
      <x:c r="W82" s="17" t="str">
        <x:v>按原子提交回退；迁移仅向前修复</x:v>
      </x:c>
      <x:c r="X82" s="17" t="str"/>
      <x:c r="Y82" s="17" t="str"/>
    </x:row>
    <x:row r="83" ht="23" customHeight="1">
      <x:c r="A83" s="17" t="str">
        <x:v>M3-P084</x:v>
      </x:c>
      <x:c r="B83" s="17" t="str">
        <x:v>82</x:v>
      </x:c>
      <x:c r="C83" s="17" t="str">
        <x:v>M3</x:v>
      </x:c>
      <x:c r="D83" s="17" t="str">
        <x:v>UI_VERTICAL_SLICE</x:v>
      </x:c>
      <x:c r="E83" s="17" t="str">
        <x:v>P0</x:v>
      </x:c>
      <x:c r="F83" s="17" t="str">
        <x:v>小程序导航与页面路径</x:v>
      </x:c>
      <x:c r="G83" s="17" t="str">
        <x:v>§7用户小程序</x:v>
      </x:c>
      <x:c r="H83" s="17" t="str">
        <x:v>P0-084</x:v>
      </x:c>
      <x:c r="I83" s="17" t="str">
        <x:v>M3-000,M3-P083</x:v>
      </x:c>
      <x:c r="J83" s="17" t="str">
        <x:v>完成“小程序导航与页面路径”纵向切片：迁移/领域规则/API/DTO/错误码/对应页面/测试/证据；不实现阶段外功能。</x:v>
      </x:c>
      <x:c r="K83" s="17" t="str">
        <x:v>首页、分类、购物车、我的四个 TabBar 入口及搜索、详情、确认订单、支付结果、订单、售后、福利卡、地址、发票、消息和客服页面路径完整，深链返回和登录回跳正确。</x:v>
      </x:c>
      <x:c r="L83" s="17" t="str">
        <x:v>unit+api+p0-e2e+wechat-device-manual</x:v>
      </x:c>
      <x:c r="M83" s="17" t="str">
        <x:v>NOT_STARTED</x:v>
      </x:c>
      <x:c r="N83" s="17" t="str">
        <x:v>NOT_EXECUTED</x:v>
      </x:c>
      <x:c r="O83" s="17" t="str">
        <x:v>UNASSIGNED</x:v>
      </x:c>
      <x:c r="P83" s="17" t="str"/>
      <x:c r="Q83" s="17" t="str">
        <x:v>codex/m3-m3-p084</x:v>
      </x:c>
      <x:c r="R83" s="17" t="str"/>
      <x:c r="S83" s="17" t="str"/>
      <x:c r="T83" s="17" t="str"/>
      <x:c r="U83" s="17" t="str"/>
      <x:c r="V83" s="17" t="str">
        <x:v>YES</x:v>
      </x:c>
      <x:c r="W83" s="17" t="str">
        <x:v>按原子提交回退；迁移仅向前修复</x:v>
      </x:c>
      <x:c r="X83" s="17" t="str"/>
      <x:c r="Y83" s="17" t="str"/>
    </x:row>
    <x:row r="84" ht="23" customHeight="1">
      <x:c r="A84" s="17" t="str">
        <x:v>M3-P085</x:v>
      </x:c>
      <x:c r="B84" s="17" t="str">
        <x:v>83</x:v>
      </x:c>
      <x:c r="C84" s="17" t="str">
        <x:v>M3</x:v>
      </x:c>
      <x:c r="D84" s="17" t="str">
        <x:v>UI_VERTICAL_SLICE</x:v>
      </x:c>
      <x:c r="E84" s="17" t="str">
        <x:v>P0</x:v>
      </x:c>
      <x:c r="F84" s="17" t="str">
        <x:v>按需登录与授权</x:v>
      </x:c>
      <x:c r="G84" s="17" t="str">
        <x:v>§7用户小程序</x:v>
      </x:c>
      <x:c r="H84" s="17" t="str">
        <x:v>P0-085</x:v>
      </x:c>
      <x:c r="I84" s="17" t="str">
        <x:v>M3-000,M3-P084</x:v>
      </x:c>
      <x:c r="J84" s="17" t="str">
        <x:v>完成“按需登录与授权”纵向切片：迁移/领域规则/API/DTO/错误码/对应页面/测试/证据；不实现阶段外功能。</x:v>
      </x:c>
      <x:c r="K84" s="17" t="str">
        <x:v>启动不强制手机号、定位或订阅消息授权；受保护操作再登录并说明用途，拒绝授权仍可游客浏览；服务端以微信身份绑定 userId，前端不能指定他人身份。</x:v>
      </x:c>
      <x:c r="L84" s="17" t="str">
        <x:v>unit+api+p0-e2e+wechat-device-manual</x:v>
      </x:c>
      <x:c r="M84" s="17" t="str">
        <x:v>NOT_STARTED</x:v>
      </x:c>
      <x:c r="N84" s="17" t="str">
        <x:v>NOT_EXECUTED</x:v>
      </x:c>
      <x:c r="O84" s="17" t="str">
        <x:v>UNASSIGNED</x:v>
      </x:c>
      <x:c r="P84" s="17" t="str"/>
      <x:c r="Q84" s="17" t="str">
        <x:v>codex/m3-m3-p085</x:v>
      </x:c>
      <x:c r="R84" s="17" t="str"/>
      <x:c r="S84" s="17" t="str"/>
      <x:c r="T84" s="17" t="str"/>
      <x:c r="U84" s="17" t="str"/>
      <x:c r="V84" s="17" t="str">
        <x:v>YES</x:v>
      </x:c>
      <x:c r="W84" s="17" t="str">
        <x:v>按原子提交回退；迁移仅向前修复</x:v>
      </x:c>
      <x:c r="X84" s="17" t="str"/>
      <x:c r="Y84" s="17" t="str"/>
    </x:row>
    <x:row r="85" ht="23" customHeight="1">
      <x:c r="A85" s="17" t="str">
        <x:v>M3-P086</x:v>
      </x:c>
      <x:c r="B85" s="17" t="str">
        <x:v>84</x:v>
      </x:c>
      <x:c r="C85" s="17" t="str">
        <x:v>M3</x:v>
      </x:c>
      <x:c r="D85" s="17" t="str">
        <x:v>UI_VERTICAL_SLICE</x:v>
      </x:c>
      <x:c r="E85" s="17" t="str">
        <x:v>P0</x:v>
      </x:c>
      <x:c r="F85" s="17" t="str">
        <x:v>小程序首页</x:v>
      </x:c>
      <x:c r="G85" s="17" t="str">
        <x:v>§7用户小程序</x:v>
      </x:c>
      <x:c r="H85" s="17" t="str">
        <x:v>P0-086</x:v>
      </x:c>
      <x:c r="I85" s="17" t="str">
        <x:v>M3-000,M3-P085</x:v>
      </x:c>
      <x:c r="J85" s="17" t="str">
        <x:v>完成“小程序首页”纵向切片：迁移/领域规则/API/DTO/错误码/对应页面/测试/证据；不实现阶段外功能。</x:v>
      </x:c>
      <x:c r="K85" s="17" t="str">
        <x:v>收货区域、搜索、运营位、快捷分类、福利专区、主题商品、推荐/继续购买和服务保障完整；运营内容有有效期与落地页白名单，切换区域后重新校验但不直接清空购物车。</x:v>
      </x:c>
      <x:c r="L85" s="17" t="str">
        <x:v>unit+api+p0-e2e+wechat-device-manual</x:v>
      </x:c>
      <x:c r="M85" s="17" t="str">
        <x:v>NOT_STARTED</x:v>
      </x:c>
      <x:c r="N85" s="17" t="str">
        <x:v>NOT_EXECUTED</x:v>
      </x:c>
      <x:c r="O85" s="17" t="str">
        <x:v>UNASSIGNED</x:v>
      </x:c>
      <x:c r="P85" s="17" t="str"/>
      <x:c r="Q85" s="17" t="str">
        <x:v>codex/m3-m3-p086</x:v>
      </x:c>
      <x:c r="R85" s="17" t="str"/>
      <x:c r="S85" s="17" t="str"/>
      <x:c r="T85" s="17" t="str"/>
      <x:c r="U85" s="17" t="str"/>
      <x:c r="V85" s="17" t="str">
        <x:v>YES</x:v>
      </x:c>
      <x:c r="W85" s="17" t="str">
        <x:v>按原子提交回退；迁移仅向前修复</x:v>
      </x:c>
      <x:c r="X85" s="17" t="str"/>
      <x:c r="Y85" s="17" t="str"/>
    </x:row>
    <x:row r="86" ht="23" customHeight="1">
      <x:c r="A86" s="17" t="str">
        <x:v>M3-P087</x:v>
      </x:c>
      <x:c r="B86" s="17" t="str">
        <x:v>85</x:v>
      </x:c>
      <x:c r="C86" s="17" t="str">
        <x:v>M3</x:v>
      </x:c>
      <x:c r="D86" s="17" t="str">
        <x:v>UI_VERTICAL_SLICE</x:v>
      </x:c>
      <x:c r="E86" s="17" t="str">
        <x:v>P0</x:v>
      </x:c>
      <x:c r="F86" s="17" t="str">
        <x:v>分类、搜索与列表</x:v>
      </x:c>
      <x:c r="G86" s="17" t="str">
        <x:v>§7用户小程序</x:v>
      </x:c>
      <x:c r="H86" s="17" t="str">
        <x:v>P0-087</x:v>
      </x:c>
      <x:c r="I86" s="17" t="str">
        <x:v>M3-000,M3-P086</x:v>
      </x:c>
      <x:c r="J86" s="17" t="str">
        <x:v>完成“分类、搜索与列表”纵向切片：迁移/领域规则/API/DTO/错误码/对应页面/测试/证据；不实现阶段外功能。</x:v>
      </x:c>
      <x:c r="K86" s="17" t="str">
        <x:v>启用分类树、搜索建议、模板属性筛选、排序、稳定分页和状态恢复完整；只返回个人渠道可售商品和平台零售价，无结果、下架、售罄及区域不可售均可理解并可恢复。</x:v>
      </x:c>
      <x:c r="L86" s="17" t="str">
        <x:v>unit+api+p0-e2e+wechat-device-manual</x:v>
      </x:c>
      <x:c r="M86" s="17" t="str">
        <x:v>NOT_STARTED</x:v>
      </x:c>
      <x:c r="N86" s="17" t="str">
        <x:v>NOT_EXECUTED</x:v>
      </x:c>
      <x:c r="O86" s="17" t="str">
        <x:v>UNASSIGNED</x:v>
      </x:c>
      <x:c r="P86" s="17" t="str"/>
      <x:c r="Q86" s="17" t="str">
        <x:v>codex/m3-m3-p087</x:v>
      </x:c>
      <x:c r="R86" s="17" t="str"/>
      <x:c r="S86" s="17" t="str"/>
      <x:c r="T86" s="17" t="str"/>
      <x:c r="U86" s="17" t="str"/>
      <x:c r="V86" s="17" t="str">
        <x:v>YES</x:v>
      </x:c>
      <x:c r="W86" s="17" t="str">
        <x:v>按原子提交回退；迁移仅向前修复</x:v>
      </x:c>
      <x:c r="X86" s="17" t="str"/>
      <x:c r="Y86" s="17" t="str"/>
    </x:row>
    <x:row r="87" ht="23" customHeight="1">
      <x:c r="A87" s="17" t="str">
        <x:v>M3-P088</x:v>
      </x:c>
      <x:c r="B87" s="17" t="str">
        <x:v>86</x:v>
      </x:c>
      <x:c r="C87" s="17" t="str">
        <x:v>M3</x:v>
      </x:c>
      <x:c r="D87" s="17" t="str">
        <x:v>UI_VERTICAL_SLICE</x:v>
      </x:c>
      <x:c r="E87" s="17" t="str">
        <x:v>P0</x:v>
      </x:c>
      <x:c r="F87" s="17" t="str">
        <x:v>模板化商品详情</x:v>
      </x:c>
      <x:c r="G87" s="17" t="str">
        <x:v>§7用户小程序</x:v>
      </x:c>
      <x:c r="H87" s="17" t="str">
        <x:v>P0-088</x:v>
      </x:c>
      <x:c r="I87" s="17" t="str">
        <x:v>M3-000,M3-P087</x:v>
      </x:c>
      <x:c r="J87" s="17" t="str">
        <x:v>完成“模板化商品详情”纵向切片：迁移/领域规则/API/DTO/错误码/对应页面/测试/证据；不实现阶段外功能。</x:v>
      </x:c>
      <x:c r="K87" s="17" t="str">
        <x:v>商品媒体、标题、平台零售价、SKU、福利卡适用、库存、配送、售后、分类模板模块、供应来源和底部操作完整；不同分类按模板版本展示且历史订单快照不被升级改写。</x:v>
      </x:c>
      <x:c r="L87" s="17" t="str">
        <x:v>unit+api+p0-e2e+wechat-device-manual</x:v>
      </x:c>
      <x:c r="M87" s="17" t="str">
        <x:v>NOT_STARTED</x:v>
      </x:c>
      <x:c r="N87" s="17" t="str">
        <x:v>NOT_EXECUTED</x:v>
      </x:c>
      <x:c r="O87" s="17" t="str">
        <x:v>UNASSIGNED</x:v>
      </x:c>
      <x:c r="P87" s="17" t="str"/>
      <x:c r="Q87" s="17" t="str">
        <x:v>codex/m3-m3-p088</x:v>
      </x:c>
      <x:c r="R87" s="17" t="str"/>
      <x:c r="S87" s="17" t="str"/>
      <x:c r="T87" s="17" t="str"/>
      <x:c r="U87" s="17" t="str"/>
      <x:c r="V87" s="17" t="str">
        <x:v>YES</x:v>
      </x:c>
      <x:c r="W87" s="17" t="str">
        <x:v>按原子提交回退；迁移仅向前修复</x:v>
      </x:c>
      <x:c r="X87" s="17" t="str"/>
      <x:c r="Y87" s="17" t="str"/>
    </x:row>
    <x:row r="88" ht="23" customHeight="1">
      <x:c r="A88" s="17" t="str">
        <x:v>M3-P089</x:v>
      </x:c>
      <x:c r="B88" s="17" t="str">
        <x:v>87</x:v>
      </x:c>
      <x:c r="C88" s="17" t="str">
        <x:v>M3</x:v>
      </x:c>
      <x:c r="D88" s="17" t="str">
        <x:v>UI_VERTICAL_SLICE</x:v>
      </x:c>
      <x:c r="E88" s="17" t="str">
        <x:v>P0</x:v>
      </x:c>
      <x:c r="F88" s="17" t="str">
        <x:v>看他还卖什么边界</x:v>
      </x:c>
      <x:c r="G88" s="17" t="str">
        <x:v>§7用户小程序</x:v>
      </x:c>
      <x:c r="H88" s="17" t="str">
        <x:v>P0-089</x:v>
      </x:c>
      <x:c r="I88" s="17" t="str">
        <x:v>M3-000,M3-P088</x:v>
      </x:c>
      <x:c r="J88" s="17" t="str">
        <x:v>完成“看他还卖什么边界”纵向切片：迁移/领域规则/API/DTO/错误码/对应页面/测试/证据；不实现阶段外功能。</x:v>
      </x:c>
      <x:c r="K88" s="17" t="str">
        <x:v>按当前 supplierId 返回公司已审核上架且个人可售的 Product/Sku，继续使用公司货架、价格、购物车、协议和客服；不存在供应商店铺、装修、评分、联系方式、独立售后或独立付款。</x:v>
      </x:c>
      <x:c r="L88" s="17" t="str">
        <x:v>unit+api+p0-e2e+wechat-device-manual</x:v>
      </x:c>
      <x:c r="M88" s="17" t="str">
        <x:v>NOT_STARTED</x:v>
      </x:c>
      <x:c r="N88" s="17" t="str">
        <x:v>NOT_EXECUTED</x:v>
      </x:c>
      <x:c r="O88" s="17" t="str">
        <x:v>UNASSIGNED</x:v>
      </x:c>
      <x:c r="P88" s="17" t="str"/>
      <x:c r="Q88" s="17" t="str">
        <x:v>codex/m3-m3-p089</x:v>
      </x:c>
      <x:c r="R88" s="17" t="str"/>
      <x:c r="S88" s="17" t="str"/>
      <x:c r="T88" s="17" t="str"/>
      <x:c r="U88" s="17" t="str"/>
      <x:c r="V88" s="17" t="str">
        <x:v>YES</x:v>
      </x:c>
      <x:c r="W88" s="17" t="str">
        <x:v>按原子提交回退；迁移仅向前修复</x:v>
      </x:c>
      <x:c r="X88" s="17" t="str"/>
      <x:c r="Y88" s="17" t="str"/>
    </x:row>
    <x:row r="89" ht="23" customHeight="1">
      <x:c r="A89" s="17" t="str">
        <x:v>M3-P090</x:v>
      </x:c>
      <x:c r="B89" s="17" t="str">
        <x:v>88</x:v>
      </x:c>
      <x:c r="C89" s="17" t="str">
        <x:v>M3</x:v>
      </x:c>
      <x:c r="D89" s="17" t="str">
        <x:v>UI_VERTICAL_SLICE</x:v>
      </x:c>
      <x:c r="E89" s="17" t="str">
        <x:v>P0</x:v>
      </x:c>
      <x:c r="F89" s="17" t="str">
        <x:v>跨供应商购物车</x:v>
      </x:c>
      <x:c r="G89" s="17" t="str">
        <x:v>§7用户小程序</x:v>
      </x:c>
      <x:c r="H89" s="17" t="str">
        <x:v>P0-090</x:v>
      </x:c>
      <x:c r="I89" s="17" t="str">
        <x:v>M3-000,M3-P087</x:v>
      </x:c>
      <x:c r="J89" s="17" t="str">
        <x:v>完成“跨供应商购物车”纵向切片：迁移/领域规则/API/DTO/错误码/对应页面/测试/证据；不实现阶段外功能。</x:v>
      </x:c>
      <x:c r="K89" s="17" t="str">
        <x:v>至少三个供应商商品可按供应来源分组选择、改数量、处理失效项并一次进入结算；前端不按供应商多次创建订单或多次付款，分组仅用于备货和配送说明。</x:v>
      </x:c>
      <x:c r="L89" s="17" t="str">
        <x:v>unit+api+p0-e2e+wechat-device-manual</x:v>
      </x:c>
      <x:c r="M89" s="17" t="str">
        <x:v>NOT_STARTED</x:v>
      </x:c>
      <x:c r="N89" s="17" t="str">
        <x:v>NOT_EXECUTED</x:v>
      </x:c>
      <x:c r="O89" s="17" t="str">
        <x:v>UNASSIGNED</x:v>
      </x:c>
      <x:c r="P89" s="17" t="str"/>
      <x:c r="Q89" s="17" t="str">
        <x:v>codex/m3-m3-p090</x:v>
      </x:c>
      <x:c r="R89" s="17" t="str"/>
      <x:c r="S89" s="17" t="str"/>
      <x:c r="T89" s="17" t="str"/>
      <x:c r="U89" s="17" t="str"/>
      <x:c r="V89" s="17" t="str">
        <x:v>YES</x:v>
      </x:c>
      <x:c r="W89" s="17" t="str">
        <x:v>按原子提交回退；迁移仅向前修复</x:v>
      </x:c>
      <x:c r="X89" s="17" t="str"/>
      <x:c r="Y89" s="17" t="str"/>
    </x:row>
    <x:row r="90" ht="23" customHeight="1">
      <x:c r="A90" s="17" t="str">
        <x:v>M3-P091</x:v>
      </x:c>
      <x:c r="B90" s="17" t="str">
        <x:v>89</x:v>
      </x:c>
      <x:c r="C90" s="17" t="str">
        <x:v>M3</x:v>
      </x:c>
      <x:c r="D90" s="17" t="str">
        <x:v>UI_VERTICAL_SLICE</x:v>
      </x:c>
      <x:c r="E90" s="17" t="str">
        <x:v>P0</x:v>
      </x:c>
      <x:c r="F90" s="17" t="str">
        <x:v>确认订单界面</x:v>
      </x:c>
      <x:c r="G90" s="17" t="str">
        <x:v>§7用户小程序</x:v>
      </x:c>
      <x:c r="H90" s="17" t="str">
        <x:v>P0-091</x:v>
      </x:c>
      <x:c r="I90" s="17" t="str">
        <x:v>M3-000,M3-P090</x:v>
      </x:c>
      <x:c r="J90" s="17" t="str">
        <x:v>完成“确认订单界面”纵向切片：迁移/领域规则/API/DTO/错误码/对应页面/测试/证据；不实现阶段外功能。</x:v>
      </x:c>
      <x:c r="K90" s="17" t="str">
        <x:v>地址、商品分组、配送费、优惠、福利卡、微信支付应付、发票、备注、协议和金额明细完整；现金应付大于零时固定显示微信支付，不展示其他支付渠道；服务端统一试算并逐项提示价格、库存、区域、限购和配送变化。</x:v>
      </x:c>
      <x:c r="L90" s="17" t="str">
        <x:v>unit+api+p0-e2e+wechat-device-manual</x:v>
      </x:c>
      <x:c r="M90" s="17" t="str">
        <x:v>NOT_STARTED</x:v>
      </x:c>
      <x:c r="N90" s="17" t="str">
        <x:v>NOT_EXECUTED</x:v>
      </x:c>
      <x:c r="O90" s="17" t="str">
        <x:v>UNASSIGNED</x:v>
      </x:c>
      <x:c r="P90" s="17" t="str"/>
      <x:c r="Q90" s="17" t="str">
        <x:v>codex/m3-m3-p091</x:v>
      </x:c>
      <x:c r="R90" s="17" t="str"/>
      <x:c r="S90" s="17" t="str"/>
      <x:c r="T90" s="17" t="str"/>
      <x:c r="U90" s="17" t="str"/>
      <x:c r="V90" s="17" t="str">
        <x:v>YES</x:v>
      </x:c>
      <x:c r="W90" s="17" t="str">
        <x:v>按原子提交回退；迁移仅向前修复</x:v>
      </x:c>
      <x:c r="X90" s="17" t="str"/>
      <x:c r="Y90" s="17" t="str"/>
    </x:row>
    <x:row r="91" ht="23" customHeight="1">
      <x:c r="A91" s="17" t="str">
        <x:v>M3-P092</x:v>
      </x:c>
      <x:c r="B91" s="17" t="str">
        <x:v>90</x:v>
      </x:c>
      <x:c r="C91" s="17" t="str">
        <x:v>M3</x:v>
      </x:c>
      <x:c r="D91" s="17" t="str">
        <x:v>UI_VERTICAL_SLICE</x:v>
      </x:c>
      <x:c r="E91" s="17" t="str">
        <x:v>P0</x:v>
      </x:c>
      <x:c r="F91" s="17" t="str">
        <x:v>福利卡账户选择</x:v>
      </x:c>
      <x:c r="G91" s="17" t="str">
        <x:v>§7用户小程序</x:v>
      </x:c>
      <x:c r="H91" s="17" t="str">
        <x:v>P0-092</x:v>
      </x:c>
      <x:c r="I91" s="17" t="str">
        <x:v>M3-000,M3-P091</x:v>
      </x:c>
      <x:c r="J91" s="17" t="str">
        <x:v>完成“福利卡账户选择”纵向切片：迁移/领域规则/API/DTO/错误码/对应页面/测试/证据；不实现阶段外功能。</x:v>
      </x:c>
      <x:c r="K91" s="17" t="str">
        <x:v>结算页只显示当前订单可用账户，P0 选择一个账户或不使用；系统自动按可用余额与可抵扣金额的较小值最大抵扣，不要求手填金额，适用与不可用商品说明一致。</x:v>
      </x:c>
      <x:c r="L91" s="17" t="str">
        <x:v>unit+api+p0-e2e+wechat-device-manual</x:v>
      </x:c>
      <x:c r="M91" s="17" t="str">
        <x:v>NOT_STARTED</x:v>
      </x:c>
      <x:c r="N91" s="17" t="str">
        <x:v>NOT_EXECUTED</x:v>
      </x:c>
      <x:c r="O91" s="17" t="str">
        <x:v>UNASSIGNED</x:v>
      </x:c>
      <x:c r="P91" s="17" t="str"/>
      <x:c r="Q91" s="17" t="str">
        <x:v>codex/m3-m3-p092</x:v>
      </x:c>
      <x:c r="R91" s="17" t="str"/>
      <x:c r="S91" s="17" t="str"/>
      <x:c r="T91" s="17" t="str"/>
      <x:c r="U91" s="17" t="str"/>
      <x:c r="V91" s="17" t="str">
        <x:v>YES</x:v>
      </x:c>
      <x:c r="W91" s="17" t="str">
        <x:v>按原子提交回退；迁移仅向前修复</x:v>
      </x:c>
      <x:c r="X91" s="17" t="str"/>
      <x:c r="Y91" s="17" t="str"/>
    </x:row>
    <x:row r="92" ht="23" customHeight="1">
      <x:c r="A92" s="17" t="str">
        <x:v>M3-P093</x:v>
      </x:c>
      <x:c r="B92" s="17" t="str">
        <x:v>91</x:v>
      </x:c>
      <x:c r="C92" s="17" t="str">
        <x:v>M3</x:v>
      </x:c>
      <x:c r="D92" s="17" t="str">
        <x:v>FINANCE_TRANSACTION</x:v>
      </x:c>
      <x:c r="E92" s="17" t="str">
        <x:v>P0</x:v>
      </x:c>
      <x:c r="F92" s="17" t="str">
        <x:v>微信支付与结果恢复</x:v>
      </x:c>
      <x:c r="G92" s="17" t="str">
        <x:v>§7用户小程序</x:v>
      </x:c>
      <x:c r="H92" s="17" t="str">
        <x:v>P0-093</x:v>
      </x:c>
      <x:c r="I92" s="17" t="str">
        <x:v>M3-000,M3-P092</x:v>
      </x:c>
      <x:c r="J92" s="17" t="str">
        <x:v>完成“微信支付与结果恢复”纵向切片：迁移/领域规则/API/DTO/错误码/对应页面/测试/证据；不实现阶段外功能。</x:v>
      </x:c>
      <x:c r="K92" s="17" t="str">
        <x:v>纯微信支付、福利卡全额和福利卡＋微信支付均只形成一次公司结账；结果页查询服务端微信支付真实状态，取消/失败/未知状态正确冻结或释放福利卡与库存，退出或断网后可恢复且不重复扣款。</x:v>
      </x:c>
      <x:c r="L92" s="17" t="str">
        <x:v>unit+api+p0-e2e+concurrency+idempotency+failure-recovery+wechat-device-manual</x:v>
      </x:c>
      <x:c r="M92" s="17" t="str">
        <x:v>NOT_STARTED</x:v>
      </x:c>
      <x:c r="N92" s="17" t="str">
        <x:v>NOT_EXECUTED</x:v>
      </x:c>
      <x:c r="O92" s="17" t="str">
        <x:v>UNASSIGNED</x:v>
      </x:c>
      <x:c r="P92" s="17" t="str"/>
      <x:c r="Q92" s="17" t="str">
        <x:v>codex/m3-m3-p093</x:v>
      </x:c>
      <x:c r="R92" s="17" t="str"/>
      <x:c r="S92" s="17" t="str"/>
      <x:c r="T92" s="17" t="str"/>
      <x:c r="U92" s="17" t="str"/>
      <x:c r="V92" s="17" t="str">
        <x:v>YES</x:v>
      </x:c>
      <x:c r="W92" s="17" t="str">
        <x:v>按原子提交回退；迁移仅向前修复</x:v>
      </x:c>
      <x:c r="X92" s="17" t="str"/>
      <x:c r="Y92" s="17" t="str"/>
    </x:row>
    <x:row r="93" ht="23" customHeight="1">
      <x:c r="A93" s="17" t="str">
        <x:v>M3-P094</x:v>
      </x:c>
      <x:c r="B93" s="17" t="str">
        <x:v>92</x:v>
      </x:c>
      <x:c r="C93" s="17" t="str">
        <x:v>M3</x:v>
      </x:c>
      <x:c r="D93" s="17" t="str">
        <x:v>UI_VERTICAL_SLICE</x:v>
      </x:c>
      <x:c r="E93" s="17" t="str">
        <x:v>P0</x:v>
      </x:c>
      <x:c r="F93" s="17" t="str">
        <x:v>个人订单界面</x:v>
      </x:c>
      <x:c r="G93" s="17" t="str">
        <x:v>§7用户小程序</x:v>
      </x:c>
      <x:c r="H93" s="17" t="str">
        <x:v>P0-094</x:v>
      </x:c>
      <x:c r="I93" s="17" t="str">
        <x:v>M3-000,M3-P093</x:v>
      </x:c>
      <x:c r="J93" s="17" t="str">
        <x:v>完成“个人订单界面”纵向切片：迁移/领域规则/API/DTO/错误码/对应页面/测试/证据；不实现阶段外功能。</x:v>
      </x:c>
      <x:c r="K93" s="17" t="str">
        <x:v>订单列表和详情同时表达一个公司主订单、一次支付、多个供应商履约子单、福利卡/微信支付结构、发票和售后；用户端不返回供应价、供应商应付、跑腿报酬或内部备注。</x:v>
      </x:c>
      <x:c r="L93" s="17" t="str">
        <x:v>unit+api+p0-e2e+wechat-device-manual</x:v>
      </x:c>
      <x:c r="M93" s="17" t="str">
        <x:v>NOT_STARTED</x:v>
      </x:c>
      <x:c r="N93" s="17" t="str">
        <x:v>NOT_EXECUTED</x:v>
      </x:c>
      <x:c r="O93" s="17" t="str">
        <x:v>UNASSIGNED</x:v>
      </x:c>
      <x:c r="P93" s="17" t="str"/>
      <x:c r="Q93" s="17" t="str">
        <x:v>codex/m3-m3-p094</x:v>
      </x:c>
      <x:c r="R93" s="17" t="str"/>
      <x:c r="S93" s="17" t="str"/>
      <x:c r="T93" s="17" t="str"/>
      <x:c r="U93" s="17" t="str"/>
      <x:c r="V93" s="17" t="str">
        <x:v>YES</x:v>
      </x:c>
      <x:c r="W93" s="17" t="str">
        <x:v>按原子提交回退；迁移仅向前修复</x:v>
      </x:c>
      <x:c r="X93" s="17" t="str"/>
      <x:c r="Y93" s="17" t="str"/>
    </x:row>
    <x:row r="94" ht="23" customHeight="1">
      <x:c r="A94" s="17" t="str">
        <x:v>M3-P096</x:v>
      </x:c>
      <x:c r="B94" s="17" t="str">
        <x:v>93</x:v>
      </x:c>
      <x:c r="C94" s="17" t="str">
        <x:v>M3</x:v>
      </x:c>
      <x:c r="D94" s="17" t="str">
        <x:v>FINANCE_TRANSACTION</x:v>
      </x:c>
      <x:c r="E94" s="17" t="str">
        <x:v>P0</x:v>
      </x:c>
      <x:c r="F94" s="17" t="str">
        <x:v>小程序售后退款</x:v>
      </x:c>
      <x:c r="G94" s="17" t="str">
        <x:v>§7用户小程序</x:v>
      </x:c>
      <x:c r="H94" s="17" t="str">
        <x:v>P0-096</x:v>
      </x:c>
      <x:c r="I94" s="17" t="str">
        <x:v>M3-000,M3-P094</x:v>
      </x:c>
      <x:c r="J94" s="17" t="str">
        <x:v>完成“小程序售后退款”纵向切片：迁移/领域规则/API/DTO/错误码/对应页面/测试/证据；不实现阶段外功能。</x:v>
      </x:c>
      <x:c r="K94" s="17" t="str">
        <x:v>支持按商品/子单申请、动态原因与凭证、补证、处理时间线、退货说明、客服申诉和部分退款；公司统一受理，福利卡与微信支付严格按原 OrderPaymentAllocation 退回。</x:v>
      </x:c>
      <x:c r="L94" s="17" t="str">
        <x:v>unit+api+p0-e2e+concurrency+idempotency+failure-recovery+wechat-device-manual</x:v>
      </x:c>
      <x:c r="M94" s="17" t="str">
        <x:v>NOT_STARTED</x:v>
      </x:c>
      <x:c r="N94" s="17" t="str">
        <x:v>NOT_EXECUTED</x:v>
      </x:c>
      <x:c r="O94" s="17" t="str">
        <x:v>UNASSIGNED</x:v>
      </x:c>
      <x:c r="P94" s="17" t="str"/>
      <x:c r="Q94" s="17" t="str">
        <x:v>codex/m3-m3-p096</x:v>
      </x:c>
      <x:c r="R94" s="17" t="str"/>
      <x:c r="S94" s="17" t="str"/>
      <x:c r="T94" s="17" t="str"/>
      <x:c r="U94" s="17" t="str"/>
      <x:c r="V94" s="17" t="str">
        <x:v>YES</x:v>
      </x:c>
      <x:c r="W94" s="17" t="str">
        <x:v>按原子提交回退；迁移仅向前修复</x:v>
      </x:c>
      <x:c r="X94" s="17" t="str"/>
      <x:c r="Y94" s="17" t="str"/>
    </x:row>
    <x:row r="95" ht="23" customHeight="1">
      <x:c r="A95" s="17" t="str">
        <x:v>M3-P097</x:v>
      </x:c>
      <x:c r="B95" s="17" t="str">
        <x:v>94</x:v>
      </x:c>
      <x:c r="C95" s="17" t="str">
        <x:v>M3</x:v>
      </x:c>
      <x:c r="D95" s="17" t="str">
        <x:v>LOGISTICS_STATE_MACHINE</x:v>
      </x:c>
      <x:c r="E95" s="17" t="str">
        <x:v>P0</x:v>
      </x:c>
      <x:c r="F95" s="17" t="str">
        <x:v>福利卡与个人中心</x:v>
      </x:c>
      <x:c r="G95" s="17" t="str">
        <x:v>§7用户小程序</x:v>
      </x:c>
      <x:c r="H95" s="17" t="str">
        <x:v>P0-097</x:v>
      </x:c>
      <x:c r="I95" s="17" t="str">
        <x:v>M3-000,M3-P085</x:v>
      </x:c>
      <x:c r="J95" s="17" t="str">
        <x:v>完成“福利卡与个人中心”纵向切片：迁移/领域规则/API/DTO/错误码/对应页面/测试/证据；不实现阶段外功能。</x:v>
      </x:c>
      <x:c r="K95" s="17" t="str">
        <x:v>福利卡账户/绑定/流水、地址、发票资料、消息、客服、协议、隐私授权、账号安全和注销入口完整；卡码兑换幂等、敏感字段脱敏、订阅拒绝不影响交易。</x:v>
      </x:c>
      <x:c r="L95" s="17" t="str">
        <x:v>unit+api+p0-e2e+concurrency+idempotency+failure-recovery+wechat-device-manual</x:v>
      </x:c>
      <x:c r="M95" s="17" t="str">
        <x:v>NOT_STARTED</x:v>
      </x:c>
      <x:c r="N95" s="17" t="str">
        <x:v>NOT_EXECUTED</x:v>
      </x:c>
      <x:c r="O95" s="17" t="str">
        <x:v>UNASSIGNED</x:v>
      </x:c>
      <x:c r="P95" s="17" t="str"/>
      <x:c r="Q95" s="17" t="str">
        <x:v>codex/m3-m3-p097</x:v>
      </x:c>
      <x:c r="R95" s="17" t="str"/>
      <x:c r="S95" s="17" t="str"/>
      <x:c r="T95" s="17" t="str"/>
      <x:c r="U95" s="17" t="str"/>
      <x:c r="V95" s="17" t="str">
        <x:v>YES</x:v>
      </x:c>
      <x:c r="W95" s="17" t="str">
        <x:v>按原子提交回退；迁移仅向前修复</x:v>
      </x:c>
      <x:c r="X95" s="17" t="str"/>
      <x:c r="Y95" s="17" t="str"/>
    </x:row>
    <x:row r="96" ht="23" customHeight="1">
      <x:c r="A96" s="17" t="str">
        <x:v>M3-P098</x:v>
      </x:c>
      <x:c r="B96" s="17" t="str">
        <x:v>95</x:v>
      </x:c>
      <x:c r="C96" s="17" t="str">
        <x:v>M3</x:v>
      </x:c>
      <x:c r="D96" s="17" t="str">
        <x:v>SECURITY</x:v>
      </x:c>
      <x:c r="E96" s="17" t="str">
        <x:v>P0</x:v>
      </x:c>
      <x:c r="F96" s="17" t="str">
        <x:v>小程序质量与安全</x:v>
      </x:c>
      <x:c r="G96" s="17" t="str">
        <x:v>§7用户小程序</x:v>
      </x:c>
      <x:c r="H96" s="17" t="str">
        <x:v>P0-098</x:v>
      </x:c>
      <x:c r="I96" s="17" t="str">
        <x:v>M3-000,M3-P084</x:v>
      </x:c>
      <x:c r="J96" s="17" t="str">
        <x:v>完成“小程序质量与安全”纵向切片：迁移/领域规则/API/DTO/错误码/对应页面/测试/证据；不实现阶段外功能。</x:v>
      </x:c>
      <x:c r="K96" s="17" t="str">
        <x:v>骨架、空态、失败、离线、登录失效、对象下架、支付未知、上传失败、分包、图片懒加载、弱网恢复、字号放大、对象级权限、分享安全和最小化埋点均通过验收；任何接口、日志、缓存或埋点均不泄露供应价及个人敏感数据。</x:v>
      </x:c>
      <x:c r="L96" s="17" t="str">
        <x:v>unit+api+p0-e2e+authorization+response-whitelist+wechat-device-manual</x:v>
      </x:c>
      <x:c r="M96" s="17" t="str">
        <x:v>NOT_STARTED</x:v>
      </x:c>
      <x:c r="N96" s="17" t="str">
        <x:v>NOT_EXECUTED</x:v>
      </x:c>
      <x:c r="O96" s="17" t="str">
        <x:v>UNASSIGNED</x:v>
      </x:c>
      <x:c r="P96" s="17" t="str"/>
      <x:c r="Q96" s="17" t="str">
        <x:v>codex/m3-m3-p098</x:v>
      </x:c>
      <x:c r="R96" s="17" t="str"/>
      <x:c r="S96" s="17" t="str"/>
      <x:c r="T96" s="17" t="str"/>
      <x:c r="U96" s="17" t="str"/>
      <x:c r="V96" s="17" t="str">
        <x:v>YES</x:v>
      </x:c>
      <x:c r="W96" s="17" t="str">
        <x:v>按原子提交回退；迁移仅向前修复</x:v>
      </x:c>
      <x:c r="X96" s="17" t="str"/>
      <x:c r="Y96" s="17" t="str"/>
    </x:row>
    <x:row r="97" ht="23" customHeight="1">
      <x:c r="A97" s="17" t="str">
        <x:v>M3-GATE</x:v>
      </x:c>
      <x:c r="B97" s="17" t="str">
        <x:v>96</x:v>
      </x:c>
      <x:c r="C97" s="17" t="str">
        <x:v>M3</x:v>
      </x:c>
      <x:c r="D97" s="17" t="str">
        <x:v>STAGE_GATE</x:v>
      </x:c>
      <x:c r="E97" s="17" t="str">
        <x:v>P0</x:v>
      </x:c>
      <x:c r="F97" s="17" t="str">
        <x:v>M3阶段门禁验收</x:v>
      </x:c>
      <x:c r="G97" s="17" t="str">
        <x:v>执行包§02</x:v>
      </x:c>
      <x:c r="H97" s="17" t="str"/>
      <x:c r="I97" s="17" t="str">
        <x:v>M3-000,M3-P020,M3-P022,M3-P023,M3-P024,M3-P025,M3-P026,M3-P027,M3-P028,M3-P029,M3-P030,M3-P031,M3-P051,M3-P052,M3-P053,M3-P054,M3-P055,M3-P056,M3-P057,M3-P058,M3-P059,M3-P062,M3-P073,M3-P074,M3-P075,M3-P076,M3-P077,M3-P078,M3-P079,M3-P080,M3-P081,M3-P083,M3-P084,M3-P085,M3-P086,M3-P087,M3-P088,M3-P089,M3-P090,M3-P091,M3-P092,M3-P093,M3-P094,M3-P096,M3-P097,M3-P098</x:v>
      </x:c>
      <x:c r="J97" s="17" t="str">
        <x:v>M3交接记录、P0证据、质量输出、风险和回滚材料</x:v>
      </x:c>
      <x:c r="K97" s="17" t="str">
        <x:v>45项主P0均有本地/CI证据；永久无个人充值、小程序契约适配、企业私有缓存/noindex边界已验证；微信真机、真实资金和企业对公流程按证据等级单独标记。</x:v>
      </x:c>
      <x:c r="L97" s="17" t="str">
        <x:v>pnpm-verify+ci+stage-specific-evidence+no-recharge+miniapp-adapter+portal-cache</x:v>
      </x:c>
      <x:c r="M97" s="17" t="str">
        <x:v>NOT_STARTED</x:v>
      </x:c>
      <x:c r="N97" s="17" t="str">
        <x:v>NOT_EXECUTED</x:v>
      </x:c>
      <x:c r="O97" s="17" t="str">
        <x:v>UNASSIGNED</x:v>
      </x:c>
      <x:c r="P97" s="17" t="str"/>
      <x:c r="Q97" s="17" t="str">
        <x:v>codex/m3-m3</x:v>
      </x:c>
      <x:c r="R97" s="17" t="str"/>
      <x:c r="S97" s="17" t="str"/>
      <x:c r="T97" s="17" t="str"/>
      <x:c r="U97" s="17" t="str"/>
      <x:c r="V97" s="17" t="str">
        <x:v>YES</x:v>
      </x:c>
      <x:c r="W97" s="17" t="str">
        <x:v>按原子提交回退；迁移仅向前修复</x:v>
      </x:c>
      <x:c r="X97" s="17" t="str"/>
      <x:c r="Y97" s="17" t="str"/>
    </x:row>
    <x:row r="98" ht="23" customHeight="1">
      <x:c r="A98" s="17" t="str">
        <x:v>M4-000</x:v>
      </x:c>
      <x:c r="B98" s="17" t="str">
        <x:v>97</x:v>
      </x:c>
      <x:c r="C98" s="17" t="str">
        <x:v>M4</x:v>
      </x:c>
      <x:c r="D98" s="17" t="str">
        <x:v>CONTRACT_SLICE_PLAN</x:v>
      </x:c>
      <x:c r="E98" s="17" t="str">
        <x:v>P0</x:v>
      </x:c>
      <x:c r="F98" s="17" t="str">
        <x:v>冻结M4字段、状态机、权限与契约切片</x:v>
      </x:c>
      <x:c r="G98" s="17" t="str">
        <x:v>执行包字段/状态机/权限/API台账</x:v>
      </x:c>
      <x:c r="H98" s="17" t="str"/>
      <x:c r="I98" s="17" t="str">
        <x:v>M3-GATE</x:v>
      </x:c>
      <x:c r="J98" s="17" t="str">
        <x:v>把M4涉及的字段、状态、DTO、错误码、权限、P0和失败测试细化为可编码契约</x:v>
      </x:c>
      <x:c r="K98" s="17" t="str">
        <x:v>所有本阶段开发任务可追踪到冻结契约；未决业务决定进入人工事项，不在代码中猜测。</x:v>
      </x:c>
      <x:c r="L98" s="17" t="str">
        <x:v>contract-review+negative-test-plan</x:v>
      </x:c>
      <x:c r="M98" s="17" t="str">
        <x:v>NOT_STARTED</x:v>
      </x:c>
      <x:c r="N98" s="17" t="str">
        <x:v>NOT_EXECUTED</x:v>
      </x:c>
      <x:c r="O98" s="17" t="str">
        <x:v>UNASSIGNED</x:v>
      </x:c>
      <x:c r="P98" s="17" t="str"/>
      <x:c r="Q98" s="17" t="str">
        <x:v>codex/m4-m4</x:v>
      </x:c>
      <x:c r="R98" s="17" t="str"/>
      <x:c r="S98" s="17" t="str"/>
      <x:c r="T98" s="17" t="str"/>
      <x:c r="U98" s="17" t="str"/>
      <x:c r="V98" s="17" t="str">
        <x:v>NO</x:v>
      </x:c>
      <x:c r="W98" s="17" t="str">
        <x:v>按原子提交回退；迁移仅向前修复</x:v>
      </x:c>
      <x:c r="X98" s="17" t="str"/>
      <x:c r="Y98" s="17" t="str"/>
    </x:row>
    <x:row r="99" ht="23" customHeight="1">
      <x:c r="A99" s="17" t="str">
        <x:v>M4-P032</x:v>
      </x:c>
      <x:c r="B99" s="17" t="str">
        <x:v>98</x:v>
      </x:c>
      <x:c r="C99" s="17" t="str">
        <x:v>M4</x:v>
      </x:c>
      <x:c r="D99" s="17" t="str">
        <x:v>LOGISTICS_STATE_MACHINE</x:v>
      </x:c>
      <x:c r="E99" s="17" t="str">
        <x:v>P0</x:v>
      </x:c>
      <x:c r="F99" s="17" t="str">
        <x:v>个人抢单大厅</x:v>
      </x:c>
      <x:c r="G99" s="17" t="str">
        <x:v>§10个人跑腿与企业统一配送</x:v>
      </x:c>
      <x:c r="H99" s="17" t="str">
        <x:v>P0-032</x:v>
      </x:c>
      <x:c r="I99" s="17" t="str">
        <x:v>M4-000</x:v>
      </x:c>
      <x:c r="J99" s="17" t="str">
        <x:v>完成“个人抢单大厅”纵向切片：迁移/领域规则/API/DTO/错误码/对应页面/测试/证据；不实现阶段外功能。</x:v>
      </x:c>
      <x:c r="K99" s="17" t="str">
        <x:v>每个个人供应商履约子单幂等生成一个 DeliveryTask，对已启用跑腿员可见并可乐观锁抢单；同一个人主订单可形成多个任务，企业采购子单始终不可见。</x:v>
      </x:c>
      <x:c r="L99" s="17" t="str">
        <x:v>unit+api+p0-e2e+concurrency+idempotency+failure-recovery</x:v>
      </x:c>
      <x:c r="M99" s="17" t="str">
        <x:v>NOT_STARTED</x:v>
      </x:c>
      <x:c r="N99" s="17" t="str">
        <x:v>NOT_EXECUTED</x:v>
      </x:c>
      <x:c r="O99" s="17" t="str">
        <x:v>UNASSIGNED</x:v>
      </x:c>
      <x:c r="P99" s="17" t="str"/>
      <x:c r="Q99" s="17" t="str">
        <x:v>codex/m4-m4-p032</x:v>
      </x:c>
      <x:c r="R99" s="17" t="str"/>
      <x:c r="S99" s="17" t="str"/>
      <x:c r="T99" s="17" t="str"/>
      <x:c r="U99" s="17" t="str"/>
      <x:c r="V99" s="17" t="str">
        <x:v>NO</x:v>
      </x:c>
      <x:c r="W99" s="17" t="str">
        <x:v>按原子提交回退；迁移仅向前修复</x:v>
      </x:c>
      <x:c r="X99" s="17" t="str"/>
      <x:c r="Y99" s="17" t="str"/>
    </x:row>
    <x:row r="100" ht="23" customHeight="1">
      <x:c r="A100" s="17" t="str">
        <x:v>M4-P033</x:v>
      </x:c>
      <x:c r="B100" s="17" t="str">
        <x:v>99</x:v>
      </x:c>
      <x:c r="C100" s="17" t="str">
        <x:v>M4</x:v>
      </x:c>
      <x:c r="D100" s="17" t="str">
        <x:v>LOGISTICS_STATE_MACHINE</x:v>
      </x:c>
      <x:c r="E100" s="17" t="str">
        <x:v>P0</x:v>
      </x:c>
      <x:c r="F100" s="17" t="str">
        <x:v>个人物流节点</x:v>
      </x:c>
      <x:c r="G100" s="17" t="str">
        <x:v>§10个人跑腿与企业统一配送</x:v>
      </x:c>
      <x:c r="H100" s="17" t="str">
        <x:v>P0-033</x:v>
      </x:c>
      <x:c r="I100" s="17" t="str">
        <x:v>M4-000,M4-P032</x:v>
      </x:c>
      <x:c r="J100" s="17" t="str">
        <x:v>完成“个人物流节点”纵向切片：迁移/领域规则/API/DTO/错误码/对应页面/测试/证据；不实现阶段外功能。</x:v>
      </x:c>
      <x:c r="K100" s="17" t="str">
        <x:v>跑腿员按顺序点击到店、取货、配送、到达和送达，不能越级。</x:v>
      </x:c>
      <x:c r="L100" s="17" t="str">
        <x:v>unit+api+p0-e2e+concurrency+idempotency+failure-recovery</x:v>
      </x:c>
      <x:c r="M100" s="17" t="str">
        <x:v>NOT_STARTED</x:v>
      </x:c>
      <x:c r="N100" s="17" t="str">
        <x:v>NOT_EXECUTED</x:v>
      </x:c>
      <x:c r="O100" s="17" t="str">
        <x:v>UNASSIGNED</x:v>
      </x:c>
      <x:c r="P100" s="17" t="str"/>
      <x:c r="Q100" s="17" t="str">
        <x:v>codex/m4-m4-p033</x:v>
      </x:c>
      <x:c r="R100" s="17" t="str"/>
      <x:c r="S100" s="17" t="str"/>
      <x:c r="T100" s="17" t="str"/>
      <x:c r="U100" s="17" t="str"/>
      <x:c r="V100" s="17" t="str">
        <x:v>NO</x:v>
      </x:c>
      <x:c r="W100" s="17" t="str">
        <x:v>按原子提交回退；迁移仅向前修复</x:v>
      </x:c>
      <x:c r="X100" s="17" t="str"/>
      <x:c r="Y100" s="17" t="str"/>
    </x:row>
    <x:row r="101" ht="23" customHeight="1">
      <x:c r="A101" s="17" t="str">
        <x:v>M4-P034</x:v>
      </x:c>
      <x:c r="B101" s="17" t="str">
        <x:v>100</x:v>
      </x:c>
      <x:c r="C101" s="17" t="str">
        <x:v>M4</x:v>
      </x:c>
      <x:c r="D101" s="17" t="str">
        <x:v>LOGISTICS_STATE_MACHINE</x:v>
      </x:c>
      <x:c r="E101" s="17" t="str">
        <x:v>P0</x:v>
      </x:c>
      <x:c r="F101" s="17" t="str">
        <x:v>个人取送双导航</x:v>
      </x:c>
      <x:c r="G101" s="17" t="str">
        <x:v>§10个人跑腿与企业统一配送</x:v>
      </x:c>
      <x:c r="H101" s="17" t="str">
        <x:v>P0-034</x:v>
      </x:c>
      <x:c r="I101" s="17" t="str">
        <x:v>M4-000,M4-P033</x:v>
      </x:c>
      <x:c r="J101" s="17" t="str">
        <x:v>完成“个人取送双导航”纵向切片：迁移/领域规则/API/DTO/错误码/对应页面/测试/证据；不实现阶段外功能。</x:v>
      </x:c>
      <x:c r="K101" s="17" t="str">
        <x:v>个人任务必须同时提供供应商取货点和用户收货目的地；取货完成前拉起本人手机地图导航到取货点，取货完成后导航到目的地。两个地点导航失败均可复制完整地址，地图不回写业务状态。</x:v>
      </x:c>
      <x:c r="L101" s="17" t="str">
        <x:v>unit+api+p0-e2e+concurrency+idempotency+failure-recovery</x:v>
      </x:c>
      <x:c r="M101" s="17" t="str">
        <x:v>NOT_STARTED</x:v>
      </x:c>
      <x:c r="N101" s="17" t="str">
        <x:v>NOT_EXECUTED</x:v>
      </x:c>
      <x:c r="O101" s="17" t="str">
        <x:v>UNASSIGNED</x:v>
      </x:c>
      <x:c r="P101" s="17" t="str"/>
      <x:c r="Q101" s="17" t="str">
        <x:v>codex/m4-m4-p034</x:v>
      </x:c>
      <x:c r="R101" s="17" t="str"/>
      <x:c r="S101" s="17" t="str"/>
      <x:c r="T101" s="17" t="str"/>
      <x:c r="U101" s="17" t="str"/>
      <x:c r="V101" s="17" t="str">
        <x:v>NO</x:v>
      </x:c>
      <x:c r="W101" s="17" t="str">
        <x:v>按原子提交回退；迁移仅向前修复</x:v>
      </x:c>
      <x:c r="X101" s="17" t="str"/>
      <x:c r="Y101" s="17" t="str"/>
    </x:row>
    <x:row r="102" ht="23" customHeight="1">
      <x:c r="A102" s="17" t="str">
        <x:v>M4-P035</x:v>
      </x:c>
      <x:c r="B102" s="17" t="str">
        <x:v>101</x:v>
      </x:c>
      <x:c r="C102" s="17" t="str">
        <x:v>M4</x:v>
      </x:c>
      <x:c r="D102" s="17" t="str">
        <x:v>LOGISTICS_STATE_MACHINE</x:v>
      </x:c>
      <x:c r="E102" s="17" t="str">
        <x:v>P0</x:v>
      </x:c>
      <x:c r="F102" s="17" t="str">
        <x:v>个人物流简化</x:v>
      </x:c>
      <x:c r="G102" s="17" t="str">
        <x:v>§10个人跑腿与企业统一配送</x:v>
      </x:c>
      <x:c r="H102" s="17" t="str">
        <x:v>P0-035</x:v>
      </x:c>
      <x:c r="I102" s="17" t="str">
        <x:v>M4-000,M4-P033</x:v>
      </x:c>
      <x:c r="J102" s="17" t="str">
        <x:v>完成“个人物流简化”纵向切片：迁移/领域规则/API/DTO/错误码/对应页面/测试/证据；不实现阶段外功能。</x:v>
      </x:c>
      <x:c r="K102" s="17" t="str">
        <x:v>个人跑腿无智能调度、路线优化和按地图实际距离结算逻辑。</x:v>
      </x:c>
      <x:c r="L102" s="17" t="str">
        <x:v>unit+api+p0-e2e+concurrency+idempotency+failure-recovery</x:v>
      </x:c>
      <x:c r="M102" s="17" t="str">
        <x:v>NOT_STARTED</x:v>
      </x:c>
      <x:c r="N102" s="17" t="str">
        <x:v>NOT_EXECUTED</x:v>
      </x:c>
      <x:c r="O102" s="17" t="str">
        <x:v>UNASSIGNED</x:v>
      </x:c>
      <x:c r="P102" s="17" t="str"/>
      <x:c r="Q102" s="17" t="str">
        <x:v>codex/m4-m4-p035</x:v>
      </x:c>
      <x:c r="R102" s="17" t="str"/>
      <x:c r="S102" s="17" t="str"/>
      <x:c r="T102" s="17" t="str"/>
      <x:c r="U102" s="17" t="str"/>
      <x:c r="V102" s="17" t="str">
        <x:v>NO</x:v>
      </x:c>
      <x:c r="W102" s="17" t="str">
        <x:v>按原子提交回退；迁移仅向前修复</x:v>
      </x:c>
      <x:c r="X102" s="17" t="str"/>
      <x:c r="Y102" s="17" t="str"/>
    </x:row>
    <x:row r="103" ht="23" customHeight="1">
      <x:c r="A103" s="17" t="str">
        <x:v>M4-P036</x:v>
      </x:c>
      <x:c r="B103" s="17" t="str">
        <x:v>102</x:v>
      </x:c>
      <x:c r="C103" s="17" t="str">
        <x:v>M4</x:v>
      </x:c>
      <x:c r="D103" s="17" t="str">
        <x:v>LOGISTICS_STATE_MACHINE</x:v>
      </x:c>
      <x:c r="E103" s="17" t="str">
        <x:v>P0</x:v>
      </x:c>
      <x:c r="F103" s="17" t="str">
        <x:v>异常物流</x:v>
      </x:c>
      <x:c r="G103" s="17" t="str">
        <x:v>§10个人跑腿与企业统一配送</x:v>
      </x:c>
      <x:c r="H103" s="17" t="str">
        <x:v>P0-036</x:v>
      </x:c>
      <x:c r="I103" s="17" t="str">
        <x:v>M4-000,M4-P033</x:v>
      </x:c>
      <x:c r="J103" s="17" t="str">
        <x:v>完成“异常物流”纵向切片：迁移/领域规则/API/DTO/错误码/对应页面/测试/证据；不实现阶段外功能。</x:v>
      </x:c>
      <x:c r="K103" s="17" t="str">
        <x:v>个人跑腿异常和企业平台汇总/配送异常分别上报，均保留责任、数量、照片和处理结果。</x:v>
      </x:c>
      <x:c r="L103" s="17" t="str">
        <x:v>unit+api+p0-e2e+concurrency+idempotency+failure-recovery</x:v>
      </x:c>
      <x:c r="M103" s="17" t="str">
        <x:v>NOT_STARTED</x:v>
      </x:c>
      <x:c r="N103" s="17" t="str">
        <x:v>NOT_EXECUTED</x:v>
      </x:c>
      <x:c r="O103" s="17" t="str">
        <x:v>UNASSIGNED</x:v>
      </x:c>
      <x:c r="P103" s="17" t="str"/>
      <x:c r="Q103" s="17" t="str">
        <x:v>codex/m4-m4-p036</x:v>
      </x:c>
      <x:c r="R103" s="17" t="str"/>
      <x:c r="S103" s="17" t="str"/>
      <x:c r="T103" s="17" t="str"/>
      <x:c r="U103" s="17" t="str"/>
      <x:c r="V103" s="17" t="str">
        <x:v>NO</x:v>
      </x:c>
      <x:c r="W103" s="17" t="str">
        <x:v>按原子提交回退；迁移仅向前修复</x:v>
      </x:c>
      <x:c r="X103" s="17" t="str"/>
      <x:c r="Y103" s="17" t="str"/>
    </x:row>
    <x:row r="104" ht="23" customHeight="1">
      <x:c r="A104" s="17" t="str">
        <x:v>M4-P037</x:v>
      </x:c>
      <x:c r="B104" s="17" t="str">
        <x:v>103</x:v>
      </x:c>
      <x:c r="C104" s="17" t="str">
        <x:v>M4</x:v>
      </x:c>
      <x:c r="D104" s="17" t="str">
        <x:v>LOGISTICS_STATE_MACHINE</x:v>
      </x:c>
      <x:c r="E104" s="17" t="str">
        <x:v>P0</x:v>
      </x:c>
      <x:c r="F104" s="17" t="str">
        <x:v>个人与企业收货</x:v>
      </x:c>
      <x:c r="G104" s="17" t="str">
        <x:v>§10个人跑腿与企业统一配送</x:v>
      </x:c>
      <x:c r="H104" s="17" t="str">
        <x:v>P0-037</x:v>
      </x:c>
      <x:c r="I104" s="17" t="str">
        <x:v>M4-000,M4-P033</x:v>
      </x:c>
      <x:c r="J104" s="17" t="str">
        <x:v>完成“个人与企业收货”纵向切片：迁移/领域规则/API/DTO/错误码/对应页面/测试/证据；不实现阶段外功能。</x:v>
      </x:c>
      <x:c r="K104" s="17" t="str">
        <x:v>个人用户或企业指定收货人可确认收货，不强制扫码；异常场景可要求照片或客服复核。</x:v>
      </x:c>
      <x:c r="L104" s="17" t="str">
        <x:v>unit+api+p0-e2e+concurrency+idempotency+failure-recovery</x:v>
      </x:c>
      <x:c r="M104" s="17" t="str">
        <x:v>NOT_STARTED</x:v>
      </x:c>
      <x:c r="N104" s="17" t="str">
        <x:v>NOT_EXECUTED</x:v>
      </x:c>
      <x:c r="O104" s="17" t="str">
        <x:v>UNASSIGNED</x:v>
      </x:c>
      <x:c r="P104" s="17" t="str"/>
      <x:c r="Q104" s="17" t="str">
        <x:v>codex/m4-m4-p037</x:v>
      </x:c>
      <x:c r="R104" s="17" t="str"/>
      <x:c r="S104" s="17" t="str"/>
      <x:c r="T104" s="17" t="str"/>
      <x:c r="U104" s="17" t="str"/>
      <x:c r="V104" s="17" t="str">
        <x:v>NO</x:v>
      </x:c>
      <x:c r="W104" s="17" t="str">
        <x:v>按原子提交回退；迁移仅向前修复</x:v>
      </x:c>
      <x:c r="X104" s="17" t="str"/>
      <x:c r="Y104" s="17" t="str"/>
    </x:row>
    <x:row r="105" ht="23" customHeight="1">
      <x:c r="A105" s="17" t="str">
        <x:v>M4-P064</x:v>
      </x:c>
      <x:c r="B105" s="17" t="str">
        <x:v>104</x:v>
      </x:c>
      <x:c r="C105" s="17" t="str">
        <x:v>M4</x:v>
      </x:c>
      <x:c r="D105" s="17" t="str">
        <x:v>LOGISTICS_STATE_MACHINE</x:v>
      </x:c>
      <x:c r="E105" s="17" t="str">
        <x:v>P0</x:v>
      </x:c>
      <x:c r="F105" s="17" t="str">
        <x:v>企业平台统一配送</x:v>
      </x:c>
      <x:c r="G105" s="17" t="str">
        <x:v>§10个人跑腿与企业统一配送</x:v>
      </x:c>
      <x:c r="H105" s="17" t="str">
        <x:v>P0-064</x:v>
      </x:c>
      <x:c r="I105" s="17" t="str">
        <x:v>M4-000</x:v>
      </x:c>
      <x:c r="J105" s="17" t="str">
        <x:v>完成“企业平台统一配送”纵向切片：迁移/领域规则/API/DTO/错误码/对应页面/测试/证据；不实现阶段外功能。</x:v>
      </x:c>
      <x:c r="K105" s="17" t="str">
        <x:v>企业订单生成 EnterpriseDeliveryOrder，由公司物流工作台安排车辆/司机或承运商；不生成 DeliveryTask，不出现在跑腿大厅。</x:v>
      </x:c>
      <x:c r="L105" s="17" t="str">
        <x:v>unit+api+p0-e2e+concurrency+idempotency+failure-recovery</x:v>
      </x:c>
      <x:c r="M105" s="17" t="str">
        <x:v>NOT_STARTED</x:v>
      </x:c>
      <x:c r="N105" s="17" t="str">
        <x:v>NOT_EXECUTED</x:v>
      </x:c>
      <x:c r="O105" s="17" t="str">
        <x:v>UNASSIGNED</x:v>
      </x:c>
      <x:c r="P105" s="17" t="str"/>
      <x:c r="Q105" s="17" t="str">
        <x:v>codex/m4-m4-p064</x:v>
      </x:c>
      <x:c r="R105" s="17" t="str"/>
      <x:c r="S105" s="17" t="str"/>
      <x:c r="T105" s="17" t="str"/>
      <x:c r="U105" s="17" t="str"/>
      <x:c r="V105" s="17" t="str">
        <x:v>YES</x:v>
      </x:c>
      <x:c r="W105" s="17" t="str">
        <x:v>按原子提交回退；迁移仅向前修复</x:v>
      </x:c>
      <x:c r="X105" s="17" t="str"/>
      <x:c r="Y105" s="17" t="str"/>
    </x:row>
    <x:row r="106" ht="23" customHeight="1">
      <x:c r="A106" s="17" t="str">
        <x:v>M4-P095</x:v>
      </x:c>
      <x:c r="B106" s="17" t="str">
        <x:v>105</x:v>
      </x:c>
      <x:c r="C106" s="17" t="str">
        <x:v>M4</x:v>
      </x:c>
      <x:c r="D106" s="17" t="str">
        <x:v>LOGISTICS_STATE_MACHINE</x:v>
      </x:c>
      <x:c r="E106" s="17" t="str">
        <x:v>P0</x:v>
      </x:c>
      <x:c r="F106" s="17" t="str">
        <x:v>个人多配送卡</x:v>
      </x:c>
      <x:c r="G106" s="17" t="str">
        <x:v>§10个人跑腿与企业统一配送</x:v>
      </x:c>
      <x:c r="H106" s="17" t="str">
        <x:v>P0-095</x:v>
      </x:c>
      <x:c r="I106" s="17" t="str">
        <x:v>M4-000</x:v>
      </x:c>
      <x:c r="J106" s="17" t="str">
        <x:v>完成“个人多配送卡”纵向切片：迁移/领域规则/API/DTO/错误码/对应页面/测试/证据；不实现阶段外功能。</x:v>
      </x:c>
      <x:c r="K106" s="17" t="str">
        <x:v>同一主订单的每个个人供应商子单可展示独立跑腿配送卡与顺序节点，支持多个跑腿员、分批送达、异常和分项收货；单个子单送达不误标整单送达。</x:v>
      </x:c>
      <x:c r="L106" s="17" t="str">
        <x:v>unit+api+p0-e2e+concurrency+idempotency+failure-recovery+wechat-device-manual</x:v>
      </x:c>
      <x:c r="M106" s="17" t="str">
        <x:v>NOT_STARTED</x:v>
      </x:c>
      <x:c r="N106" s="17" t="str">
        <x:v>NOT_EXECUTED</x:v>
      </x:c>
      <x:c r="O106" s="17" t="str">
        <x:v>UNASSIGNED</x:v>
      </x:c>
      <x:c r="P106" s="17" t="str"/>
      <x:c r="Q106" s="17" t="str">
        <x:v>codex/m4-m4-p095</x:v>
      </x:c>
      <x:c r="R106" s="17" t="str"/>
      <x:c r="S106" s="17" t="str"/>
      <x:c r="T106" s="17" t="str"/>
      <x:c r="U106" s="17" t="str"/>
      <x:c r="V106" s="17" t="str">
        <x:v>YES</x:v>
      </x:c>
      <x:c r="W106" s="17" t="str">
        <x:v>按原子提交回退；迁移仅向前修复</x:v>
      </x:c>
      <x:c r="X106" s="17" t="str"/>
      <x:c r="Y106" s="17" t="str"/>
    </x:row>
    <x:row r="107" ht="23" customHeight="1">
      <x:c r="A107" s="17" t="str">
        <x:v>M4-P099</x:v>
      </x:c>
      <x:c r="B107" s="17" t="str">
        <x:v>106</x:v>
      </x:c>
      <x:c r="C107" s="17" t="str">
        <x:v>M4</x:v>
      </x:c>
      <x:c r="D107" s="17" t="str">
        <x:v>LOGISTICS_STATE_MACHINE</x:v>
      </x:c>
      <x:c r="E107" s="17" t="str">
        <x:v>P0</x:v>
      </x:c>
      <x:c r="F107" s="17" t="str">
        <x:v>双配送链路隔离</x:v>
      </x:c>
      <x:c r="G107" s="17" t="str">
        <x:v>§10个人跑腿与企业统一配送</x:v>
      </x:c>
      <x:c r="H107" s="17" t="str">
        <x:v>P0-099</x:v>
      </x:c>
      <x:c r="I107" s="17" t="str">
        <x:v>M4-000</x:v>
      </x:c>
      <x:c r="J107" s="17" t="str">
        <x:v>完成“双配送链路隔离”纵向切片：迁移/领域规则/API/DTO/错误码/对应页面/测试/证据；不实现阶段外功能。</x:v>
      </x:c>
      <x:c r="K107" s="17" t="str">
        <x:v>个人零售子单只能生成 RETAIL_RUNNER DeliveryTask 并进入跑腿小程序；企业采购子单只能汇总进入 EnterpriseDeliveryOrder。两套接口、会话、通知、状态和数据权限互相拒绝。</x:v>
      </x:c>
      <x:c r="L107" s="17" t="str">
        <x:v>unit+api+p0-e2e+concurrency+idempotency+failure-recovery</x:v>
      </x:c>
      <x:c r="M107" s="17" t="str">
        <x:v>NOT_STARTED</x:v>
      </x:c>
      <x:c r="N107" s="17" t="str">
        <x:v>NOT_EXECUTED</x:v>
      </x:c>
      <x:c r="O107" s="17" t="str">
        <x:v>UNASSIGNED</x:v>
      </x:c>
      <x:c r="P107" s="17" t="str"/>
      <x:c r="Q107" s="17" t="str">
        <x:v>codex/m4-m4-p099</x:v>
      </x:c>
      <x:c r="R107" s="17" t="str"/>
      <x:c r="S107" s="17" t="str"/>
      <x:c r="T107" s="17" t="str"/>
      <x:c r="U107" s="17" t="str"/>
      <x:c r="V107" s="17" t="str">
        <x:v>NO</x:v>
      </x:c>
      <x:c r="W107" s="17" t="str">
        <x:v>按原子提交回退；迁移仅向前修复</x:v>
      </x:c>
      <x:c r="X107" s="17" t="str"/>
      <x:c r="Y107" s="17" t="str"/>
    </x:row>
    <x:row r="108" ht="23" customHeight="1">
      <x:c r="A108" s="17" t="str">
        <x:v>M4-P100</x:v>
      </x:c>
      <x:c r="B108" s="17" t="str">
        <x:v>107</x:v>
      </x:c>
      <x:c r="C108" s="17" t="str">
        <x:v>M4</x:v>
      </x:c>
      <x:c r="D108" s="17" t="str">
        <x:v>LOGISTICS_STATE_MACHINE</x:v>
      </x:c>
      <x:c r="E108" s="17" t="str">
        <x:v>P0</x:v>
      </x:c>
      <x:c r="F108" s="17" t="str">
        <x:v>跑腿员注册与审核</x:v>
      </x:c>
      <x:c r="G108" s="17" t="str">
        <x:v>§10个人跑腿与企业统一配送</x:v>
      </x:c>
      <x:c r="H108" s="17" t="str">
        <x:v>P0-100</x:v>
      </x:c>
      <x:c r="I108" s="17" t="str">
        <x:v>M4-000,M4-P099</x:v>
      </x:c>
      <x:c r="J108" s="17" t="str">
        <x:v>完成“跑腿员注册与审核”纵向切片：迁移/领域规则/API/DTO/错误码/对应页面/测试/证据；不实现阶段外功能。</x:v>
      </x:c>
      <x:c r="K108" s="17" t="str">
        <x:v>手机号验证、规则/隐私说明、申请资料、服务区域、草稿/待审/补正/通过/驳回及申诉页面完整；审核通过并启用前不能上线、查看大厅或抢单。</x:v>
      </x:c>
      <x:c r="L108" s="17" t="str">
        <x:v>unit+api+p0-e2e+concurrency+idempotency+failure-recovery+wechat-device-manual</x:v>
      </x:c>
      <x:c r="M108" s="17" t="str">
        <x:v>NOT_STARTED</x:v>
      </x:c>
      <x:c r="N108" s="17" t="str">
        <x:v>NOT_EXECUTED</x:v>
      </x:c>
      <x:c r="O108" s="17" t="str">
        <x:v>UNASSIGNED</x:v>
      </x:c>
      <x:c r="P108" s="17" t="str"/>
      <x:c r="Q108" s="17" t="str">
        <x:v>codex/m4-m4-p100</x:v>
      </x:c>
      <x:c r="R108" s="17" t="str"/>
      <x:c r="S108" s="17" t="str"/>
      <x:c r="T108" s="17" t="str"/>
      <x:c r="U108" s="17" t="str"/>
      <x:c r="V108" s="17" t="str">
        <x:v>YES</x:v>
      </x:c>
      <x:c r="W108" s="17" t="str">
        <x:v>按原子提交回退；迁移仅向前修复</x:v>
      </x:c>
      <x:c r="X108" s="17" t="str"/>
      <x:c r="Y108" s="17" t="str"/>
    </x:row>
    <x:row r="109" ht="23" customHeight="1">
      <x:c r="A109" s="17" t="str">
        <x:v>M4-P101</x:v>
      </x:c>
      <x:c r="B109" s="17" t="str">
        <x:v>108</x:v>
      </x:c>
      <x:c r="C109" s="17" t="str">
        <x:v>M4</x:v>
      </x:c>
      <x:c r="D109" s="17" t="str">
        <x:v>LOGISTICS_STATE_MACHINE</x:v>
      </x:c>
      <x:c r="E109" s="17" t="str">
        <x:v>P0</x:v>
      </x:c>
      <x:c r="F109" s="17" t="str">
        <x:v>跑腿小程序独立入口</x:v>
      </x:c>
      <x:c r="G109" s="17" t="str">
        <x:v>§10个人跑腿与企业统一配送</x:v>
      </x:c>
      <x:c r="H109" s="17" t="str">
        <x:v>P0-101</x:v>
      </x:c>
      <x:c r="I109" s="17" t="str">
        <x:v>M4-000,M4-P100</x:v>
      </x:c>
      <x:c r="J109" s="17" t="str">
        <x:v>完成“跑腿小程序独立入口”纵向切片：迁移/领域规则/API/DTO/错误码/对应页面/测试/证据；不实现阶段外功能。</x:v>
      </x:c>
      <x:c r="K109" s="17" t="str">
        <x:v>跑腿应用独立于用户小程序，提供登录申请、配送首页、大厅、我的任务、任务详情、异常、记录和我的页面，以及大厅/任务/记录/我的四项 TabBar；不复用其他端会话。</x:v>
      </x:c>
      <x:c r="L109" s="17" t="str">
        <x:v>unit+api+p0-e2e+concurrency+idempotency+failure-recovery+wechat-device-manual</x:v>
      </x:c>
      <x:c r="M109" s="17" t="str">
        <x:v>NOT_STARTED</x:v>
      </x:c>
      <x:c r="N109" s="17" t="str">
        <x:v>NOT_EXECUTED</x:v>
      </x:c>
      <x:c r="O109" s="17" t="str">
        <x:v>UNASSIGNED</x:v>
      </x:c>
      <x:c r="P109" s="17" t="str"/>
      <x:c r="Q109" s="17" t="str">
        <x:v>codex/m4-m4-p101</x:v>
      </x:c>
      <x:c r="R109" s="17" t="str"/>
      <x:c r="S109" s="17" t="str"/>
      <x:c r="T109" s="17" t="str"/>
      <x:c r="U109" s="17" t="str"/>
      <x:c r="V109" s="17" t="str">
        <x:v>YES</x:v>
      </x:c>
      <x:c r="W109" s="17" t="str">
        <x:v>按原子提交回退；迁移仅向前修复</x:v>
      </x:c>
      <x:c r="X109" s="17" t="str"/>
      <x:c r="Y109" s="17" t="str"/>
    </x:row>
    <x:row r="110" ht="23" customHeight="1">
      <x:c r="A110" s="17" t="str">
        <x:v>M4-P102</x:v>
      </x:c>
      <x:c r="B110" s="17" t="str">
        <x:v>109</x:v>
      </x:c>
      <x:c r="C110" s="17" t="str">
        <x:v>M4</x:v>
      </x:c>
      <x:c r="D110" s="17" t="str">
        <x:v>LOGISTICS_STATE_MACHINE</x:v>
      </x:c>
      <x:c r="E110" s="17" t="str">
        <x:v>P0</x:v>
      </x:c>
      <x:c r="F110" s="17" t="str">
        <x:v>个人任务幂等生成与投放</x:v>
      </x:c>
      <x:c r="G110" s="17" t="str">
        <x:v>§10个人跑腿与企业统一配送</x:v>
      </x:c>
      <x:c r="H110" s="17" t="str">
        <x:v>P0-102</x:v>
      </x:c>
      <x:c r="I110" s="17" t="str">
        <x:v>M4-000,M4-P099</x:v>
      </x:c>
      <x:c r="J110" s="17" t="str">
        <x:v>完成“个人任务幂等生成与投放”纵向切片：迁移/领域规则/API/DTO/错误码/对应页面/测试/证据；不实现阶段外功能。</x:v>
      </x:c>
      <x:c r="K110" s="17" t="str">
        <x:v>个人订单支付成功后按供应商子单幂等创建一个 DeliveryTask，供应商确认可取且子单有效后才进入 PENDING_HALL；重复回调不重复创建，取消/退款锁定任务不可抢。</x:v>
      </x:c>
      <x:c r="L110" s="17" t="str">
        <x:v>unit+api+p0-e2e+concurrency+idempotency+failure-recovery+wechat-device-manual</x:v>
      </x:c>
      <x:c r="M110" s="17" t="str">
        <x:v>NOT_STARTED</x:v>
      </x:c>
      <x:c r="N110" s="17" t="str">
        <x:v>NOT_EXECUTED</x:v>
      </x:c>
      <x:c r="O110" s="17" t="str">
        <x:v>UNASSIGNED</x:v>
      </x:c>
      <x:c r="P110" s="17" t="str"/>
      <x:c r="Q110" s="17" t="str">
        <x:v>codex/m4-m4-p102</x:v>
      </x:c>
      <x:c r="R110" s="17" t="str"/>
      <x:c r="S110" s="17" t="str"/>
      <x:c r="T110" s="17" t="str"/>
      <x:c r="U110" s="17" t="str"/>
      <x:c r="V110" s="17" t="str">
        <x:v>YES</x:v>
      </x:c>
      <x:c r="W110" s="17" t="str">
        <x:v>按原子提交回退；迁移仅向前修复</x:v>
      </x:c>
      <x:c r="X110" s="17" t="str"/>
      <x:c r="Y110" s="17" t="str"/>
    </x:row>
    <x:row r="111" ht="23" customHeight="1">
      <x:c r="A111" s="17" t="str">
        <x:v>M4-P103</x:v>
      </x:c>
      <x:c r="B111" s="17" t="str">
        <x:v>110</x:v>
      </x:c>
      <x:c r="C111" s="17" t="str">
        <x:v>M4</x:v>
      </x:c>
      <x:c r="D111" s="17" t="str">
        <x:v>LOGISTICS_STATE_MACHINE</x:v>
      </x:c>
      <x:c r="E111" s="17" t="str">
        <x:v>P0</x:v>
      </x:c>
      <x:c r="F111" s="17" t="str">
        <x:v>上线与大厅可见性</x:v>
      </x:c>
      <x:c r="G111" s="17" t="str">
        <x:v>§10个人跑腿与企业统一配送</x:v>
      </x:c>
      <x:c r="H111" s="17" t="str">
        <x:v>P0-103</x:v>
      </x:c>
      <x:c r="I111" s="17" t="str">
        <x:v>M4-000,M4-P102</x:v>
      </x:c>
      <x:c r="J111" s="17" t="str">
        <x:v>完成“上线与大厅可见性”纵向切片：迁移/领域规则/API/DTO/错误码/对应页面/测试/证据；不实现阶段外功能。</x:v>
      </x:c>
      <x:c r="K111" s="17" t="str">
        <x:v>只有启用、资料有效、在线、服务区域匹配且未超在途上限的跑腿员可见可抢任务；下线仅停止新任务，不能隐藏或撤销已接任务。</x:v>
      </x:c>
      <x:c r="L111" s="17" t="str">
        <x:v>unit+api+p0-e2e+concurrency+idempotency+failure-recovery+wechat-device-manual</x:v>
      </x:c>
      <x:c r="M111" s="17" t="str">
        <x:v>NOT_STARTED</x:v>
      </x:c>
      <x:c r="N111" s="17" t="str">
        <x:v>NOT_EXECUTED</x:v>
      </x:c>
      <x:c r="O111" s="17" t="str">
        <x:v>UNASSIGNED</x:v>
      </x:c>
      <x:c r="P111" s="17" t="str"/>
      <x:c r="Q111" s="17" t="str">
        <x:v>codex/m4-m4-p103</x:v>
      </x:c>
      <x:c r="R111" s="17" t="str"/>
      <x:c r="S111" s="17" t="str"/>
      <x:c r="T111" s="17" t="str"/>
      <x:c r="U111" s="17" t="str"/>
      <x:c r="V111" s="17" t="str">
        <x:v>YES</x:v>
      </x:c>
      <x:c r="W111" s="17" t="str">
        <x:v>按原子提交回退；迁移仅向前修复</x:v>
      </x:c>
      <x:c r="X111" s="17" t="str"/>
      <x:c r="Y111" s="17" t="str"/>
    </x:row>
    <x:row r="112" ht="23" customHeight="1">
      <x:c r="A112" s="17" t="str">
        <x:v>M4-P104</x:v>
      </x:c>
      <x:c r="B112" s="17" t="str">
        <x:v>111</x:v>
      </x:c>
      <x:c r="C112" s="17" t="str">
        <x:v>M4</x:v>
      </x:c>
      <x:c r="D112" s="17" t="str">
        <x:v>LOGISTICS_STATE_MACHINE</x:v>
      </x:c>
      <x:c r="E112" s="17" t="str">
        <x:v>P0</x:v>
      </x:c>
      <x:c r="F112" s="17" t="str">
        <x:v>大厅隐私摘要</x:v>
      </x:c>
      <x:c r="G112" s="17" t="str">
        <x:v>§10个人跑腿与企业统一配送</x:v>
      </x:c>
      <x:c r="H112" s="17" t="str">
        <x:v>P0-104</x:v>
      </x:c>
      <x:c r="I112" s="17" t="str">
        <x:v>M4-000,M4-P103</x:v>
      </x:c>
      <x:c r="J112" s="17" t="str">
        <x:v>完成“大厅隐私摘要”纵向切片：迁移/领域规则/API/DTO/错误码/对应页面/测试/证据；不实现阶段外功能。</x:v>
      </x:c>
      <x:c r="K112" s="17" t="str">
        <x:v>抢单前只显示取送区域、时间、件数、特殊要求和预计报酬，不显示精确门牌、完整电话、完整商品、价格/支付、供应价、企业订单或其他内部数据。</x:v>
      </x:c>
      <x:c r="L112" s="17" t="str">
        <x:v>unit+api+p0-e2e+concurrency+idempotency+failure-recovery+wechat-device-manual</x:v>
      </x:c>
      <x:c r="M112" s="17" t="str">
        <x:v>NOT_STARTED</x:v>
      </x:c>
      <x:c r="N112" s="17" t="str">
        <x:v>NOT_EXECUTED</x:v>
      </x:c>
      <x:c r="O112" s="17" t="str">
        <x:v>UNASSIGNED</x:v>
      </x:c>
      <x:c r="P112" s="17" t="str"/>
      <x:c r="Q112" s="17" t="str">
        <x:v>codex/m4-m4-p104</x:v>
      </x:c>
      <x:c r="R112" s="17" t="str"/>
      <x:c r="S112" s="17" t="str"/>
      <x:c r="T112" s="17" t="str"/>
      <x:c r="U112" s="17" t="str"/>
      <x:c r="V112" s="17" t="str">
        <x:v>YES</x:v>
      </x:c>
      <x:c r="W112" s="17" t="str">
        <x:v>按原子提交回退；迁移仅向前修复</x:v>
      </x:c>
      <x:c r="X112" s="17" t="str"/>
      <x:c r="Y112" s="17" t="str"/>
    </x:row>
    <x:row r="113" ht="23" customHeight="1">
      <x:c r="A113" s="17" t="str">
        <x:v>M4-P105</x:v>
      </x:c>
      <x:c r="B113" s="17" t="str">
        <x:v>112</x:v>
      </x:c>
      <x:c r="C113" s="17" t="str">
        <x:v>M4</x:v>
      </x:c>
      <x:c r="D113" s="17" t="str">
        <x:v>LOGISTICS_STATE_MACHINE</x:v>
      </x:c>
      <x:c r="E113" s="17" t="str">
        <x:v>P0</x:v>
      </x:c>
      <x:c r="F113" s="17" t="str">
        <x:v>抢单并发与未知结果</x:v>
      </x:c>
      <x:c r="G113" s="17" t="str">
        <x:v>§10个人跑腿与企业统一配送</x:v>
      </x:c>
      <x:c r="H113" s="17" t="str">
        <x:v>P0-105</x:v>
      </x:c>
      <x:c r="I113" s="17" t="str">
        <x:v>M4-000,M4-P103</x:v>
      </x:c>
      <x:c r="J113" s="17" t="str">
        <x:v>完成“抢单并发与未知结果”纵向切片：迁移/领域规则/API/DTO/错误码/对应页面/测试/证据；不实现阶段外功能。</x:v>
      </x:c>
      <x:c r="K113" s="17" t="str">
        <x:v>抢单以幂等键和 DeliveryTask.version 乐观锁绑定唯一 runnerId；并发只有一人成功，弱网未知先查询本人任务，任务已抢/取消/区域不符/超限使用不同错误码。</x:v>
      </x:c>
      <x:c r="L113" s="17" t="str">
        <x:v>unit+api+p0-e2e+concurrency+idempotency+failure-recovery+wechat-device-manual</x:v>
      </x:c>
      <x:c r="M113" s="17" t="str">
        <x:v>NOT_STARTED</x:v>
      </x:c>
      <x:c r="N113" s="17" t="str">
        <x:v>NOT_EXECUTED</x:v>
      </x:c>
      <x:c r="O113" s="17" t="str">
        <x:v>UNASSIGNED</x:v>
      </x:c>
      <x:c r="P113" s="17" t="str"/>
      <x:c r="Q113" s="17" t="str">
        <x:v>codex/m4-m4-p105</x:v>
      </x:c>
      <x:c r="R113" s="17" t="str"/>
      <x:c r="S113" s="17" t="str"/>
      <x:c r="T113" s="17" t="str"/>
      <x:c r="U113" s="17" t="str"/>
      <x:c r="V113" s="17" t="str">
        <x:v>YES</x:v>
      </x:c>
      <x:c r="W113" s="17" t="str">
        <x:v>按原子提交回退；迁移仅向前修复</x:v>
      </x:c>
      <x:c r="X113" s="17" t="str"/>
      <x:c r="Y113" s="17" t="str"/>
    </x:row>
    <x:row r="114" ht="23" customHeight="1">
      <x:c r="A114" s="17" t="str">
        <x:v>M4-P106</x:v>
      </x:c>
      <x:c r="B114" s="17" t="str">
        <x:v>113</x:v>
      </x:c>
      <x:c r="C114" s="17" t="str">
        <x:v>M4</x:v>
      </x:c>
      <x:c r="D114" s="17" t="str">
        <x:v>LOGISTICS_STATE_MACHINE</x:v>
      </x:c>
      <x:c r="E114" s="17" t="str">
        <x:v>P0</x:v>
      </x:c>
      <x:c r="F114" s="17" t="str">
        <x:v>跑腿任务详情</x:v>
      </x:c>
      <x:c r="G114" s="17" t="str">
        <x:v>§10个人跑腿与企业统一配送</x:v>
      </x:c>
      <x:c r="H114" s="17" t="str">
        <x:v>P0-106</x:v>
      </x:c>
      <x:c r="I114" s="17" t="str">
        <x:v>M4-000,M4-P105</x:v>
      </x:c>
      <x:c r="J114" s="17" t="str">
        <x:v>完成“跑腿任务详情”纵向切片：迁移/领域规则/API/DTO/错误码/对应页面/测试/证据；不实现阶段外功能。</x:v>
      </x:c>
      <x:c r="K114" s="17" t="str">
        <x:v>承接成功后同时返回本任务的供应商取货点快照和用户收货目的地快照，以及商品摘要、两个地点的受控联系、当前节点和操作；他人任务、其他供应商子单、企业数据、价格和结算字段均不可访问。</x:v>
      </x:c>
      <x:c r="L114" s="17" t="str">
        <x:v>unit+api+p0-e2e+concurrency+idempotency+failure-recovery+wechat-device-manual</x:v>
      </x:c>
      <x:c r="M114" s="17" t="str">
        <x:v>NOT_STARTED</x:v>
      </x:c>
      <x:c r="N114" s="17" t="str">
        <x:v>NOT_EXECUTED</x:v>
      </x:c>
      <x:c r="O114" s="17" t="str">
        <x:v>UNASSIGNED</x:v>
      </x:c>
      <x:c r="P114" s="17" t="str"/>
      <x:c r="Q114" s="17" t="str">
        <x:v>codex/m4-m4-p106</x:v>
      </x:c>
      <x:c r="R114" s="17" t="str"/>
      <x:c r="S114" s="17" t="str"/>
      <x:c r="T114" s="17" t="str"/>
      <x:c r="U114" s="17" t="str"/>
      <x:c r="V114" s="17" t="str">
        <x:v>YES</x:v>
      </x:c>
      <x:c r="W114" s="17" t="str">
        <x:v>按原子提交回退；迁移仅向前修复</x:v>
      </x:c>
      <x:c r="X114" s="17" t="str"/>
      <x:c r="Y114" s="17" t="str"/>
    </x:row>
    <x:row r="115" ht="23" customHeight="1">
      <x:c r="A115" s="17" t="str">
        <x:v>M4-P107</x:v>
      </x:c>
      <x:c r="B115" s="17" t="str">
        <x:v>114</x:v>
      </x:c>
      <x:c r="C115" s="17" t="str">
        <x:v>M4</x:v>
      </x:c>
      <x:c r="D115" s="17" t="str">
        <x:v>LOGISTICS_STATE_MACHINE</x:v>
      </x:c>
      <x:c r="E115" s="17" t="str">
        <x:v>P0</x:v>
      </x:c>
      <x:c r="F115" s="17" t="str">
        <x:v>跑腿节点状态机</x:v>
      </x:c>
      <x:c r="G115" s="17" t="str">
        <x:v>§10个人跑腿与企业统一配送</x:v>
      </x:c>
      <x:c r="H115" s="17" t="str">
        <x:v>P0-107</x:v>
      </x:c>
      <x:c r="I115" s="17" t="str">
        <x:v>M4-000,M4-P106</x:v>
      </x:c>
      <x:c r="J115" s="17" t="str">
        <x:v>完成“跑腿节点状态机”纵向切片：迁移/领域规则/API/DTO/错误码/对应页面/测试/证据；不实现阶段外功能。</x:v>
      </x:c>
      <x:c r="K115" s="17" t="str">
        <x:v>已抢单、到取货地、取货、配送、到目的地、送达、完成必须按顺序推进；服务端校验 runnerId 和前置状态，每个节点幂等留痕，不能越级、倒退或替他人点击。</x:v>
      </x:c>
      <x:c r="L115" s="17" t="str">
        <x:v>unit+api+p0-e2e+concurrency+idempotency+failure-recovery+wechat-device-manual</x:v>
      </x:c>
      <x:c r="M115" s="17" t="str">
        <x:v>NOT_STARTED</x:v>
      </x:c>
      <x:c r="N115" s="17" t="str">
        <x:v>NOT_EXECUTED</x:v>
      </x:c>
      <x:c r="O115" s="17" t="str">
        <x:v>UNASSIGNED</x:v>
      </x:c>
      <x:c r="P115" s="17" t="str"/>
      <x:c r="Q115" s="17" t="str">
        <x:v>codex/m4-m4-p107</x:v>
      </x:c>
      <x:c r="R115" s="17" t="str"/>
      <x:c r="S115" s="17" t="str"/>
      <x:c r="T115" s="17" t="str"/>
      <x:c r="U115" s="17" t="str"/>
      <x:c r="V115" s="17" t="str">
        <x:v>YES</x:v>
      </x:c>
      <x:c r="W115" s="17" t="str">
        <x:v>按原子提交回退；迁移仅向前修复</x:v>
      </x:c>
      <x:c r="X115" s="17" t="str"/>
      <x:c r="Y115" s="17" t="str"/>
    </x:row>
    <x:row r="116" ht="23" customHeight="1">
      <x:c r="A116" s="17" t="str">
        <x:v>M4-P108</x:v>
      </x:c>
      <x:c r="B116" s="17" t="str">
        <x:v>115</x:v>
      </x:c>
      <x:c r="C116" s="17" t="str">
        <x:v>M4</x:v>
      </x:c>
      <x:c r="D116" s="17" t="str">
        <x:v>LOGISTICS_STATE_MACHINE</x:v>
      </x:c>
      <x:c r="E116" s="17" t="str">
        <x:v>P0</x:v>
      </x:c>
      <x:c r="F116" s="17" t="str">
        <x:v>取货点与目的地双导航</x:v>
      </x:c>
      <x:c r="G116" s="17" t="str">
        <x:v>§10个人跑腿与企业统一配送</x:v>
      </x:c>
      <x:c r="H116" s="17" t="str">
        <x:v>P0-108</x:v>
      </x:c>
      <x:c r="I116" s="17" t="str">
        <x:v>M4-000,M4-P107</x:v>
      </x:c>
      <x:c r="J116" s="17" t="str">
        <x:v>完成“取货点与目的地双导航”纵向切片：迁移/领域规则/API/DTO/错误码/对应页面/测试/证据；不实现阶段外功能。</x:v>
      </x:c>
      <x:c r="K116" s="17" t="str">
        <x:v>MAP_PROVIDER=disabled 且禁止 MAP_PROVIDER_KEY；个人任务投放前必须同时具备取货点和目的地名称、地址及坐标。取货前导航到供应商取货点，取货后导航到用户目的地；失败可复制对应地址，导航不回写状态，也不按距离、拥堵、轨迹或时间计算费用。</x:v>
      </x:c>
      <x:c r="L116" s="17" t="str">
        <x:v>unit+api+p0-e2e+concurrency+idempotency+failure-recovery+wechat-device-manual</x:v>
      </x:c>
      <x:c r="M116" s="17" t="str">
        <x:v>NOT_STARTED</x:v>
      </x:c>
      <x:c r="N116" s="17" t="str">
        <x:v>NOT_EXECUTED</x:v>
      </x:c>
      <x:c r="O116" s="17" t="str">
        <x:v>UNASSIGNED</x:v>
      </x:c>
      <x:c r="P116" s="17" t="str"/>
      <x:c r="Q116" s="17" t="str">
        <x:v>codex/m4-m4-p108</x:v>
      </x:c>
      <x:c r="R116" s="17" t="str"/>
      <x:c r="S116" s="17" t="str"/>
      <x:c r="T116" s="17" t="str"/>
      <x:c r="U116" s="17" t="str"/>
      <x:c r="V116" s="17" t="str">
        <x:v>YES</x:v>
      </x:c>
      <x:c r="W116" s="17" t="str">
        <x:v>按原子提交回退；迁移仅向前修复</x:v>
      </x:c>
      <x:c r="X116" s="17" t="str"/>
      <x:c r="Y116" s="17" t="str"/>
    </x:row>
    <x:row r="117" ht="23" customHeight="1">
      <x:c r="A117" s="17" t="str">
        <x:v>M4-P109</x:v>
      </x:c>
      <x:c r="B117" s="17" t="str">
        <x:v>116</x:v>
      </x:c>
      <x:c r="C117" s="17" t="str">
        <x:v>M4</x:v>
      </x:c>
      <x:c r="D117" s="17" t="str">
        <x:v>LOGISTICS_STATE_MACHINE</x:v>
      </x:c>
      <x:c r="E117" s="17" t="str">
        <x:v>P0</x:v>
      </x:c>
      <x:c r="F117" s="17" t="str">
        <x:v>配送异常与取消权限</x:v>
      </x:c>
      <x:c r="G117" s="17" t="str">
        <x:v>§10个人跑腿与企业统一配送</x:v>
      </x:c>
      <x:c r="H117" s="17" t="str">
        <x:v>P0-109</x:v>
      </x:c>
      <x:c r="I117" s="17" t="str">
        <x:v>M4-000,M4-P107</x:v>
      </x:c>
      <x:c r="J117" s="17" t="str">
        <x:v>完成“配送异常与取消权限”纵向切片：迁移/领域规则/API/DTO/错误码/对应页面/测试/证据；不实现阶段外功能。</x:v>
      </x:c>
      <x:c r="K117" s="17" t="str">
        <x:v>未备好、缺货、联系不上、地址错误、无人收货、破损、拒收、网络故障和无法继续均可上报并留证；跑腿员不能取消订单、删除任务、修改退款或私下转派，公司处理结果完整留痕。</x:v>
      </x:c>
      <x:c r="L117" s="17" t="str">
        <x:v>unit+api+p0-e2e+concurrency+idempotency+failure-recovery+wechat-device-manual</x:v>
      </x:c>
      <x:c r="M117" s="17" t="str">
        <x:v>NOT_STARTED</x:v>
      </x:c>
      <x:c r="N117" s="17" t="str">
        <x:v>NOT_EXECUTED</x:v>
      </x:c>
      <x:c r="O117" s="17" t="str">
        <x:v>UNASSIGNED</x:v>
      </x:c>
      <x:c r="P117" s="17" t="str"/>
      <x:c r="Q117" s="17" t="str">
        <x:v>codex/m4-m4-p109</x:v>
      </x:c>
      <x:c r="R117" s="17" t="str"/>
      <x:c r="S117" s="17" t="str"/>
      <x:c r="T117" s="17" t="str"/>
      <x:c r="U117" s="17" t="str"/>
      <x:c r="V117" s="17" t="str">
        <x:v>YES</x:v>
      </x:c>
      <x:c r="W117" s="17" t="str">
        <x:v>按原子提交回退；迁移仅向前修复</x:v>
      </x:c>
      <x:c r="X117" s="17" t="str"/>
      <x:c r="Y117" s="17" t="str"/>
    </x:row>
    <x:row r="118" ht="23" customHeight="1">
      <x:c r="A118" s="17" t="str">
        <x:v>M4-P110</x:v>
      </x:c>
      <x:c r="B118" s="17" t="str">
        <x:v>117</x:v>
      </x:c>
      <x:c r="C118" s="17" t="str">
        <x:v>M4</x:v>
      </x:c>
      <x:c r="D118" s="17" t="str">
        <x:v>LOGISTICS_STATE_MACHINE</x:v>
      </x:c>
      <x:c r="E118" s="17" t="str">
        <x:v>P0</x:v>
      </x:c>
      <x:c r="F118" s="17" t="str">
        <x:v>配送转派与失权</x:v>
      </x:c>
      <x:c r="G118" s="17" t="str">
        <x:v>§10个人跑腿与企业统一配送</x:v>
      </x:c>
      <x:c r="H118" s="17" t="str">
        <x:v>P0-110</x:v>
      </x:c>
      <x:c r="I118" s="17" t="str">
        <x:v>M4-000,M4-P105</x:v>
      </x:c>
      <x:c r="J118" s="17" t="str">
        <x:v>完成“配送转派与失权”纵向切片：迁移/领域规则/API/DTO/错误码/对应页面/测试/证据；不实现阶段外功能。</x:v>
      </x:c>
      <x:c r="K118" s="17" t="str">
        <x:v>公司批准转派时追加承接日志，原跑腿员立即失去后续节点权限，新跑腿员从批准状态继续；冻结/停用账号立即下线且已接任务进入明确处理队列。</x:v>
      </x:c>
      <x:c r="L118" s="17" t="str">
        <x:v>unit+api+p0-e2e+concurrency+idempotency+failure-recovery+wechat-device-manual</x:v>
      </x:c>
      <x:c r="M118" s="17" t="str">
        <x:v>NOT_STARTED</x:v>
      </x:c>
      <x:c r="N118" s="17" t="str">
        <x:v>NOT_EXECUTED</x:v>
      </x:c>
      <x:c r="O118" s="17" t="str">
        <x:v>UNASSIGNED</x:v>
      </x:c>
      <x:c r="P118" s="17" t="str"/>
      <x:c r="Q118" s="17" t="str">
        <x:v>codex/m4-m4-p110</x:v>
      </x:c>
      <x:c r="R118" s="17" t="str"/>
      <x:c r="S118" s="17" t="str"/>
      <x:c r="T118" s="17" t="str"/>
      <x:c r="U118" s="17" t="str"/>
      <x:c r="V118" s="17" t="str">
        <x:v>YES</x:v>
      </x:c>
      <x:c r="W118" s="17" t="str">
        <x:v>按原子提交回退；迁移仅向前修复</x:v>
      </x:c>
      <x:c r="X118" s="17" t="str"/>
      <x:c r="Y118" s="17" t="str"/>
    </x:row>
    <x:row r="119" ht="23" customHeight="1">
      <x:c r="A119" s="17" t="str">
        <x:v>M4-P111</x:v>
      </x:c>
      <x:c r="B119" s="17" t="str">
        <x:v>118</x:v>
      </x:c>
      <x:c r="C119" s="17" t="str">
        <x:v>M4</x:v>
      </x:c>
      <x:c r="D119" s="17" t="str">
        <x:v>LOGISTICS_STATE_MACHINE</x:v>
      </x:c>
      <x:c r="E119" s="17" t="str">
        <x:v>P0</x:v>
      </x:c>
      <x:c r="F119" s="17" t="str">
        <x:v>联系、凭证与分批收货</x:v>
      </x:c>
      <x:c r="G119" s="17" t="str">
        <x:v>§10个人跑腿与企业统一配送</x:v>
      </x:c>
      <x:c r="H119" s="17" t="str">
        <x:v>P0-111</x:v>
      </x:c>
      <x:c r="I119" s="17" t="str">
        <x:v>M4-000,M4-P107</x:v>
      </x:c>
      <x:c r="J119" s="17" t="str">
        <x:v>完成“联系、凭证与分批收货”纵向切片：迁移/领域规则/API/DTO/错误码/对应页面/测试/证据；不实现阶段外功能。</x:v>
      </x:c>
      <x:c r="K119" s="17" t="str">
        <x:v>履约阶段使用隐私号/受控联系；取货和送达凭证按规则收集，普通个人订单不强制扫码；同一主订单多个任务分别送达和确认，单任务完成不误标整单完成。</x:v>
      </x:c>
      <x:c r="L119" s="17" t="str">
        <x:v>unit+api+p0-e2e+concurrency+idempotency+failure-recovery+wechat-device-manual</x:v>
      </x:c>
      <x:c r="M119" s="17" t="str">
        <x:v>NOT_STARTED</x:v>
      </x:c>
      <x:c r="N119" s="17" t="str">
        <x:v>NOT_EXECUTED</x:v>
      </x:c>
      <x:c r="O119" s="17" t="str">
        <x:v>UNASSIGNED</x:v>
      </x:c>
      <x:c r="P119" s="17" t="str"/>
      <x:c r="Q119" s="17" t="str">
        <x:v>codex/m4-m4-p111</x:v>
      </x:c>
      <x:c r="R119" s="17" t="str"/>
      <x:c r="S119" s="17" t="str"/>
      <x:c r="T119" s="17" t="str"/>
      <x:c r="U119" s="17" t="str"/>
      <x:c r="V119" s="17" t="str">
        <x:v>YES</x:v>
      </x:c>
      <x:c r="W119" s="17" t="str">
        <x:v>按原子提交回退；迁移仅向前修复</x:v>
      </x:c>
      <x:c r="X119" s="17" t="str"/>
      <x:c r="Y119" s="17" t="str"/>
    </x:row>
    <x:row r="120" ht="23" customHeight="1">
      <x:c r="A120" s="17" t="str">
        <x:v>M4-P112</x:v>
      </x:c>
      <x:c r="B120" s="17" t="str">
        <x:v>119</x:v>
      </x:c>
      <x:c r="C120" s="17" t="str">
        <x:v>M4</x:v>
      </x:c>
      <x:c r="D120" s="17" t="str">
        <x:v>LOGISTICS_STATE_MACHINE</x:v>
      </x:c>
      <x:c r="E120" s="17" t="str">
        <x:v>P0</x:v>
      </x:c>
      <x:c r="F120" s="17" t="str">
        <x:v>跑腿通知与隐私</x:v>
      </x:c>
      <x:c r="G120" s="17" t="str">
        <x:v>§10个人跑腿与企业统一配送</x:v>
      </x:c>
      <x:c r="H120" s="17" t="str">
        <x:v>P0-112</x:v>
      </x:c>
      <x:c r="I120" s="17" t="str">
        <x:v>M4-000,M4-P101</x:v>
      </x:c>
      <x:c r="J120" s="17" t="str">
        <x:v>完成“跑腿通知与隐私”纵向切片：迁移/领域规则/API/DTO/错误码/对应页面/测试/证据；不实现阶段外功能。</x:v>
      </x:c>
      <x:c r="K120" s="17" t="str">
        <x:v>抢单、取消、节点提醒和异常结果支持站内/订阅通知，拒绝订阅不影响任务；通知、日志、缓存和埋点不包含完整地址/电话、价格、支付结构、供应价或内部责任结论。</x:v>
      </x:c>
      <x:c r="L120" s="17" t="str">
        <x:v>unit+api+p0-e2e+concurrency+idempotency+failure-recovery+wechat-device-manual</x:v>
      </x:c>
      <x:c r="M120" s="17" t="str">
        <x:v>NOT_STARTED</x:v>
      </x:c>
      <x:c r="N120" s="17" t="str">
        <x:v>NOT_EXECUTED</x:v>
      </x:c>
      <x:c r="O120" s="17" t="str">
        <x:v>UNASSIGNED</x:v>
      </x:c>
      <x:c r="P120" s="17" t="str"/>
      <x:c r="Q120" s="17" t="str">
        <x:v>codex/m4-m4-p112</x:v>
      </x:c>
      <x:c r="R120" s="17" t="str"/>
      <x:c r="S120" s="17" t="str"/>
      <x:c r="T120" s="17" t="str"/>
      <x:c r="U120" s="17" t="str"/>
      <x:c r="V120" s="17" t="str">
        <x:v>YES</x:v>
      </x:c>
      <x:c r="W120" s="17" t="str">
        <x:v>按原子提交回退；迁移仅向前修复</x:v>
      </x:c>
      <x:c r="X120" s="17" t="str"/>
      <x:c r="Y120" s="17" t="str"/>
    </x:row>
    <x:row r="121" ht="23" customHeight="1">
      <x:c r="A121" s="17" t="str">
        <x:v>M4-P113</x:v>
      </x:c>
      <x:c r="B121" s="17" t="str">
        <x:v>120</x:v>
      </x:c>
      <x:c r="C121" s="17" t="str">
        <x:v>M4</x:v>
      </x:c>
      <x:c r="D121" s="17" t="str">
        <x:v>LOGISTICS_STATE_MACHINE</x:v>
      </x:c>
      <x:c r="E121" s="17" t="str">
        <x:v>P0</x:v>
      </x:c>
      <x:c r="F121" s="17" t="str">
        <x:v>任务记录与报酬</x:v>
      </x:c>
      <x:c r="G121" s="17" t="str">
        <x:v>§10个人跑腿与企业统一配送</x:v>
      </x:c>
      <x:c r="H121" s="17" t="str">
        <x:v>P0-113</x:v>
      </x:c>
      <x:c r="I121" s="17" t="str">
        <x:v>M4-000,M4-P107</x:v>
      </x:c>
      <x:c r="J121" s="17" t="str">
        <x:v>完成“任务记录与报酬”纵向切片：迁移/领域规则/API/DTO/错误码/对应页面/测试/证据；不实现阶段外功能。</x:v>
      </x:c>
      <x:c r="K121" s="17" t="str">
        <x:v>跑腿员可查看本人历史任务、节点、异常、申诉、报酬快照、调整和线下支付状态；不做跑腿钱包、充值、提现、自动分账或地图里程计费，已确认明细只能追加调整/冲正。</x:v>
      </x:c>
      <x:c r="L121" s="17" t="str">
        <x:v>unit+api+p0-e2e+concurrency+idempotency+failure-recovery+wechat-device-manual</x:v>
      </x:c>
      <x:c r="M121" s="17" t="str">
        <x:v>NOT_STARTED</x:v>
      </x:c>
      <x:c r="N121" s="17" t="str">
        <x:v>NOT_EXECUTED</x:v>
      </x:c>
      <x:c r="O121" s="17" t="str">
        <x:v>UNASSIGNED</x:v>
      </x:c>
      <x:c r="P121" s="17" t="str"/>
      <x:c r="Q121" s="17" t="str">
        <x:v>codex/m4-m4-p113</x:v>
      </x:c>
      <x:c r="R121" s="17" t="str"/>
      <x:c r="S121" s="17" t="str"/>
      <x:c r="T121" s="17" t="str"/>
      <x:c r="U121" s="17" t="str"/>
      <x:c r="V121" s="17" t="str">
        <x:v>YES</x:v>
      </x:c>
      <x:c r="W121" s="17" t="str">
        <x:v>按原子提交回退；迁移仅向前修复</x:v>
      </x:c>
      <x:c r="X121" s="17" t="str"/>
      <x:c r="Y121" s="17" t="str"/>
    </x:row>
    <x:row r="122" ht="23" customHeight="1">
      <x:c r="A122" s="17" t="str">
        <x:v>M4-P114</x:v>
      </x:c>
      <x:c r="B122" s="17" t="str">
        <x:v>121</x:v>
      </x:c>
      <x:c r="C122" s="17" t="str">
        <x:v>M4</x:v>
      </x:c>
      <x:c r="D122" s="17" t="str">
        <x:v>SECURITY</x:v>
      </x:c>
      <x:c r="E122" s="17" t="str">
        <x:v>P0</x:v>
      </x:c>
      <x:c r="F122" s="17" t="str">
        <x:v>跑腿端质量安全</x:v>
      </x:c>
      <x:c r="G122" s="17" t="str">
        <x:v>§10个人跑腿与企业统一配送</x:v>
      </x:c>
      <x:c r="H122" s="17" t="str">
        <x:v>P0-114</x:v>
      </x:c>
      <x:c r="I122" s="17" t="str">
        <x:v>M4-000,M4-P101</x:v>
      </x:c>
      <x:c r="J122" s="17" t="str">
        <x:v>完成“跑腿端质量安全”纵向切片：迁移/领域规则/API/DTO/错误码/对应页面/测试/证据；不实现阶段外功能。</x:v>
      </x:c>
      <x:c r="K122" s="17" t="str">
        <x:v>空大厅、审核中、冻结、弱网、离线、任务被抢、节点重复、任务取消、上传失败和导航失败均可恢复；runnerId 服务端绑定，对象级越权、篡改状态及企业配送访问全部失败。</x:v>
      </x:c>
      <x:c r="L122" s="17" t="str">
        <x:v>unit+api+p0-e2e+authorization+response-whitelist+wechat-device-manual</x:v>
      </x:c>
      <x:c r="M122" s="17" t="str">
        <x:v>NOT_STARTED</x:v>
      </x:c>
      <x:c r="N122" s="17" t="str">
        <x:v>NOT_EXECUTED</x:v>
      </x:c>
      <x:c r="O122" s="17" t="str">
        <x:v>UNASSIGNED</x:v>
      </x:c>
      <x:c r="P122" s="17" t="str"/>
      <x:c r="Q122" s="17" t="str">
        <x:v>codex/m4-m4-p114</x:v>
      </x:c>
      <x:c r="R122" s="17" t="str"/>
      <x:c r="S122" s="17" t="str"/>
      <x:c r="T122" s="17" t="str"/>
      <x:c r="U122" s="17" t="str"/>
      <x:c r="V122" s="17" t="str">
        <x:v>YES</x:v>
      </x:c>
      <x:c r="W122" s="17" t="str">
        <x:v>按原子提交回退；迁移仅向前修复</x:v>
      </x:c>
      <x:c r="X122" s="17" t="str"/>
      <x:c r="Y122" s="17" t="str"/>
    </x:row>
    <x:row r="123" ht="23" customHeight="1">
      <x:c r="A123" s="17" t="str">
        <x:v>M4-P115</x:v>
      </x:c>
      <x:c r="B123" s="17" t="str">
        <x:v>122</x:v>
      </x:c>
      <x:c r="C123" s="17" t="str">
        <x:v>M4</x:v>
      </x:c>
      <x:c r="D123" s="17" t="str">
        <x:v>LOGISTICS_STATE_MACHINE</x:v>
      </x:c>
      <x:c r="E123" s="17" t="str">
        <x:v>P0</x:v>
      </x:c>
      <x:c r="F123" s="17" t="str">
        <x:v>企业统一配送状态机</x:v>
      </x:c>
      <x:c r="G123" s="17" t="str">
        <x:v>§10个人跑腿与企业统一配送</x:v>
      </x:c>
      <x:c r="H123" s="17" t="str">
        <x:v>P0-115</x:v>
      </x:c>
      <x:c r="I123" s="17" t="str">
        <x:v>M4-000,M4-P099</x:v>
      </x:c>
      <x:c r="J123" s="17" t="str">
        <x:v>完成“企业统一配送状态机”纵向切片：迁移/领域规则/API/DTO/错误码/对应页面/测试/证据；不实现阶段外功能。</x:v>
      </x:c>
      <x:c r="K123" s="17" t="str">
        <x:v>等待供应商、可收取、收货中、已汇总、已派车、运输中、已到达、已签收和已完成按顺序留痕；企业确认的部分齐套配送可形成可追溯批次。</x:v>
      </x:c>
      <x:c r="L123" s="17" t="str">
        <x:v>unit+api+p0-e2e+concurrency+idempotency+failure-recovery</x:v>
      </x:c>
      <x:c r="M123" s="17" t="str">
        <x:v>NOT_STARTED</x:v>
      </x:c>
      <x:c r="N123" s="17" t="str">
        <x:v>NOT_EXECUTED</x:v>
      </x:c>
      <x:c r="O123" s="17" t="str">
        <x:v>UNASSIGNED</x:v>
      </x:c>
      <x:c r="P123" s="17" t="str"/>
      <x:c r="Q123" s="17" t="str">
        <x:v>codex/m4-m4-p115</x:v>
      </x:c>
      <x:c r="R123" s="17" t="str"/>
      <x:c r="S123" s="17" t="str"/>
      <x:c r="T123" s="17" t="str"/>
      <x:c r="U123" s="17" t="str"/>
      <x:c r="V123" s="17" t="str">
        <x:v>NO</x:v>
      </x:c>
      <x:c r="W123" s="17" t="str">
        <x:v>按原子提交回退；迁移仅向前修复</x:v>
      </x:c>
      <x:c r="X123" s="17" t="str"/>
      <x:c r="Y123" s="17" t="str"/>
    </x:row>
    <x:row r="124" ht="23" customHeight="1">
      <x:c r="A124" s="17" t="str">
        <x:v>M4-P116</x:v>
      </x:c>
      <x:c r="B124" s="17" t="str">
        <x:v>123</x:v>
      </x:c>
      <x:c r="C124" s="17" t="str">
        <x:v>M4</x:v>
      </x:c>
      <x:c r="D124" s="17" t="str">
        <x:v>LOGISTICS_STATE_MACHINE</x:v>
      </x:c>
      <x:c r="E124" s="17" t="str">
        <x:v>P0</x:v>
      </x:c>
      <x:c r="F124" s="17" t="str">
        <x:v>公司物流独立页面</x:v>
      </x:c>
      <x:c r="G124" s="17" t="str">
        <x:v>§10个人跑腿与企业统一配送</x:v>
      </x:c>
      <x:c r="H124" s="17" t="str">
        <x:v>P0-116</x:v>
      </x:c>
      <x:c r="I124" s="17" t="str">
        <x:v>M4-000,M4-P115</x:v>
      </x:c>
      <x:c r="J124" s="17" t="str">
        <x:v>完成“公司物流独立页面”纵向切片：迁移/领域规则/API/DTO/错误码/对应页面/测试/证据；不实现阶段外功能。</x:v>
      </x:c>
      <x:c r="K124" s="17" t="str">
        <x:v>物流职能账号固定页面具备首页、备货汇总、汇总收货、配送列表/详情、移动执行、资源和异常子页面；其他公司职能、供应商和跑腿账号无权访问，页面不加载供应价及财务数据。</x:v>
      </x:c>
      <x:c r="L124" s="17" t="str">
        <x:v>unit+api+p0-e2e+concurrency+idempotency+failure-recovery</x:v>
      </x:c>
      <x:c r="M124" s="17" t="str">
        <x:v>NOT_STARTED</x:v>
      </x:c>
      <x:c r="N124" s="17" t="str">
        <x:v>NOT_EXECUTED</x:v>
      </x:c>
      <x:c r="O124" s="17" t="str">
        <x:v>UNASSIGNED</x:v>
      </x:c>
      <x:c r="P124" s="17" t="str"/>
      <x:c r="Q124" s="17" t="str">
        <x:v>codex/m4-m4-p116</x:v>
      </x:c>
      <x:c r="R124" s="17" t="str"/>
      <x:c r="S124" s="17" t="str"/>
      <x:c r="T124" s="17" t="str"/>
      <x:c r="U124" s="17" t="str"/>
      <x:c r="V124" s="17" t="str">
        <x:v>NO</x:v>
      </x:c>
      <x:c r="W124" s="17" t="str">
        <x:v>按原子提交回退；迁移仅向前修复</x:v>
      </x:c>
      <x:c r="X124" s="17" t="str"/>
      <x:c r="Y124" s="17" t="str"/>
    </x:row>
    <x:row r="125" ht="23" customHeight="1">
      <x:c r="A125" s="17" t="str">
        <x:v>M4-P117</x:v>
      </x:c>
      <x:c r="B125" s="17" t="str">
        <x:v>124</x:v>
      </x:c>
      <x:c r="C125" s="17" t="str">
        <x:v>M4</x:v>
      </x:c>
      <x:c r="D125" s="17" t="str">
        <x:v>LOGISTICS_STATE_MACHINE</x:v>
      </x:c>
      <x:c r="E125" s="17" t="str">
        <x:v>P0</x:v>
      </x:c>
      <x:c r="F125" s="17" t="str">
        <x:v>企业汇总收货</x:v>
      </x:c>
      <x:c r="G125" s="17" t="str">
        <x:v>§10个人跑腿与企业统一配送</x:v>
      </x:c>
      <x:c r="H125" s="17" t="str">
        <x:v>P0-117</x:v>
      </x:c>
      <x:c r="I125" s="17" t="str">
        <x:v>M4-000,M4-P115</x:v>
      </x:c>
      <x:c r="J125" s="17" t="str">
        <x:v>完成“企业汇总收货”纵向切片：迁移/领域规则/API/DTO/错误码/对应页面/测试/证据；不实现阶段外功能。</x:v>
      </x:c>
      <x:c r="K125" s="17" t="str">
        <x:v>应收/实收、批次、效期、温区、包装、照片、交接与少货/错货/破损差异可逐项登记；每个配送项可追溯原订单项和供应商子单，重复收货幂等且不覆盖原订单。</x:v>
      </x:c>
      <x:c r="L125" s="17" t="str">
        <x:v>unit+api+p0-e2e+concurrency+idempotency+failure-recovery</x:v>
      </x:c>
      <x:c r="M125" s="17" t="str">
        <x:v>NOT_STARTED</x:v>
      </x:c>
      <x:c r="N125" s="17" t="str">
        <x:v>NOT_EXECUTED</x:v>
      </x:c>
      <x:c r="O125" s="17" t="str">
        <x:v>UNASSIGNED</x:v>
      </x:c>
      <x:c r="P125" s="17" t="str"/>
      <x:c r="Q125" s="17" t="str">
        <x:v>codex/m4-m4-p117</x:v>
      </x:c>
      <x:c r="R125" s="17" t="str"/>
      <x:c r="S125" s="17" t="str"/>
      <x:c r="T125" s="17" t="str"/>
      <x:c r="U125" s="17" t="str"/>
      <x:c r="V125" s="17" t="str">
        <x:v>NO</x:v>
      </x:c>
      <x:c r="W125" s="17" t="str">
        <x:v>按原子提交回退；迁移仅向前修复</x:v>
      </x:c>
      <x:c r="X125" s="17" t="str"/>
      <x:c r="Y125" s="17" t="str"/>
    </x:row>
    <x:row r="126" ht="23" customHeight="1">
      <x:c r="A126" s="17" t="str">
        <x:v>M4-P118</x:v>
      </x:c>
      <x:c r="B126" s="17" t="str">
        <x:v>125</x:v>
      </x:c>
      <x:c r="C126" s="17" t="str">
        <x:v>M4</x:v>
      </x:c>
      <x:c r="D126" s="17" t="str">
        <x:v>LOGISTICS_STATE_MACHINE</x:v>
      </x:c>
      <x:c r="E126" s="17" t="str">
        <x:v>P0</x:v>
      </x:c>
      <x:c r="F126" s="17" t="str">
        <x:v>企业派车与移动执行</x:v>
      </x:c>
      <x:c r="G126" s="17" t="str">
        <x:v>§10个人跑腿与企业统一配送</x:v>
      </x:c>
      <x:c r="H126" s="17" t="str">
        <x:v>P0-118</x:v>
      </x:c>
      <x:c r="I126" s="17" t="str">
        <x:v>M4-000,M4-P116</x:v>
      </x:c>
      <x:c r="J126" s="17" t="str">
        <x:v>完成“企业派车与移动执行”纵向切片：迁移/领域规则/API/DTO/错误码/对应页面/测试/证据；不实现阶段外功能。</x:v>
      </x:c>
      <x:c r="K126" s="17" t="str">
        <x:v>公司可为已汇总批次安排公司车辆/司机或指定承运商并保存快照；移动页完成发车、运输、到达、联系、签收、回单和异常，第三方承运商P0无独立后台账号。</x:v>
      </x:c>
      <x:c r="L126" s="17" t="str">
        <x:v>unit+api+p0-e2e+concurrency+idempotency+failure-recovery</x:v>
      </x:c>
      <x:c r="M126" s="17" t="str">
        <x:v>NOT_STARTED</x:v>
      </x:c>
      <x:c r="N126" s="17" t="str">
        <x:v>NOT_EXECUTED</x:v>
      </x:c>
      <x:c r="O126" s="17" t="str">
        <x:v>UNASSIGNED</x:v>
      </x:c>
      <x:c r="P126" s="17" t="str"/>
      <x:c r="Q126" s="17" t="str">
        <x:v>codex/m4-m4-p118</x:v>
      </x:c>
      <x:c r="R126" s="17" t="str"/>
      <x:c r="S126" s="17" t="str"/>
      <x:c r="T126" s="17" t="str"/>
      <x:c r="U126" s="17" t="str"/>
      <x:c r="V126" s="17" t="str">
        <x:v>YES</x:v>
      </x:c>
      <x:c r="W126" s="17" t="str">
        <x:v>按原子提交回退；迁移仅向前修复</x:v>
      </x:c>
      <x:c r="X126" s="17" t="str"/>
      <x:c r="Y126" s="17" t="str"/>
    </x:row>
    <x:row r="127" ht="23" customHeight="1">
      <x:c r="A127" s="17" t="str">
        <x:v>M4-P119</x:v>
      </x:c>
      <x:c r="B127" s="17" t="str">
        <x:v>126</x:v>
      </x:c>
      <x:c r="C127" s="17" t="str">
        <x:v>M4</x:v>
      </x:c>
      <x:c r="D127" s="17" t="str">
        <x:v>LOGISTICS_STATE_MACHINE</x:v>
      </x:c>
      <x:c r="E127" s="17" t="str">
        <x:v>P0</x:v>
      </x:c>
      <x:c r="F127" s="17" t="str">
        <x:v>企业签收、对客同步与审计</x:v>
      </x:c>
      <x:c r="G127" s="17" t="str">
        <x:v>§10个人跑腿与企业统一配送</x:v>
      </x:c>
      <x:c r="H127" s="17" t="str">
        <x:v>P0-119</x:v>
      </x:c>
      <x:c r="I127" s="17" t="str">
        <x:v>M4-000,M4-P118</x:v>
      </x:c>
      <x:c r="J127" s="17" t="str">
        <x:v>完成“企业签收、对客同步与审计”纵向切片：迁移/领域规则/API/DTO/错误码/对应页面/测试/证据；不实现阶段外功能。</x:v>
      </x:c>
      <x:c r="K127" s="17" t="str">
        <x:v>企业门户只显示统一配送时间线、批次和签收结果；签收数量、签名/回单/照片、拒收和差异完整留痕。任务、节点、派车、异常和配送指标可审计且不泄露个人隐私或内部结算数据。</x:v>
      </x:c>
      <x:c r="L127" s="17" t="str">
        <x:v>unit+api+p0-e2e+concurrency+idempotency+failure-recovery</x:v>
      </x:c>
      <x:c r="M127" s="17" t="str">
        <x:v>NOT_STARTED</x:v>
      </x:c>
      <x:c r="N127" s="17" t="str">
        <x:v>NOT_EXECUTED</x:v>
      </x:c>
      <x:c r="O127" s="17" t="str">
        <x:v>UNASSIGNED</x:v>
      </x:c>
      <x:c r="P127" s="17" t="str"/>
      <x:c r="Q127" s="17" t="str">
        <x:v>codex/m4-m4-p119</x:v>
      </x:c>
      <x:c r="R127" s="17" t="str"/>
      <x:c r="S127" s="17" t="str"/>
      <x:c r="T127" s="17" t="str"/>
      <x:c r="U127" s="17" t="str"/>
      <x:c r="V127" s="17" t="str">
        <x:v>YES</x:v>
      </x:c>
      <x:c r="W127" s="17" t="str">
        <x:v>按原子提交回退；迁移仅向前修复</x:v>
      </x:c>
      <x:c r="X127" s="17" t="str"/>
      <x:c r="Y127" s="17" t="str"/>
    </x:row>
    <x:row r="128" ht="23" customHeight="1">
      <x:c r="A128" s="17" t="str">
        <x:v>M4-GATE</x:v>
      </x:c>
      <x:c r="B128" s="17" t="str">
        <x:v>127</x:v>
      </x:c>
      <x:c r="C128" s="17" t="str">
        <x:v>M4</x:v>
      </x:c>
      <x:c r="D128" s="17" t="str">
        <x:v>STAGE_GATE</x:v>
      </x:c>
      <x:c r="E128" s="17" t="str">
        <x:v>P0</x:v>
      </x:c>
      <x:c r="F128" s="17" t="str">
        <x:v>M4阶段门禁验收</x:v>
      </x:c>
      <x:c r="G128" s="17" t="str">
        <x:v>执行包§02</x:v>
      </x:c>
      <x:c r="H128" s="17" t="str"/>
      <x:c r="I128" s="17" t="str">
        <x:v>M4-000,M4-P032,M4-P033,M4-P034,M4-P035,M4-P036,M4-P037,M4-P064,M4-P095,M4-P099,M4-P100,M4-P101,M4-P102,M4-P103,M4-P104,M4-P105,M4-P106,M4-P107,M4-P108,M4-P109,M4-P110,M4-P111,M4-P112,M4-P113,M4-P114,M4-P115,M4-P116,M4-P117,M4-P118,M4-P119</x:v>
      </x:c>
      <x:c r="J128" s="17" t="str">
        <x:v>M4交接记录、P0证据、质量输出、风险和回滚材料</x:v>
      </x:c>
      <x:c r="K128" s="17" t="str">
        <x:v>29项主P0均通过；并发抢单、失权、节点幂等、双导航和企业配送隔离有自动化与真机证据状态。</x:v>
      </x:c>
      <x:c r="L128" s="17" t="str">
        <x:v>pnpm-verify+ci+stage-specific-evidence</x:v>
      </x:c>
      <x:c r="M128" s="17" t="str">
        <x:v>NOT_STARTED</x:v>
      </x:c>
      <x:c r="N128" s="17" t="str">
        <x:v>NOT_EXECUTED</x:v>
      </x:c>
      <x:c r="O128" s="17" t="str">
        <x:v>UNASSIGNED</x:v>
      </x:c>
      <x:c r="P128" s="17" t="str"/>
      <x:c r="Q128" s="17" t="str">
        <x:v>codex/m4-m4</x:v>
      </x:c>
      <x:c r="R128" s="17" t="str"/>
      <x:c r="S128" s="17" t="str"/>
      <x:c r="T128" s="17" t="str"/>
      <x:c r="U128" s="17" t="str"/>
      <x:c r="V128" s="17" t="str">
        <x:v>YES</x:v>
      </x:c>
      <x:c r="W128" s="17" t="str">
        <x:v>按原子提交回退；迁移仅向前修复</x:v>
      </x:c>
      <x:c r="X128" s="17" t="str"/>
      <x:c r="Y128" s="17" t="str"/>
    </x:row>
    <x:row r="129" ht="23" customHeight="1">
      <x:c r="A129" s="17" t="str">
        <x:v>M5-000</x:v>
      </x:c>
      <x:c r="B129" s="17" t="str">
        <x:v>128</x:v>
      </x:c>
      <x:c r="C129" s="17" t="str">
        <x:v>M5</x:v>
      </x:c>
      <x:c r="D129" s="17" t="str">
        <x:v>CONTRACT_SLICE_PLAN</x:v>
      </x:c>
      <x:c r="E129" s="17" t="str">
        <x:v>P0</x:v>
      </x:c>
      <x:c r="F129" s="17" t="str">
        <x:v>冻结M5字段、状态机、权限与契约切片</x:v>
      </x:c>
      <x:c r="G129" s="17" t="str">
        <x:v>执行包字段/状态机/权限/API台账</x:v>
      </x:c>
      <x:c r="H129" s="17" t="str"/>
      <x:c r="I129" s="17" t="str">
        <x:v>M4-GATE</x:v>
      </x:c>
      <x:c r="J129" s="17" t="str">
        <x:v>把M5涉及的字段、状态、DTO、错误码、权限、P0和失败测试细化为可编码契约</x:v>
      </x:c>
      <x:c r="K129" s="17" t="str">
        <x:v>所有本阶段开发任务可追踪到冻结契约；未决业务决定进入人工事项，不在代码中猜测。</x:v>
      </x:c>
      <x:c r="L129" s="17" t="str">
        <x:v>contract-review+negative-test-plan</x:v>
      </x:c>
      <x:c r="M129" s="17" t="str">
        <x:v>NOT_STARTED</x:v>
      </x:c>
      <x:c r="N129" s="17" t="str">
        <x:v>NOT_EXECUTED</x:v>
      </x:c>
      <x:c r="O129" s="17" t="str">
        <x:v>UNASSIGNED</x:v>
      </x:c>
      <x:c r="P129" s="17" t="str"/>
      <x:c r="Q129" s="17" t="str">
        <x:v>codex/m5-m5</x:v>
      </x:c>
      <x:c r="R129" s="17" t="str"/>
      <x:c r="S129" s="17" t="str"/>
      <x:c r="T129" s="17" t="str"/>
      <x:c r="U129" s="17" t="str"/>
      <x:c r="V129" s="17" t="str">
        <x:v>NO</x:v>
      </x:c>
      <x:c r="W129" s="17" t="str">
        <x:v>按原子提交回退；迁移仅向前修复</x:v>
      </x:c>
      <x:c r="X129" s="17" t="str"/>
      <x:c r="Y129" s="17" t="str"/>
    </x:row>
    <x:row r="130" ht="23" customHeight="1">
      <x:c r="A130" s="17" t="str">
        <x:v>M5-P038</x:v>
      </x:c>
      <x:c r="B130" s="17" t="str">
        <x:v>129</x:v>
      </x:c>
      <x:c r="C130" s="17" t="str">
        <x:v>M5</x:v>
      </x:c>
      <x:c r="D130" s="17" t="str">
        <x:v>BUSINESS_VERTICAL_SLICE</x:v>
      </x:c>
      <x:c r="E130" s="17" t="str">
        <x:v>P0</x:v>
      </x:c>
      <x:c r="F130" s="17" t="str">
        <x:v>售后统一受理</x:v>
      </x:c>
      <x:c r="G130" s="17" t="str">
        <x:v>§11售后、§12对账结算</x:v>
      </x:c>
      <x:c r="H130" s="17" t="str">
        <x:v>P0-038</x:v>
      </x:c>
      <x:c r="I130" s="17" t="str">
        <x:v>M5-000</x:v>
      </x:c>
      <x:c r="J130" s="17" t="str">
        <x:v>完成“售后统一受理”纵向切片：迁移/领域规则/API/DTO/错误码/对应页面/测试/证据；不实现阶段外功能。</x:v>
      </x:c>
      <x:c r="K130" s="17" t="str">
        <x:v>用户向公司申请售后，供应商仅提交意见和凭证。</x:v>
      </x:c>
      <x:c r="L130" s="17" t="str">
        <x:v>unit+api+p0-e2e</x:v>
      </x:c>
      <x:c r="M130" s="17" t="str">
        <x:v>NOT_STARTED</x:v>
      </x:c>
      <x:c r="N130" s="17" t="str">
        <x:v>NOT_EXECUTED</x:v>
      </x:c>
      <x:c r="O130" s="17" t="str">
        <x:v>UNASSIGNED</x:v>
      </x:c>
      <x:c r="P130" s="17" t="str"/>
      <x:c r="Q130" s="17" t="str">
        <x:v>codex/m5-m5-p038</x:v>
      </x:c>
      <x:c r="R130" s="17" t="str"/>
      <x:c r="S130" s="17" t="str"/>
      <x:c r="T130" s="17" t="str"/>
      <x:c r="U130" s="17" t="str"/>
      <x:c r="V130" s="17" t="str">
        <x:v>NO</x:v>
      </x:c>
      <x:c r="W130" s="17" t="str">
        <x:v>按原子提交回退；迁移仅向前修复</x:v>
      </x:c>
      <x:c r="X130" s="17" t="str"/>
      <x:c r="Y130" s="17" t="str"/>
    </x:row>
    <x:row r="131" ht="23" customHeight="1">
      <x:c r="A131" s="17" t="str">
        <x:v>M5-P039</x:v>
      </x:c>
      <x:c r="B131" s="17" t="str">
        <x:v>130</x:v>
      </x:c>
      <x:c r="C131" s="17" t="str">
        <x:v>M5</x:v>
      </x:c>
      <x:c r="D131" s="17" t="str">
        <x:v>BUSINESS_VERTICAL_SLICE</x:v>
      </x:c>
      <x:c r="E131" s="17" t="str">
        <x:v>P0</x:v>
      </x:c>
      <x:c r="F131" s="17" t="str">
        <x:v>责任归因</x:v>
      </x:c>
      <x:c r="G131" s="17" t="str">
        <x:v>§11售后、§12对账结算</x:v>
      </x:c>
      <x:c r="H131" s="17" t="str">
        <x:v>P0-039</x:v>
      </x:c>
      <x:c r="I131" s="17" t="str">
        <x:v>M5-000,M5-P038</x:v>
      </x:c>
      <x:c r="J131" s="17" t="str">
        <x:v>完成“责任归因”纵向切片：迁移/领域规则/API/DTO/错误码/对应页面/测试/证据；不实现阶段外功能。</x:v>
      </x:c>
      <x:c r="K131" s="17" t="str">
        <x:v>用户/企业、供应商、个人跑腿、平台企业配送、公司和责任不清均有退款与对账处理规则。</x:v>
      </x:c>
      <x:c r="L131" s="17" t="str">
        <x:v>unit+api+p0-e2e</x:v>
      </x:c>
      <x:c r="M131" s="17" t="str">
        <x:v>NOT_STARTED</x:v>
      </x:c>
      <x:c r="N131" s="17" t="str">
        <x:v>NOT_EXECUTED</x:v>
      </x:c>
      <x:c r="O131" s="17" t="str">
        <x:v>UNASSIGNED</x:v>
      </x:c>
      <x:c r="P131" s="17" t="str"/>
      <x:c r="Q131" s="17" t="str">
        <x:v>codex/m5-m5-p039</x:v>
      </x:c>
      <x:c r="R131" s="17" t="str"/>
      <x:c r="S131" s="17" t="str"/>
      <x:c r="T131" s="17" t="str"/>
      <x:c r="U131" s="17" t="str"/>
      <x:c r="V131" s="17" t="str">
        <x:v>NO</x:v>
      </x:c>
      <x:c r="W131" s="17" t="str">
        <x:v>按原子提交回退；迁移仅向前修复</x:v>
      </x:c>
      <x:c r="X131" s="17" t="str"/>
      <x:c r="Y131" s="17" t="str"/>
    </x:row>
    <x:row r="132" ht="23" customHeight="1">
      <x:c r="A132" s="17" t="str">
        <x:v>M5-P040</x:v>
      </x:c>
      <x:c r="B132" s="17" t="str">
        <x:v>131</x:v>
      </x:c>
      <x:c r="C132" s="17" t="str">
        <x:v>M5</x:v>
      </x:c>
      <x:c r="D132" s="17" t="str">
        <x:v>FINANCE_TRANSACTION</x:v>
      </x:c>
      <x:c r="E132" s="17" t="str">
        <x:v>P0</x:v>
      </x:c>
      <x:c r="F132" s="17" t="str">
        <x:v>线上对账单</x:v>
      </x:c>
      <x:c r="G132" s="17" t="str">
        <x:v>§11售后、§12对账结算</x:v>
      </x:c>
      <x:c r="H132" s="17" t="str">
        <x:v>P0-040</x:v>
      </x:c>
      <x:c r="I132" s="17" t="str">
        <x:v>M5-000,M5-P038</x:v>
      </x:c>
      <x:c r="J132" s="17" t="str">
        <x:v>完成“线上对账单”纵向切片：迁移/领域规则/API/DTO/错误码/对应页面/测试/证据；不实现阶段外功能。</x:v>
      </x:c>
      <x:c r="K132" s="17" t="str">
        <x:v>供应商逐项查看订单、经审核生效的供应价快照、数量、退款、调整和本期应付。</x:v>
      </x:c>
      <x:c r="L132" s="17" t="str">
        <x:v>unit+api+p0-e2e+concurrency+idempotency+failure-recovery</x:v>
      </x:c>
      <x:c r="M132" s="17" t="str">
        <x:v>NOT_STARTED</x:v>
      </x:c>
      <x:c r="N132" s="17" t="str">
        <x:v>NOT_EXECUTED</x:v>
      </x:c>
      <x:c r="O132" s="17" t="str">
        <x:v>UNASSIGNED</x:v>
      </x:c>
      <x:c r="P132" s="17" t="str"/>
      <x:c r="Q132" s="17" t="str">
        <x:v>codex/m5-m5-p040</x:v>
      </x:c>
      <x:c r="R132" s="17" t="str"/>
      <x:c r="S132" s="17" t="str"/>
      <x:c r="T132" s="17" t="str"/>
      <x:c r="U132" s="17" t="str"/>
      <x:c r="V132" s="17" t="str">
        <x:v>NO</x:v>
      </x:c>
      <x:c r="W132" s="17" t="str">
        <x:v>按原子提交回退；迁移仅向前修复</x:v>
      </x:c>
      <x:c r="X132" s="17" t="str"/>
      <x:c r="Y132" s="17" t="str"/>
    </x:row>
    <x:row r="133" ht="23" customHeight="1">
      <x:c r="A133" s="17" t="str">
        <x:v>M5-P041</x:v>
      </x:c>
      <x:c r="B133" s="17" t="str">
        <x:v>132</x:v>
      </x:c>
      <x:c r="C133" s="17" t="str">
        <x:v>M5</x:v>
      </x:c>
      <x:c r="D133" s="17" t="str">
        <x:v>FINANCE_TRANSACTION</x:v>
      </x:c>
      <x:c r="E133" s="17" t="str">
        <x:v>P0</x:v>
      </x:c>
      <x:c r="F133" s="17" t="str">
        <x:v>差异申诉</x:v>
      </x:c>
      <x:c r="G133" s="17" t="str">
        <x:v>§11售后、§12对账结算</x:v>
      </x:c>
      <x:c r="H133" s="17" t="str">
        <x:v>P0-041</x:v>
      </x:c>
      <x:c r="I133" s="17" t="str">
        <x:v>M5-000,M5-P040</x:v>
      </x:c>
      <x:c r="J133" s="17" t="str">
        <x:v>完成“差异申诉”纵向切片：迁移/领域规则/API/DTO/错误码/对应页面/测试/证据；不实现阶段外功能。</x:v>
      </x:c>
      <x:c r="K133" s="17" t="str">
        <x:v>供应商可对账单提出差异、上传凭证，公司复核过程可追溯。</x:v>
      </x:c>
      <x:c r="L133" s="17" t="str">
        <x:v>unit+api+p0-e2e+concurrency+idempotency+failure-recovery</x:v>
      </x:c>
      <x:c r="M133" s="17" t="str">
        <x:v>NOT_STARTED</x:v>
      </x:c>
      <x:c r="N133" s="17" t="str">
        <x:v>NOT_EXECUTED</x:v>
      </x:c>
      <x:c r="O133" s="17" t="str">
        <x:v>UNASSIGNED</x:v>
      </x:c>
      <x:c r="P133" s="17" t="str"/>
      <x:c r="Q133" s="17" t="str">
        <x:v>codex/m5-m5-p041</x:v>
      </x:c>
      <x:c r="R133" s="17" t="str"/>
      <x:c r="S133" s="17" t="str"/>
      <x:c r="T133" s="17" t="str"/>
      <x:c r="U133" s="17" t="str"/>
      <x:c r="V133" s="17" t="str">
        <x:v>NO</x:v>
      </x:c>
      <x:c r="W133" s="17" t="str">
        <x:v>按原子提交回退；迁移仅向前修复</x:v>
      </x:c>
      <x:c r="X133" s="17" t="str"/>
      <x:c r="Y133" s="17" t="str"/>
    </x:row>
    <x:row r="134" ht="23" customHeight="1">
      <x:c r="A134" s="17" t="str">
        <x:v>M5-P042</x:v>
      </x:c>
      <x:c r="B134" s="17" t="str">
        <x:v>133</x:v>
      </x:c>
      <x:c r="C134" s="17" t="str">
        <x:v>M5</x:v>
      </x:c>
      <x:c r="D134" s="17" t="str">
        <x:v>FINANCE_TRANSACTION</x:v>
      </x:c>
      <x:c r="E134" s="17" t="str">
        <x:v>P0</x:v>
      </x:c>
      <x:c r="F134" s="17" t="str">
        <x:v>线下结算</x:v>
      </x:c>
      <x:c r="G134" s="17" t="str">
        <x:v>§11售后、§12对账结算</x:v>
      </x:c>
      <x:c r="H134" s="17" t="str">
        <x:v>P0-042</x:v>
      </x:c>
      <x:c r="I134" s="17" t="str">
        <x:v>M5-000,M5-P040</x:v>
      </x:c>
      <x:c r="J134" s="17" t="str">
        <x:v>完成“线下结算”纵向切片：迁移/领域规则/API/DTO/错误码/对应页面/测试/证据；不实现阶段外功能。</x:v>
      </x:c>
      <x:c r="K134" s="17" t="str">
        <x:v>系统不自动出款；公司登记线下付款金额、时间、银行流水和凭证。</x:v>
      </x:c>
      <x:c r="L134" s="17" t="str">
        <x:v>unit+api+p0-e2e+concurrency+idempotency+failure-recovery</x:v>
      </x:c>
      <x:c r="M134" s="17" t="str">
        <x:v>NOT_STARTED</x:v>
      </x:c>
      <x:c r="N134" s="17" t="str">
        <x:v>NOT_EXECUTED</x:v>
      </x:c>
      <x:c r="O134" s="17" t="str">
        <x:v>UNASSIGNED</x:v>
      </x:c>
      <x:c r="P134" s="17" t="str"/>
      <x:c r="Q134" s="17" t="str">
        <x:v>codex/m5-m5-p042</x:v>
      </x:c>
      <x:c r="R134" s="17" t="str"/>
      <x:c r="S134" s="17" t="str"/>
      <x:c r="T134" s="17" t="str"/>
      <x:c r="U134" s="17" t="str"/>
      <x:c r="V134" s="17" t="str">
        <x:v>YES</x:v>
      </x:c>
      <x:c r="W134" s="17" t="str">
        <x:v>按原子提交回退；迁移仅向前修复</x:v>
      </x:c>
      <x:c r="X134" s="17" t="str"/>
      <x:c r="Y134" s="17" t="str"/>
    </x:row>
    <x:row r="135" ht="23" customHeight="1">
      <x:c r="A135" s="17" t="str">
        <x:v>M5-P043</x:v>
      </x:c>
      <x:c r="B135" s="17" t="str">
        <x:v>134</x:v>
      </x:c>
      <x:c r="C135" s="17" t="str">
        <x:v>M5</x:v>
      </x:c>
      <x:c r="D135" s="17" t="str">
        <x:v>FINANCE_TRANSACTION</x:v>
      </x:c>
      <x:c r="E135" s="17" t="str">
        <x:v>P0</x:v>
      </x:c>
      <x:c r="F135" s="17" t="str">
        <x:v>账单不可覆盖</x:v>
      </x:c>
      <x:c r="G135" s="17" t="str">
        <x:v>§11售后、§12对账结算</x:v>
      </x:c>
      <x:c r="H135" s="17" t="str">
        <x:v>P0-043</x:v>
      </x:c>
      <x:c r="I135" s="17" t="str">
        <x:v>M5-000,M5-P042</x:v>
      </x:c>
      <x:c r="J135" s="17" t="str">
        <x:v>完成“账单不可覆盖”纵向切片：迁移/领域规则/API/DTO/错误码/对应页面/测试/证据；不实现阶段外功能。</x:v>
      </x:c>
      <x:c r="K135" s="17" t="str">
        <x:v>已确认账单不允许直接修改，错误通过补充或冲正调整处理。</x:v>
      </x:c>
      <x:c r="L135" s="17" t="str">
        <x:v>unit+api+p0-e2e+concurrency+idempotency+failure-recovery</x:v>
      </x:c>
      <x:c r="M135" s="17" t="str">
        <x:v>NOT_STARTED</x:v>
      </x:c>
      <x:c r="N135" s="17" t="str">
        <x:v>NOT_EXECUTED</x:v>
      </x:c>
      <x:c r="O135" s="17" t="str">
        <x:v>UNASSIGNED</x:v>
      </x:c>
      <x:c r="P135" s="17" t="str"/>
      <x:c r="Q135" s="17" t="str">
        <x:v>codex/m5-m5-p043</x:v>
      </x:c>
      <x:c r="R135" s="17" t="str"/>
      <x:c r="S135" s="17" t="str"/>
      <x:c r="T135" s="17" t="str"/>
      <x:c r="U135" s="17" t="str"/>
      <x:c r="V135" s="17" t="str">
        <x:v>NO</x:v>
      </x:c>
      <x:c r="W135" s="17" t="str">
        <x:v>按原子提交回退；迁移仅向前修复</x:v>
      </x:c>
      <x:c r="X135" s="17" t="str"/>
      <x:c r="Y135" s="17" t="str"/>
    </x:row>
    <x:row r="136" ht="23" customHeight="1">
      <x:c r="A136" s="17" t="str">
        <x:v>M5-P044</x:v>
      </x:c>
      <x:c r="B136" s="17" t="str">
        <x:v>135</x:v>
      </x:c>
      <x:c r="C136" s="17" t="str">
        <x:v>M5</x:v>
      </x:c>
      <x:c r="D136" s="17" t="str">
        <x:v>BUSINESS_VERTICAL_SLICE</x:v>
      </x:c>
      <x:c r="E136" s="17" t="str">
        <x:v>P0</x:v>
      </x:c>
      <x:c r="F136" s="17" t="str">
        <x:v>供应商退出</x:v>
      </x:c>
      <x:c r="G136" s="17" t="str">
        <x:v>§11售后、§12对账结算</x:v>
      </x:c>
      <x:c r="H136" s="17" t="str">
        <x:v>P0-044</x:v>
      </x:c>
      <x:c r="I136" s="17" t="str">
        <x:v>M5-000,M5-P040</x:v>
      </x:c>
      <x:c r="J136" s="17" t="str">
        <x:v>完成“供应商退出”纵向切片：迁移/领域规则/API/DTO/错误码/对应页面/测试/证据；不实现阶段外功能。</x:v>
      </x:c>
      <x:c r="K136" s="17" t="str">
        <x:v>终止前完成订单、售后、对账和发票；历史记录保留。</x:v>
      </x:c>
      <x:c r="L136" s="17" t="str">
        <x:v>unit+api+p0-e2e</x:v>
      </x:c>
      <x:c r="M136" s="17" t="str">
        <x:v>NOT_STARTED</x:v>
      </x:c>
      <x:c r="N136" s="17" t="str">
        <x:v>NOT_EXECUTED</x:v>
      </x:c>
      <x:c r="O136" s="17" t="str">
        <x:v>UNASSIGNED</x:v>
      </x:c>
      <x:c r="P136" s="17" t="str"/>
      <x:c r="Q136" s="17" t="str">
        <x:v>codex/m5-m5-p044</x:v>
      </x:c>
      <x:c r="R136" s="17" t="str"/>
      <x:c r="S136" s="17" t="str"/>
      <x:c r="T136" s="17" t="str"/>
      <x:c r="U136" s="17" t="str"/>
      <x:c r="V136" s="17" t="str">
        <x:v>NO</x:v>
      </x:c>
      <x:c r="W136" s="17" t="str">
        <x:v>按原子提交回退；迁移仅向前修复</x:v>
      </x:c>
      <x:c r="X136" s="17" t="str"/>
      <x:c r="Y136" s="17" t="str"/>
    </x:row>
    <x:row r="137" ht="23" customHeight="1">
      <x:c r="A137" s="17" t="str">
        <x:v>M5-P060</x:v>
      </x:c>
      <x:c r="B137" s="17" t="str">
        <x:v>136</x:v>
      </x:c>
      <x:c r="C137" s="17" t="str">
        <x:v>M5</x:v>
      </x:c>
      <x:c r="D137" s="17" t="str">
        <x:v>FINANCE_TRANSACTION</x:v>
      </x:c>
      <x:c r="E137" s="17" t="str">
        <x:v>P0</x:v>
      </x:c>
      <x:c r="F137" s="17" t="str">
        <x:v>供应商结算隔离与合规门槛</x:v>
      </x:c>
      <x:c r="G137" s="17" t="str">
        <x:v>§11售后、§12对账结算</x:v>
      </x:c>
      <x:c r="H137" s="17" t="str">
        <x:v>P0-060</x:v>
      </x:c>
      <x:c r="I137" s="17" t="str">
        <x:v>M5-000,M5-P040</x:v>
      </x:c>
      <x:c r="J137" s="17" t="str">
        <x:v>完成“供应商结算隔离与合规门槛”纵向切片：迁移/领域规则/API/DTO/错误码/对应页面/测试/证据；不实现阶段外功能。</x:v>
      </x:c>
      <x:c r="K137" s="17" t="str">
        <x:v>用户支付结构不影响供应商供货款；系统不提供个人现金充值功能，福利卡资金仅来源于企业福利发放、公司活动赠送和实体卡/兑换码。</x:v>
      </x:c>
      <x:c r="L137" s="17" t="str">
        <x:v>unit+api+p0-e2e+funding-source-negative+settlement-isolation+authorization+response-whitelist</x:v>
      </x:c>
      <x:c r="M137" s="17" t="str">
        <x:v>NOT_STARTED</x:v>
      </x:c>
      <x:c r="N137" s="17" t="str">
        <x:v>NOT_EXECUTED</x:v>
      </x:c>
      <x:c r="O137" s="17" t="str">
        <x:v>UNASSIGNED</x:v>
      </x:c>
      <x:c r="P137" s="17" t="str"/>
      <x:c r="Q137" s="17" t="str">
        <x:v>codex/m5-m5-p060</x:v>
      </x:c>
      <x:c r="R137" s="17" t="str"/>
      <x:c r="S137" s="17" t="str"/>
      <x:c r="T137" s="17" t="str"/>
      <x:c r="U137" s="17" t="str"/>
      <x:c r="V137" s="17" t="str">
        <x:v>NO</x:v>
      </x:c>
      <x:c r="W137" s="17" t="str">
        <x:v>按原子提交回退；迁移仅向前修复</x:v>
      </x:c>
      <x:c r="X137" s="17" t="str"/>
      <x:c r="Y137" s="17" t="str"/>
    </x:row>
    <x:row r="138" ht="23" customHeight="1">
      <x:c r="A138" s="17" t="str">
        <x:v>M5-P065</x:v>
      </x:c>
      <x:c r="B138" s="17" t="str">
        <x:v>137</x:v>
      </x:c>
      <x:c r="C138" s="17" t="str">
        <x:v>M5</x:v>
      </x:c>
      <x:c r="D138" s="17" t="str">
        <x:v>FINANCE_TRANSACTION</x:v>
      </x:c>
      <x:c r="E138" s="17" t="str">
        <x:v>P0</x:v>
      </x:c>
      <x:c r="F138" s="17" t="str">
        <x:v>多供应商分别对账</x:v>
      </x:c>
      <x:c r="G138" s="17" t="str">
        <x:v>§11售后、§12对账结算</x:v>
      </x:c>
      <x:c r="H138" s="17" t="str">
        <x:v>P0-065</x:v>
      </x:c>
      <x:c r="I138" s="17" t="str">
        <x:v>M5-000,M5-P040</x:v>
      </x:c>
      <x:c r="J138" s="17" t="str">
        <x:v>完成“多供应商分别对账”纵向切片：迁移/领域规则/API/DTO/错误码/对应页面/测试/证据；不实现阶段外功能。</x:v>
      </x:c>
      <x:c r="K138" s="17" t="str">
        <x:v>个人和企业主订单均按供应商履约子单分别进入对应供应商账单；每家供应商以其经审核生效的供应价快照、履约数量和责任调整计算，公司分别线下结算。供应价仅进入公司内部账单和对应供应商账单，客户付款方式、对客页面及其他供应商数据不得混入。</x:v>
      </x:c>
      <x:c r="L138" s="17" t="str">
        <x:v>unit+api+p0-e2e+concurrency+idempotency+failure-recovery+authorization+response-whitelist</x:v>
      </x:c>
      <x:c r="M138" s="17" t="str">
        <x:v>NOT_STARTED</x:v>
      </x:c>
      <x:c r="N138" s="17" t="str">
        <x:v>NOT_EXECUTED</x:v>
      </x:c>
      <x:c r="O138" s="17" t="str">
        <x:v>UNASSIGNED</x:v>
      </x:c>
      <x:c r="P138" s="17" t="str"/>
      <x:c r="Q138" s="17" t="str">
        <x:v>codex/m5-m5-p065</x:v>
      </x:c>
      <x:c r="R138" s="17" t="str"/>
      <x:c r="S138" s="17" t="str"/>
      <x:c r="T138" s="17" t="str"/>
      <x:c r="U138" s="17" t="str"/>
      <x:c r="V138" s="17" t="str">
        <x:v>NO</x:v>
      </x:c>
      <x:c r="W138" s="17" t="str">
        <x:v>按原子提交回退；迁移仅向前修复</x:v>
      </x:c>
      <x:c r="X138" s="17" t="str"/>
      <x:c r="Y138" s="17" t="str"/>
    </x:row>
    <x:row r="139" ht="23" customHeight="1">
      <x:c r="A139" s="17" t="str">
        <x:v>M5-P082</x:v>
      </x:c>
      <x:c r="B139" s="17" t="str">
        <x:v>138</x:v>
      </x:c>
      <x:c r="C139" s="17" t="str">
        <x:v>M5</x:v>
      </x:c>
      <x:c r="D139" s="17" t="str">
        <x:v>SECURITY</x:v>
      </x:c>
      <x:c r="E139" s="17" t="str">
        <x:v>P0</x:v>
      </x:c>
      <x:c r="F139" s="17" t="str">
        <x:v>门户内容、SEO 与安全</x:v>
      </x:c>
      <x:c r="G139" s="17" t="str">
        <x:v>§8企业门户网站</x:v>
      </x:c>
      <x:c r="H139" s="17" t="str">
        <x:v>P0-082</x:v>
      </x:c>
      <x:c r="I139" s="17" t="str">
        <x:v>M5-000</x:v>
      </x:c>
      <x:c r="J139" s="17" t="str">
        <x:v>完成“门户内容、SEO 与安全”纵向切片：迁移/领域规则/API/DTO/错误码/对应页面/测试/证据；不实现阶段外功能。</x:v>
      </x:c>
      <x:c r="K139" s="17" t="str">
        <x:v>公开内容支持草稿、预览、发布、下线和不可覆盖版本；Next.js 公开页输出可抓取 HTML、唯一元数据、canonical、结构化数据、sitemap/robots，并在发布后按 slug 正确失效；登录、预览与企业交易页为 noindex 且禁止公共缓存。富文本、上传、表单、埋点及商务线索满足权限、净化、最小收集和审计要求。</x:v>
      </x:c>
      <x:c r="L139" s="17" t="str">
        <x:v>unit+api+p0-e2e+ssr-html+isr-revalidation+metadata+sitemap+robots+cache+noindex+security</x:v>
      </x:c>
      <x:c r="M139" s="17" t="str">
        <x:v>NOT_STARTED</x:v>
      </x:c>
      <x:c r="N139" s="17" t="str">
        <x:v>NOT_EXECUTED</x:v>
      </x:c>
      <x:c r="O139" s="17" t="str">
        <x:v>UNASSIGNED</x:v>
      </x:c>
      <x:c r="P139" s="17" t="str"/>
      <x:c r="Q139" s="17" t="str">
        <x:v>codex/m5-seo</x:v>
      </x:c>
      <x:c r="R139" s="17" t="str"/>
      <x:c r="S139" s="17" t="str"/>
      <x:c r="T139" s="17" t="str"/>
      <x:c r="U139" s="17" t="str"/>
      <x:c r="V139" s="17" t="str">
        <x:v>YES</x:v>
      </x:c>
      <x:c r="W139" s="17" t="str">
        <x:v>按原子提交回退；迁移仅向前修复</x:v>
      </x:c>
      <x:c r="X139" s="17" t="str"/>
      <x:c r="Y139" s="17" t="str"/>
    </x:row>
    <x:row r="140" ht="23" customHeight="1">
      <x:c r="A140" s="17" t="str">
        <x:v>M5-GATE</x:v>
      </x:c>
      <x:c r="B140" s="17" t="str">
        <x:v>139</x:v>
      </x:c>
      <x:c r="C140" s="17" t="str">
        <x:v>M5</x:v>
      </x:c>
      <x:c r="D140" s="17" t="str">
        <x:v>STAGE_GATE</x:v>
      </x:c>
      <x:c r="E140" s="17" t="str">
        <x:v>P0</x:v>
      </x:c>
      <x:c r="F140" s="17" t="str">
        <x:v>M5阶段门禁验收</x:v>
      </x:c>
      <x:c r="G140" s="17" t="str">
        <x:v>执行包§02</x:v>
      </x:c>
      <x:c r="H140" s="17" t="str"/>
      <x:c r="I140" s="17" t="str">
        <x:v>M5-000,M5-P038,M5-P039,M5-P040,M5-P041,M5-P042,M5-P043,M5-P044,M5-P060,M5-P065,M5-P082</x:v>
      </x:c>
      <x:c r="J140" s="17" t="str">
        <x:v>M5交接记录、P0证据、质量输出、风险和回滚材料</x:v>
      </x:c>
      <x:c r="K140" s="17" t="str">
        <x:v>10项主P0均通过；结算隔离、冲正、自然人双审、导出审批、门户服务端HTML/ISR/SEO/noindex/缓存隔离和退出流程可审计。</x:v>
      </x:c>
      <x:c r="L140" s="17" t="str">
        <x:v>pnpm-verify+ci+stage-specific-evidence+portal-render-cache</x:v>
      </x:c>
      <x:c r="M140" s="17" t="str">
        <x:v>NOT_STARTED</x:v>
      </x:c>
      <x:c r="N140" s="17" t="str">
        <x:v>NOT_EXECUTED</x:v>
      </x:c>
      <x:c r="O140" s="17" t="str">
        <x:v>UNASSIGNED</x:v>
      </x:c>
      <x:c r="P140" s="17" t="str"/>
      <x:c r="Q140" s="17" t="str">
        <x:v>codex/m5-m5</x:v>
      </x:c>
      <x:c r="R140" s="17" t="str"/>
      <x:c r="S140" s="17" t="str"/>
      <x:c r="T140" s="17" t="str"/>
      <x:c r="U140" s="17" t="str"/>
      <x:c r="V140" s="17" t="str">
        <x:v>YES</x:v>
      </x:c>
      <x:c r="W140" s="17" t="str">
        <x:v>按原子提交回退；迁移仅向前修复</x:v>
      </x:c>
      <x:c r="X140" s="17" t="str"/>
      <x:c r="Y140" s="17" t="str"/>
    </x:row>
    <x:row r="141" ht="23" customHeight="1">
      <x:c r="A141" s="17" t="str">
        <x:v>M6-000</x:v>
      </x:c>
      <x:c r="B141" s="17" t="str">
        <x:v>140</x:v>
      </x:c>
      <x:c r="C141" s="17" t="str">
        <x:v>M6</x:v>
      </x:c>
      <x:c r="D141" s="17" t="str">
        <x:v>CONTRACT_SLICE_PLAN</x:v>
      </x:c>
      <x:c r="E141" s="17" t="str">
        <x:v>P0</x:v>
      </x:c>
      <x:c r="F141" s="17" t="str">
        <x:v>冻结M6字段、状态机、权限与契约切片</x:v>
      </x:c>
      <x:c r="G141" s="17" t="str">
        <x:v>执行包字段/状态机/权限/API台账</x:v>
      </x:c>
      <x:c r="H141" s="17" t="str"/>
      <x:c r="I141" s="17" t="str">
        <x:v>M5-GATE</x:v>
      </x:c>
      <x:c r="J141" s="17" t="str">
        <x:v>把M6涉及的字段、状态、DTO、错误码、权限、P0和失败测试细化为可编码契约</x:v>
      </x:c>
      <x:c r="K141" s="17" t="str">
        <x:v>所有本阶段开发任务可追踪到冻结契约；未决业务决定进入人工事项，不在代码中猜测。</x:v>
      </x:c>
      <x:c r="L141" s="17" t="str">
        <x:v>contract-review+negative-test-plan</x:v>
      </x:c>
      <x:c r="M141" s="17" t="str">
        <x:v>NOT_STARTED</x:v>
      </x:c>
      <x:c r="N141" s="17" t="str">
        <x:v>NOT_EXECUTED</x:v>
      </x:c>
      <x:c r="O141" s="17" t="str">
        <x:v>UNASSIGNED</x:v>
      </x:c>
      <x:c r="P141" s="17" t="str"/>
      <x:c r="Q141" s="17" t="str">
        <x:v>codex/m6-m6</x:v>
      </x:c>
      <x:c r="R141" s="17" t="str"/>
      <x:c r="S141" s="17" t="str"/>
      <x:c r="T141" s="17" t="str"/>
      <x:c r="U141" s="17" t="str"/>
      <x:c r="V141" s="17" t="str">
        <x:v>NO</x:v>
      </x:c>
      <x:c r="W141" s="17" t="str">
        <x:v>按原子提交回退；迁移仅向前修复</x:v>
      </x:c>
      <x:c r="X141" s="17" t="str"/>
      <x:c r="Y141" s="17" t="str"/>
    </x:row>
    <x:row r="142" ht="23" customHeight="1">
      <x:c r="A142" s="17" t="str">
        <x:v>M6-P048</x:v>
      </x:c>
      <x:c r="B142" s="17" t="str">
        <x:v>141</x:v>
      </x:c>
      <x:c r="C142" s="17" t="str">
        <x:v>M6</x:v>
      </x:c>
      <x:c r="D142" s="17" t="str">
        <x:v>BUSINESS_VERTICAL_SLICE</x:v>
      </x:c>
      <x:c r="E142" s="17" t="str">
        <x:v>P0</x:v>
      </x:c>
      <x:c r="F142" s="17" t="str">
        <x:v>迁移与构建</x:v>
      </x:c>
      <x:c r="G142" s="17" t="str">
        <x:v>§15工程与§16-P0验收矩阵</x:v>
      </x:c>
      <x:c r="H142" s="17" t="str">
        <x:v>P0-048</x:v>
      </x:c>
      <x:c r="I142" s="17" t="str">
        <x:v>M6-000</x:v>
      </x:c>
      <x:c r="J142" s="17" t="str">
        <x:v>完成“迁移与构建”纵向切片：迁移/领域规则/API/DTO/错误码/对应页面/测试/证据；不实现阶段外功能。</x:v>
      </x:c>
      <x:c r="K142" s="17" t="str">
        <x:v>Prisma validate、migration dry-run、lint、typecheck、test 和 build 全部通过。</x:v>
      </x:c>
      <x:c r="L142" s="17" t="str">
        <x:v>unit+api+p0-e2e</x:v>
      </x:c>
      <x:c r="M142" s="17" t="str">
        <x:v>NOT_STARTED</x:v>
      </x:c>
      <x:c r="N142" s="17" t="str">
        <x:v>NOT_EXECUTED</x:v>
      </x:c>
      <x:c r="O142" s="17" t="str">
        <x:v>UNASSIGNED</x:v>
      </x:c>
      <x:c r="P142" s="17" t="str"/>
      <x:c r="Q142" s="17" t="str">
        <x:v>codex/m6-m6-p048</x:v>
      </x:c>
      <x:c r="R142" s="17" t="str"/>
      <x:c r="S142" s="17" t="str"/>
      <x:c r="T142" s="17" t="str"/>
      <x:c r="U142" s="17" t="str"/>
      <x:c r="V142" s="17" t="str">
        <x:v>NO</x:v>
      </x:c>
      <x:c r="W142" s="17" t="str">
        <x:v>按原子提交回退；迁移仅向前修复</x:v>
      </x:c>
      <x:c r="X142" s="17" t="str"/>
      <x:c r="Y142" s="17" t="str"/>
    </x:row>
    <x:row r="143" ht="23" customHeight="1">
      <x:c r="A143" s="17" t="str">
        <x:v>M6-P049</x:v>
      </x:c>
      <x:c r="B143" s="17" t="str">
        <x:v>142</x:v>
      </x:c>
      <x:c r="C143" s="17" t="str">
        <x:v>M6</x:v>
      </x:c>
      <x:c r="D143" s="17" t="str">
        <x:v>BUSINESS_VERTICAL_SLICE</x:v>
      </x:c>
      <x:c r="E143" s="17" t="str">
        <x:v>P0</x:v>
      </x:c>
      <x:c r="F143" s="17" t="str">
        <x:v>异常页面状态</x:v>
      </x:c>
      <x:c r="G143" s="17" t="str">
        <x:v>§15工程与§16-P0验收矩阵</x:v>
      </x:c>
      <x:c r="H143" s="17" t="str">
        <x:v>P0-049</x:v>
      </x:c>
      <x:c r="I143" s="17" t="str">
        <x:v>M6-000,M6-P048</x:v>
      </x:c>
      <x:c r="J143" s="17" t="str">
        <x:v>完成“异常页面状态”纵向切片：迁移/领域规则/API/DTO/错误码/对应页面/测试/证据；不实现阶段外功能。</x:v>
      </x:c>
      <x:c r="K143" s="17" t="str">
        <x:v>用户、企业门户、供应商、公司物流工作台和跑腿端覆盖加载、空态、失败、禁用和无权限。</x:v>
      </x:c>
      <x:c r="L143" s="17" t="str">
        <x:v>unit+api+p0-e2e</x:v>
      </x:c>
      <x:c r="M143" s="17" t="str">
        <x:v>NOT_STARTED</x:v>
      </x:c>
      <x:c r="N143" s="17" t="str">
        <x:v>NOT_EXECUTED</x:v>
      </x:c>
      <x:c r="O143" s="17" t="str">
        <x:v>UNASSIGNED</x:v>
      </x:c>
      <x:c r="P143" s="17" t="str"/>
      <x:c r="Q143" s="17" t="str">
        <x:v>codex/m6-m6-p049</x:v>
      </x:c>
      <x:c r="R143" s="17" t="str"/>
      <x:c r="S143" s="17" t="str"/>
      <x:c r="T143" s="17" t="str"/>
      <x:c r="U143" s="17" t="str"/>
      <x:c r="V143" s="17" t="str">
        <x:v>NO</x:v>
      </x:c>
      <x:c r="W143" s="17" t="str">
        <x:v>按原子提交回退；迁移仅向前修复</x:v>
      </x:c>
      <x:c r="X143" s="17" t="str"/>
      <x:c r="Y143" s="17" t="str"/>
    </x:row>
    <x:row r="144" ht="23" customHeight="1">
      <x:c r="A144" s="17" t="str">
        <x:v>M6-P050</x:v>
      </x:c>
      <x:c r="B144" s="17" t="str">
        <x:v>143</x:v>
      </x:c>
      <x:c r="C144" s="17" t="str">
        <x:v>M6</x:v>
      </x:c>
      <x:c r="D144" s="17" t="str">
        <x:v>BUSINESS_VERTICAL_SLICE</x:v>
      </x:c>
      <x:c r="E144" s="17" t="str">
        <x:v>P0</x:v>
      </x:c>
      <x:c r="F144" s="17" t="str">
        <x:v>综合闭环</x:v>
      </x:c>
      <x:c r="G144" s="17" t="str">
        <x:v>§15工程与§16-P0验收矩阵</x:v>
      </x:c>
      <x:c r="H144" s="17" t="str">
        <x:v>P0-050</x:v>
      </x:c>
      <x:c r="I144" s="17" t="str">
        <x:v>M6-000,M6-P049</x:v>
      </x:c>
      <x:c r="J144" s="17" t="str">
        <x:v>完成“综合闭环”纵向切片：迁移/领域规则/API/DTO/错误码/对应页面/测试/证据；不实现阶段外功能。</x:v>
      </x:c>
      <x:c r="K144" s="17" t="str">
        <x:v>可演示个人用户跨供应商一次结账、拆分多个供应商履约子单并分别进入跑腿大厅；同时演示企业多供应商订单拆子单、平台统一配送、统一售后以及公司分别与供应商对账。</x:v>
      </x:c>
      <x:c r="L144" s="17" t="str">
        <x:v>unit+api+p0-e2e</x:v>
      </x:c>
      <x:c r="M144" s="17" t="str">
        <x:v>NOT_STARTED</x:v>
      </x:c>
      <x:c r="N144" s="17" t="str">
        <x:v>NOT_EXECUTED</x:v>
      </x:c>
      <x:c r="O144" s="17" t="str">
        <x:v>UNASSIGNED</x:v>
      </x:c>
      <x:c r="P144" s="17" t="str"/>
      <x:c r="Q144" s="17" t="str">
        <x:v>codex/m6-m6-p050</x:v>
      </x:c>
      <x:c r="R144" s="17" t="str"/>
      <x:c r="S144" s="17" t="str"/>
      <x:c r="T144" s="17" t="str"/>
      <x:c r="U144" s="17" t="str"/>
      <x:c r="V144" s="17" t="str">
        <x:v>NO</x:v>
      </x:c>
      <x:c r="W144" s="17" t="str">
        <x:v>按原子提交回退；迁移仅向前修复</x:v>
      </x:c>
      <x:c r="X144" s="17" t="str"/>
      <x:c r="Y144" s="17" t="str"/>
    </x:row>
    <x:row r="145" ht="23" customHeight="1">
      <x:c r="A145" s="17" t="str">
        <x:v>M6-900</x:v>
      </x:c>
      <x:c r="B145" s="17" t="str">
        <x:v>144</x:v>
      </x:c>
      <x:c r="C145" s="17" t="str">
        <x:v>M6</x:v>
      </x:c>
      <x:c r="D145" s="17" t="str">
        <x:v>RELEASE_READINESS</x:v>
      </x:c>
      <x:c r="E145" s="17" t="str">
        <x:v>P0</x:v>
      </x:c>
      <x:c r="F145" s="17" t="str">
        <x:v>全量安全与隐私复核</x:v>
      </x:c>
      <x:c r="G145" s="17" t="str">
        <x:v>§14-§17</x:v>
      </x:c>
      <x:c r="H145" s="17" t="str"/>
      <x:c r="I145" s="17" t="str">
        <x:v>M6-000,M6-P048,M6-P049,M6-P050</x:v>
      </x:c>
      <x:c r="J145" s="17" t="str">
        <x:v>全量安全与隐私复核的可审计报告和原始证据索引</x:v>
      </x:c>
      <x:c r="K145" s="17" t="str">
        <x:v>无未解释高危项；风险有负责人和处置决定。</x:v>
      </x:c>
      <x:c r="L145" s="17" t="str">
        <x:v>secret/dependency/SAST/DAST/越权/DTO白名单/日志脱敏</x:v>
      </x:c>
      <x:c r="M145" s="17" t="str">
        <x:v>NOT_STARTED</x:v>
      </x:c>
      <x:c r="N145" s="17" t="str">
        <x:v>NOT_EXECUTED</x:v>
      </x:c>
      <x:c r="O145" s="17" t="str">
        <x:v>UNASSIGNED</x:v>
      </x:c>
      <x:c r="P145" s="17" t="str"/>
      <x:c r="Q145" s="17" t="str">
        <x:v>codex/m6-m6-900</x:v>
      </x:c>
      <x:c r="R145" s="17" t="str"/>
      <x:c r="S145" s="17" t="str"/>
      <x:c r="T145" s="17" t="str"/>
      <x:c r="U145" s="17" t="str"/>
      <x:c r="V145" s="17" t="str">
        <x:v>YES</x:v>
      </x:c>
      <x:c r="W145" s="17" t="str">
        <x:v>按原子提交回退；迁移仅向前修复</x:v>
      </x:c>
      <x:c r="X145" s="17" t="str"/>
      <x:c r="Y145" s="17" t="str"/>
    </x:row>
    <x:row r="146" ht="23" customHeight="1">
      <x:c r="A146" s="17" t="str">
        <x:v>M6-901</x:v>
      </x:c>
      <x:c r="B146" s="17" t="str">
        <x:v>145</x:v>
      </x:c>
      <x:c r="C146" s="17" t="str">
        <x:v>M6</x:v>
      </x:c>
      <x:c r="D146" s="17" t="str">
        <x:v>RELEASE_READINESS</x:v>
      </x:c>
      <x:c r="E146" s="17" t="str">
        <x:v>P0</x:v>
      </x:c>
      <x:c r="F146" s="17" t="str">
        <x:v>性能容量与并发压测</x:v>
      </x:c>
      <x:c r="G146" s="17" t="str">
        <x:v>§14-§17</x:v>
      </x:c>
      <x:c r="H146" s="17" t="str"/>
      <x:c r="I146" s="17" t="str">
        <x:v>M6-000,M6-P048,M6-P049,M6-P050,M6-900</x:v>
      </x:c>
      <x:c r="J146" s="17" t="str">
        <x:v>性能容量与并发压测的可审计报告和原始证据索引</x:v>
      </x:c>
      <x:c r="K146" s="17" t="str">
        <x:v>达到人工批准的容量目标且无超卖、重复扣款、重复抢单。</x:v>
      </x:c>
      <x:c r="L146" s="17" t="str">
        <x:v>下单、库存、支付回调、抢单、对账关键路径压测</x:v>
      </x:c>
      <x:c r="M146" s="17" t="str">
        <x:v>NOT_STARTED</x:v>
      </x:c>
      <x:c r="N146" s="17" t="str">
        <x:v>NOT_EXECUTED</x:v>
      </x:c>
      <x:c r="O146" s="17" t="str">
        <x:v>UNASSIGNED</x:v>
      </x:c>
      <x:c r="P146" s="17" t="str"/>
      <x:c r="Q146" s="17" t="str">
        <x:v>codex/m6-m6-901</x:v>
      </x:c>
      <x:c r="R146" s="17" t="str"/>
      <x:c r="S146" s="17" t="str"/>
      <x:c r="T146" s="17" t="str"/>
      <x:c r="U146" s="17" t="str"/>
      <x:c r="V146" s="17" t="str">
        <x:v>YES</x:v>
      </x:c>
      <x:c r="W146" s="17" t="str">
        <x:v>按原子提交回退；迁移仅向前修复</x:v>
      </x:c>
      <x:c r="X146" s="17" t="str"/>
      <x:c r="Y146" s="17" t="str"/>
    </x:row>
    <x:row r="147" ht="23" customHeight="1">
      <x:c r="A147" s="17" t="str">
        <x:v>M6-902</x:v>
      </x:c>
      <x:c r="B147" s="17" t="str">
        <x:v>146</x:v>
      </x:c>
      <x:c r="C147" s="17" t="str">
        <x:v>M6</x:v>
      </x:c>
      <x:c r="D147" s="17" t="str">
        <x:v>RELEASE_READINESS</x:v>
      </x:c>
      <x:c r="E147" s="17" t="str">
        <x:v>P0</x:v>
      </x:c>
      <x:c r="F147" s="17" t="str">
        <x:v>预发布迁移与备份恢复演练</x:v>
      </x:c>
      <x:c r="G147" s="17" t="str">
        <x:v>§14-§17</x:v>
      </x:c>
      <x:c r="H147" s="17" t="str"/>
      <x:c r="I147" s="17" t="str">
        <x:v>M6-000,M6-P048,M6-P049,M6-P050,M6-900,M6-901</x:v>
      </x:c>
      <x:c r="J147" s="17" t="str">
        <x:v>预发布迁移与备份恢复演练的可审计报告和原始证据索引</x:v>
      </x:c>
      <x:c r="K147" s="17" t="str">
        <x:v>可在批准的RTO/RPO内恢复；迁移失败路径已演练。</x:v>
      </x:c>
      <x:c r="L147" s="17" t="str">
        <x:v>候选制品、迁移、备份、恢复、回滚计时证据</x:v>
      </x:c>
      <x:c r="M147" s="17" t="str">
        <x:v>NOT_STARTED</x:v>
      </x:c>
      <x:c r="N147" s="17" t="str">
        <x:v>NOT_EXECUTED</x:v>
      </x:c>
      <x:c r="O147" s="17" t="str">
        <x:v>UNASSIGNED</x:v>
      </x:c>
      <x:c r="P147" s="17" t="str"/>
      <x:c r="Q147" s="17" t="str">
        <x:v>codex/m6-m6-902</x:v>
      </x:c>
      <x:c r="R147" s="17" t="str"/>
      <x:c r="S147" s="17" t="str"/>
      <x:c r="T147" s="17" t="str"/>
      <x:c r="U147" s="17" t="str"/>
      <x:c r="V147" s="17" t="str">
        <x:v>YES</x:v>
      </x:c>
      <x:c r="W147" s="17" t="str">
        <x:v>按原子提交回退；迁移仅向前修复</x:v>
      </x:c>
      <x:c r="X147" s="17" t="str"/>
      <x:c r="Y147" s="17" t="str"/>
    </x:row>
    <x:row r="148" ht="23" customHeight="1">
      <x:c r="A148" s="17" t="str">
        <x:v>M6-903</x:v>
      </x:c>
      <x:c r="B148" s="17" t="str">
        <x:v>147</x:v>
      </x:c>
      <x:c r="C148" s="17" t="str">
        <x:v>M6</x:v>
      </x:c>
      <x:c r="D148" s="17" t="str">
        <x:v>RELEASE_READINESS</x:v>
      </x:c>
      <x:c r="E148" s="17" t="str">
        <x:v>P0</x:v>
      </x:c>
      <x:c r="F148" s="17" t="str">
        <x:v>五端与微信真机全链验收</x:v>
      </x:c>
      <x:c r="G148" s="17" t="str">
        <x:v>§14-§17</x:v>
      </x:c>
      <x:c r="H148" s="17" t="str"/>
      <x:c r="I148" s="17" t="str">
        <x:v>M6-000,M6-P048,M6-P049,M6-P050,M6-900,M6-901,M6-902</x:v>
      </x:c>
      <x:c r="J148" s="17" t="str">
        <x:v>五端与微信真机全链验收的可审计报告和原始证据索引</x:v>
      </x:c>
      <x:c r="K148" s="17" t="str">
        <x:v>需要真机的P0均为DEVICE_PASS或明确BLOCKED_EXTERNAL。</x:v>
      </x:c>
      <x:c r="L148" s="17" t="str">
        <x:v>五端浏览器/真机证据及P0矩阵更新</x:v>
      </x:c>
      <x:c r="M148" s="17" t="str">
        <x:v>NOT_STARTED</x:v>
      </x:c>
      <x:c r="N148" s="17" t="str">
        <x:v>NOT_EXECUTED</x:v>
      </x:c>
      <x:c r="O148" s="17" t="str">
        <x:v>UNASSIGNED</x:v>
      </x:c>
      <x:c r="P148" s="17" t="str"/>
      <x:c r="Q148" s="17" t="str">
        <x:v>codex/m6-m6-903</x:v>
      </x:c>
      <x:c r="R148" s="17" t="str"/>
      <x:c r="S148" s="17" t="str"/>
      <x:c r="T148" s="17" t="str"/>
      <x:c r="U148" s="17" t="str"/>
      <x:c r="V148" s="17" t="str">
        <x:v>YES</x:v>
      </x:c>
      <x:c r="W148" s="17" t="str">
        <x:v>按原子提交回退；迁移仅向前修复</x:v>
      </x:c>
      <x:c r="X148" s="17" t="str"/>
      <x:c r="Y148" s="17" t="str"/>
    </x:row>
    <x:row r="149" ht="23" customHeight="1">
      <x:c r="A149" s="17" t="str">
        <x:v>M6-904</x:v>
      </x:c>
      <x:c r="B149" s="17" t="str">
        <x:v>148</x:v>
      </x:c>
      <x:c r="C149" s="17" t="str">
        <x:v>M6</x:v>
      </x:c>
      <x:c r="D149" s="17" t="str">
        <x:v>RELEASE_READINESS</x:v>
      </x:c>
      <x:c r="E149" s="17" t="str">
        <x:v>P0</x:v>
      </x:c>
      <x:c r="F149" s="17" t="str">
        <x:v>形成Go/No-Go决策包</x:v>
      </x:c>
      <x:c r="G149" s="17" t="str">
        <x:v>§14-§17</x:v>
      </x:c>
      <x:c r="H149" s="17" t="str"/>
      <x:c r="I149" s="17" t="str">
        <x:v>M6-000,M6-P048,M6-P049,M6-P050,M6-900,M6-901,M6-902,M6-903</x:v>
      </x:c>
      <x:c r="J149" s="17" t="str">
        <x:v>形成Go/No-Go决策包的可审计报告和原始证据索引</x:v>
      </x:c>
      <x:c r="K149" s="17" t="str">
        <x:v>人工可基于完整证据作决定；技术完成不自动等于批准上线。</x:v>
      </x:c>
      <x:c r="L149" s="17" t="str">
        <x:v>版本、制品、P0、风险、外部依赖、发布/回滚步骤</x:v>
      </x:c>
      <x:c r="M149" s="17" t="str">
        <x:v>NOT_STARTED</x:v>
      </x:c>
      <x:c r="N149" s="17" t="str">
        <x:v>NOT_EXECUTED</x:v>
      </x:c>
      <x:c r="O149" s="17" t="str">
        <x:v>UNASSIGNED</x:v>
      </x:c>
      <x:c r="P149" s="17" t="str"/>
      <x:c r="Q149" s="17" t="str">
        <x:v>codex/m6-go-no-go</x:v>
      </x:c>
      <x:c r="R149" s="17" t="str"/>
      <x:c r="S149" s="17" t="str"/>
      <x:c r="T149" s="17" t="str"/>
      <x:c r="U149" s="17" t="str"/>
      <x:c r="V149" s="17" t="str">
        <x:v>YES</x:v>
      </x:c>
      <x:c r="W149" s="17" t="str">
        <x:v>按原子提交回退；迁移仅向前修复</x:v>
      </x:c>
      <x:c r="X149" s="17" t="str"/>
      <x:c r="Y149" s="17" t="str"/>
    </x:row>
    <x:row r="150" ht="23" customHeight="1">
      <x:c r="A150" s="18" t="str">
        <x:v>M6-GATE</x:v>
      </x:c>
      <x:c r="B150" s="18" t="str">
        <x:v>149</x:v>
      </x:c>
      <x:c r="C150" s="18" t="str">
        <x:v>M6</x:v>
      </x:c>
      <x:c r="D150" s="18" t="str">
        <x:v>STAGE_GATE</x:v>
      </x:c>
      <x:c r="E150" s="18" t="str">
        <x:v>P0</x:v>
      </x:c>
      <x:c r="F150" s="18" t="str">
        <x:v>M6阶段门禁验收</x:v>
      </x:c>
      <x:c r="G150" s="18" t="str">
        <x:v>执行包§02</x:v>
      </x:c>
      <x:c r="H150" s="18" t="str"/>
      <x:c r="I150" s="18" t="str">
        <x:v>M6-000,M6-P048,M6-P049,M6-P050,M6-900,M6-901,M6-902,M6-903,M6-904</x:v>
      </x:c>
      <x:c r="J150" s="18" t="str">
        <x:v>M6交接记录、P0证据、质量输出、风险和回滚材料</x:v>
      </x:c>
      <x:c r="K150" s="18" t="str">
        <x:v>P0-48/49/50和专项任务完成；候选制品可追溯，回滚演练成功，外部缺口明确，人工作出上线决定。</x:v>
      </x:c>
      <x:c r="L150" s="18" t="str">
        <x:v>pnpm-verify+ci+stage-specific-evidence</x:v>
      </x:c>
      <x:c r="M150" s="18" t="str">
        <x:v>NOT_STARTED</x:v>
      </x:c>
      <x:c r="N150" s="18" t="str">
        <x:v>NOT_EXECUTED</x:v>
      </x:c>
      <x:c r="O150" s="18" t="str">
        <x:v>UNASSIGNED</x:v>
      </x:c>
      <x:c r="P150" s="18" t="str"/>
      <x:c r="Q150" s="18" t="str">
        <x:v>codex/m6-m6</x:v>
      </x:c>
      <x:c r="R150" s="18" t="str"/>
      <x:c r="S150" s="18" t="str"/>
      <x:c r="T150" s="18" t="str"/>
      <x:c r="U150" s="18" t="str"/>
      <x:c r="V150" s="18" t="str">
        <x:v>YES</x:v>
      </x:c>
      <x:c r="W150" s="18" t="str">
        <x:v>按原子提交回退；迁移仅向前修复</x:v>
      </x:c>
      <x:c r="X150" s="18" t="str"/>
      <x:c r="Y150" s="18" t="str"/>
    </x:row>
  </x:sheetData>
  <x:conditionalFormatting sqref="M2:M150">
    <x:cfRule type="cellIs" dxfId="30" priority="1" operator="equal">
      <x:formula>"READY"</x:formula>
    </x:cfRule>
    <x:cfRule type="cellIs" dxfId="31" priority="2" operator="equal">
      <x:formula>"DONE"</x:formula>
    </x:cfRule>
    <x:cfRule type="cellIs" dxfId="32" priority="3" operator="equal">
      <x:formula>"LOCAL_PASS"</x:formula>
    </x:cfRule>
    <x:cfRule type="cellIs" dxfId="33" priority="4" operator="equal">
      <x:formula>"CI_PASS"</x:formula>
    </x:cfRule>
    <x:cfRule type="cellIs" dxfId="34" priority="5" operator="equal">
      <x:formula>"STAGING_PASS"</x:formula>
    </x:cfRule>
    <x:cfRule type="cellIs" dxfId="35" priority="6" operator="equal">
      <x:formula>"DEVICE_PASS"</x:formula>
    </x:cfRule>
    <x:cfRule type="cellIs" dxfId="36" priority="7" operator="equal">
      <x:formula>"PRODUCTION_PASS"</x:formula>
    </x:cfRule>
    <x:cfRule type="cellIs" dxfId="37" priority="8" operator="equal">
      <x:formula>"FAIL"</x:formula>
    </x:cfRule>
    <x:cfRule type="cellIs" dxfId="38" priority="9" operator="equal">
      <x:formula>"BLOCKED_EXTERNAL"</x:formula>
    </x:cfRule>
    <x:cfRule type="cellIs" dxfId="39" priority="10" operator="equal">
      <x:formula>"NOT_PROVIDED"</x:formula>
    </x:cfRule>
    <x:cfRule type="cellIs" dxfId="40" priority="11" operator="equal">
      <x:formula>"LOCKED"</x:formula>
    </x:cfRule>
    <x:cfRule type="cellIs" dxfId="41" priority="12" operator="equal">
      <x:formula>"NOT_STARTED"</x:formula>
    </x:cfRule>
    <x:cfRule type="cellIs" dxfId="42" priority="13" operator="equal">
      <x:formula>"NOT_EXECUTED"</x:formula>
    </x:cfRule>
    <x:cfRule type="cellIs" dxfId="43" priority="14" operator="equal">
      <x:formula>"IN_PROGRESS"</x:formula>
    </x:cfRule>
    <x:cfRule type="cellIs" dxfId="44" priority="15" operator="equal">
      <x:formula>"PLANNED"</x:formula>
    </x:cfRule>
  </x:conditionalFormatting>
  <x:conditionalFormatting sqref="N2:N150">
    <x:cfRule type="cellIs" dxfId="45" priority="16" operator="equal">
      <x:formula>"READY"</x:formula>
    </x:cfRule>
    <x:cfRule type="cellIs" dxfId="46" priority="17" operator="equal">
      <x:formula>"DONE"</x:formula>
    </x:cfRule>
    <x:cfRule type="cellIs" dxfId="47" priority="18" operator="equal">
      <x:formula>"LOCAL_PASS"</x:formula>
    </x:cfRule>
    <x:cfRule type="cellIs" dxfId="48" priority="19" operator="equal">
      <x:formula>"CI_PASS"</x:formula>
    </x:cfRule>
    <x:cfRule type="cellIs" dxfId="49" priority="20" operator="equal">
      <x:formula>"STAGING_PASS"</x:formula>
    </x:cfRule>
    <x:cfRule type="cellIs" dxfId="50" priority="21" operator="equal">
      <x:formula>"DEVICE_PASS"</x:formula>
    </x:cfRule>
    <x:cfRule type="cellIs" dxfId="51" priority="22" operator="equal">
      <x:formula>"PRODUCTION_PASS"</x:formula>
    </x:cfRule>
    <x:cfRule type="cellIs" dxfId="52" priority="23" operator="equal">
      <x:formula>"FAIL"</x:formula>
    </x:cfRule>
    <x:cfRule type="cellIs" dxfId="53" priority="24" operator="equal">
      <x:formula>"BLOCKED_EXTERNAL"</x:formula>
    </x:cfRule>
    <x:cfRule type="cellIs" dxfId="54" priority="25" operator="equal">
      <x:formula>"NOT_PROVIDED"</x:formula>
    </x:cfRule>
    <x:cfRule type="cellIs" dxfId="55" priority="26" operator="equal">
      <x:formula>"LOCKED"</x:formula>
    </x:cfRule>
    <x:cfRule type="cellIs" dxfId="56" priority="27" operator="equal">
      <x:formula>"NOT_STARTED"</x:formula>
    </x:cfRule>
    <x:cfRule type="cellIs" dxfId="57" priority="28" operator="equal">
      <x:formula>"NOT_EXECUTED"</x:formula>
    </x:cfRule>
    <x:cfRule type="cellIs" dxfId="58" priority="29" operator="equal">
      <x:formula>"IN_PROGRESS"</x:formula>
    </x:cfRule>
    <x:cfRule type="cellIs" dxfId="59" priority="30" operator="equal">
      <x:formula>"PLANNED"</x:formula>
    </x:cfRule>
  </x:conditionalFormatting>
  <x:dataValidations count="2">
    <x:dataValidation type="list" sqref="M2:M150">
      <x:formula1>"NOT_STARTED,READY,IN_PROGRESS,DONE,LOCKED,PLANNED,NOT_EXECUTED,LOCAL_PASS,CI_PASS,STAGING_PASS,DEVICE_PASS,PRODUCTION_PASS,BLOCKED_EXTERNAL,FAIL,NOT_PROVIDED"</x:formula1>
    </x:dataValidation>
    <x:dataValidation type="list" sqref="N2:N150">
      <x:formula1>"NOT_EXECUTED,LOCAL_PASS,CI_PASS,STAGING_PASS,DEVICE_PASS,PRODUCTION_PASS,BLOCKED_EXTERNAL,FAIL"</x:formula1>
    </x:dataValidation>
  </x:dataValidations>
  <x:pageMargins left="0.7" right="0.7" top="0.75" bottom="0.75" header="0.3" footer="0.3"/>
  <x:tableParts count="1">
    <x:tablePart xmlns:r="http://schemas.openxmlformats.org/officeDocument/2006/relationships" r:id="R60fcbc9679554c8b"/>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2" hidden="0" customWidth="1"/>
    <x:col min="2" max="2" width="8" hidden="0" customWidth="1"/>
    <x:col min="3" max="3" width="9" hidden="0" customWidth="1"/>
    <x:col min="4" max="4" width="26" hidden="0" customWidth="1"/>
    <x:col min="5" max="5" width="48" hidden="0" customWidth="1"/>
    <x:col min="6" max="6" width="32" hidden="0" customWidth="1"/>
    <x:col min="7" max="7" width="16" hidden="0" customWidth="1"/>
    <x:col min="8" max="8" width="20" hidden="0" customWidth="1"/>
    <x:col min="9" max="9" width="20" hidden="0" customWidth="1"/>
    <x:col min="10" max="10" width="20" hidden="0" customWidth="1"/>
    <x:col min="11" max="11" width="16" hidden="0" customWidth="1"/>
    <x:col min="12" max="12" width="36" hidden="0" customWidth="1"/>
    <x:col min="13" max="13" width="24" hidden="0" customWidth="1"/>
    <x:col min="14" max="14" width="20" hidden="0" customWidth="1"/>
    <x:col min="15" max="15" width="16" hidden="0" customWidth="1"/>
    <x:col min="16" max="16" width="18" hidden="0" customWidth="1"/>
    <x:col min="17" max="17" width="26" hidden="0" customWidth="1"/>
  </x:cols>
  <x:sheetData>
    <x:row r="1" ht="34" customHeight="1">
      <x:c r="A1" s="14" t="str">
        <x:v>P0ID</x:v>
      </x:c>
      <x:c r="B1" s="15" t="str">
        <x:v>No</x:v>
      </x:c>
      <x:c r="C1" s="15" t="str">
        <x:v>Stage</x:v>
      </x:c>
      <x:c r="D1" s="15" t="str">
        <x:v>Scene</x:v>
      </x:c>
      <x:c r="E1" s="15" t="str">
        <x:v>Acceptance</x:v>
      </x:c>
      <x:c r="F1" s="15" t="str">
        <x:v>SourceSection</x:v>
      </x:c>
      <x:c r="G1" s="15" t="str">
        <x:v>PrimaryTaskID</x:v>
      </x:c>
      <x:c r="H1" s="15" t="str">
        <x:v>RequiredEvidenceLevel</x:v>
      </x:c>
      <x:c r="I1" s="15" t="str">
        <x:v>CurrentEvidenceStatus</x:v>
      </x:c>
      <x:c r="J1" s="15" t="str">
        <x:v>AutomatedTestID</x:v>
      </x:c>
      <x:c r="K1" s="15" t="str">
        <x:v>ManualCaseID</x:v>
      </x:c>
      <x:c r="L1" s="15" t="str">
        <x:v>NegativeChecks</x:v>
      </x:c>
      <x:c r="M1" s="15" t="str">
        <x:v>EvidenceLink</x:v>
      </x:c>
      <x:c r="N1" s="15" t="str">
        <x:v>LastVerifiedCommit</x:v>
      </x:c>
      <x:c r="O1" s="15" t="str">
        <x:v>Verifier</x:v>
      </x:c>
      <x:c r="P1" s="15" t="str">
        <x:v>VerifiedAt</x:v>
      </x:c>
      <x:c r="Q1" s="16" t="str">
        <x:v>Notes</x:v>
      </x:c>
    </x:row>
    <x:row r="2" ht="23" customHeight="1">
      <x:c r="A2" s="17" t="str">
        <x:v>P0-001</x:v>
      </x:c>
      <x:c r="B2" s="17" t="str">
        <x:v>1</x:v>
      </x:c>
      <x:c r="C2" s="17" t="str">
        <x:v>M1</x:v>
      </x:c>
      <x:c r="D2" s="17" t="str">
        <x:v>单商户主体</x:v>
      </x:c>
      <x:c r="E2" s="17" t="str">
        <x:v>前台销售主体、订单收款主体、退款主体均为江苏福礼团供应链科技有限公司。</x:v>
      </x:c>
      <x:c r="F2" s="17" t="str">
        <x:v>§3角色权限、§4供应商后台、§14安全审计</x:v>
      </x:c>
      <x:c r="G2" s="17" t="str">
        <x:v>M1-P001</x:v>
      </x:c>
      <x:c r="H2" s="17" t="str">
        <x:v>CI_PASS</x:v>
      </x:c>
      <x:c r="I2" s="17" t="str">
        <x:v>CI_PASS</x:v>
      </x:c>
      <x:c r="J2" s="17" t="str">
        <x:v>NEG-M1-001-01|NEG-M1-001-02|NEG-M1-001-03</x:v>
      </x:c>
      <x:c r="K2" s="17" t="str">
        <x:v>N/A</x:v>
      </x:c>
      <x:c r="L2" s="17" t="str">
        <x:v>SELLER_TAMPER；SUPPLIER_DIRECT_PAYMENT；MULTI_MERCHANT_CONFIG</x:v>
      </x:c>
      <x:c r="M2" s="17" t="str">
        <x:v>artifacts/verification/M1-P001/single-merchant.json</x:v>
      </x:c>
      <x:c r="N2" s="17" t="str">
        <x:v>7eb91066846204a18afa20c4c8b4c7b94676dca0</x:v>
      </x:c>
      <x:c r="O2" s="17" t="str">
        <x:v>GITHUB_ACTIONS+CODEX_SELF_REVIEW</x:v>
      </x:c>
      <x:c r="P2" s="17" t="n">
        <x:v>46239.164189814815</x:v>
      </x:c>
      <x:c r="Q2" s="17" t="str">
        <x:v>PR #8精确head CI与合并后main CI均通过；预发布、生产和EXT-005公司材料仍未执行或未提供</x:v>
      </x:c>
    </x:row>
    <x:row r="3" ht="23" customHeight="1">
      <x:c r="A3" s="17" t="str">
        <x:v>P0-002</x:v>
      </x:c>
      <x:c r="B3" s="17" t="str">
        <x:v>2</x:v>
      </x:c>
      <x:c r="C3" s="17" t="str">
        <x:v>M1</x:v>
      </x:c>
      <x:c r="D3" s="17" t="str">
        <x:v>无加盟商</x:v>
      </x:c>
      <x:c r="E3" s="17" t="str">
        <x:v>系统无加盟商注册、区域分账、加盟合同和加盟商后台入口。</x:v>
      </x:c>
      <x:c r="F3" s="17" t="str">
        <x:v>§3角色权限、§4供应商后台、§14安全审计</x:v>
      </x:c>
      <x:c r="G3" s="17" t="str">
        <x:v>M1-P002</x:v>
      </x:c>
      <x:c r="H3" s="17" t="str">
        <x:v>CI_PASS</x:v>
      </x:c>
      <x:c r="I3" s="17" t="str">
        <x:v>CI_PASS</x:v>
      </x:c>
      <x:c r="J3" s="17" t="str">
        <x:v>NEG-M1-002-01|NEG-M1-002-02|NEG-M1-002-03</x:v>
      </x:c>
      <x:c r="K3" s="17" t="str">
        <x:v>N/A</x:v>
      </x:c>
      <x:c r="L3" s="17" t="str">
        <x:v>FRANCHISEE_ROUTE；REGIONAL_REVENUE_SHARE；FRANCHISEE_ENTITY</x:v>
      </x:c>
      <x:c r="M3" s="17" t="str">
        <x:v>artifacts/verification/M1-P002/no-franchise-capabilities.json</x:v>
      </x:c>
      <x:c r="N3" s="17" t="str">
        <x:v>fb3c7a5e311d4472778eb63f9ef7351182ddc010</x:v>
      </x:c>
      <x:c r="O3" s="17" t="str">
        <x:v>GITHUB_ACTIONS+CODEX_SELF_REVIEW</x:v>
      </x:c>
      <x:c r="P3" s="17" t="n">
        <x:v>46239.32738425926</x:v>
      </x:c>
      <x:c r="Q3" s="17" t="str">
        <x:v>PR #9精确head CI与合并后main CI均通过；预发布、生产和正式验收未执行；本任务无真机要求</x:v>
      </x:c>
    </x:row>
    <x:row r="4" ht="23" customHeight="1">
      <x:c r="A4" s="17" t="str">
        <x:v>P0-003</x:v>
      </x:c>
      <x:c r="B4" s="17" t="str">
        <x:v>3</x:v>
      </x:c>
      <x:c r="C4" s="17" t="str">
        <x:v>M1</x:v>
      </x:c>
      <x:c r="D4" s="17" t="str">
        <x:v>供应商注册</x:v>
      </x:c>
      <x:c r="E4" s="17" t="str">
        <x:v>供应商可注册、补资料、提交审核，并看到草稿、待审、补正、启用等状态。</x:v>
      </x:c>
      <x:c r="F4" s="17" t="str">
        <x:v>§3角色权限、§4供应商后台、§14安全审计</x:v>
      </x:c>
      <x:c r="G4" s="17" t="str">
        <x:v>M1-P003</x:v>
      </x:c>
      <x:c r="H4" s="17" t="str">
        <x:v>CI_PASS</x:v>
      </x:c>
      <x:c r="I4" s="17" t="str">
        <x:v>CI_PASS</x:v>
      </x:c>
      <x:c r="J4" s="17" t="str">
        <x:v>NEG-M1-003-01|NEG-M1-003-02|NEG-M1-003-03|NEG-M1-003-04</x:v>
      </x:c>
      <x:c r="K4" s="17" t="str">
        <x:v>N/A</x:v>
      </x:c>
      <x:c r="L4" s="17" t="str">
        <x:v>DUPLICATE_SUBJECT；INVALID_TRANSITION；IDEMPOTENCY；QUALIFICATION_INCOMPLETE</x:v>
      </x:c>
      <x:c r="M4" s="17" t="str">
        <x:v>artifacts/verification/M1-P003/supplier-onboarding.json</x:v>
      </x:c>
      <x:c r="N4" s="17" t="str">
        <x:v>d7067a59f1bc66680121d9e2b38e04cb3083dee2</x:v>
      </x:c>
      <x:c r="O4" s="17" t="str">
        <x:v>CODEX</x:v>
      </x:c>
      <x:c r="P4" s="17" t="n">
        <x:v>46239.43664351852</x:v>
      </x:c>
      <x:c r="Q4" s="17" t="str">
        <x:v>PR #10精确head与合并后main CI均成功；本地证据继续有效；预发布/生产/正式验收未执行；EXT-006未提供</x:v>
      </x:c>
    </x:row>
    <x:row r="5" ht="23" customHeight="1">
      <x:c r="A5" s="17" t="str">
        <x:v>P0-004</x:v>
      </x:c>
      <x:c r="B5" s="17" t="str">
        <x:v>4</x:v>
      </x:c>
      <x:c r="C5" s="17" t="str">
        <x:v>M1</x:v>
      </x:c>
      <x:c r="D5" s="17" t="str">
        <x:v>供应商隔离</x:v>
      </x:c>
      <x:c r="E5" s="17" t="str">
        <x:v>供应商不能访问其他供应商的商品、订单、库存、对账和账号。</x:v>
      </x:c>
      <x:c r="F5" s="17" t="str">
        <x:v>§3角色权限、§4供应商后台、§14安全审计</x:v>
      </x:c>
      <x:c r="G5" s="17" t="str">
        <x:v>M1-P004</x:v>
      </x:c>
      <x:c r="H5" s="17" t="str">
        <x:v>CI_PASS</x:v>
      </x:c>
      <x:c r="I5" s="17" t="str">
        <x:v>CI_PASS</x:v>
      </x:c>
      <x:c r="J5" s="17" t="str">
        <x:v>NEG-M1-004-01|NEG-M1-004-02|NEG-M1-004-03|NEG-M1-004-04</x:v>
      </x:c>
      <x:c r="K5" s="17" t="str">
        <x:v>N/A</x:v>
      </x:c>
      <x:c r="L5" s="17" t="str">
        <x:v>OBJECT_SCOPE；SERVER_BOUND_SUPPLIER；CROSS_SUPPLIER_EXPORT；NOT_FOUND_ORACLE</x:v>
      </x:c>
      <x:c r="M5" s="17" t="str">
        <x:v>artifacts/verification/M1-P004/supplier-isolation.json</x:v>
      </x:c>
      <x:c r="N5" s="17" t="str">
        <x:v>e8fe7c6bd80ff9a7622aea627b0d9b82eb530e3f</x:v>
      </x:c>
      <x:c r="O5" s="17" t="str">
        <x:v>GITHUB_ACTIONS+CODEX</x:v>
      </x:c>
      <x:c r="P5" s="17" t="n">
        <x:v>46242.269328703704</x:v>
      </x:c>
      <x:c r="Q5" s="17" t="str">
        <x:v>PR #12精确head e8fe7c6的CI run 31002208379及合并后main run 31002976288成功；M1-GATE候选main 4ff0258重跑供应商数据域与白名单回归；预发布、生产和正式验收未执行。</x:v>
      </x:c>
    </x:row>
    <x:row r="6" ht="23" customHeight="1">
      <x:c r="A6" s="17" t="str">
        <x:v>P0-005</x:v>
      </x:c>
      <x:c r="B6" s="17" t="str">
        <x:v>5</x:v>
      </x:c>
      <x:c r="C6" s="17" t="str">
        <x:v>M1</x:v>
      </x:c>
      <x:c r="D6" s="17" t="str">
        <x:v>供应商职能账号</x:v>
      </x:c>
      <x:c r="E6" s="17" t="str">
        <x:v>主体、商品、价格、库存、履约、售后、财务和审计分别使用独立职能账号与固定页面，敏感账户变更需二次验证。</x:v>
      </x:c>
      <x:c r="F6" s="17" t="str">
        <x:v>§3角色权限、§4供应商后台、§14安全审计</x:v>
      </x:c>
      <x:c r="G6" s="17" t="str">
        <x:v>M1-P005</x:v>
      </x:c>
      <x:c r="H6" s="17" t="str">
        <x:v>CI_PASS</x:v>
      </x:c>
      <x:c r="I6" s="17" t="str">
        <x:v>CI_PASS</x:v>
      </x:c>
      <x:c r="J6" s="17" t="str">
        <x:v>NEG-M1-005-01|NEG-M1-005-02|NEG-M1-005-03|NEG-M1-005-04</x:v>
      </x:c>
      <x:c r="K6" s="17" t="str">
        <x:v>N/A</x:v>
      </x:c>
      <x:c r="L6" s="17" t="str">
        <x:v>CROSS_WORKSPACE；SELF_PRIVILEGE_ESCALATION；LAST_ADMIN_SUSPEND；SECOND_VERIFICATION</x:v>
      </x:c>
      <x:c r="M6" s="17" t="str">
        <x:v>artifacts/verification/M1-P005/supplier-functional-accounts.json</x:v>
      </x:c>
      <x:c r="N6" s="17" t="str">
        <x:v>2e9846b1872463805c29128414bdfb927b514ad9</x:v>
      </x:c>
      <x:c r="O6" s="17" t="str">
        <x:v>GITHUB_ACTIONS+CODEX</x:v>
      </x:c>
      <x:c r="P6" s="17" t="n">
        <x:v>46242.269328703704</x:v>
      </x:c>
      <x:c r="Q6" s="17" t="str">
        <x:v>PR #14精确head 2e9846b的CI run 31007483633及合并后main run 31063510585成功；八类独立职能账号与固定页面在M1-GATE回归中通过；真实二次验证、预发布和生产未执行。</x:v>
      </x:c>
    </x:row>
    <x:row r="7" ht="23" customHeight="1">
      <x:c r="A7" s="17" t="str">
        <x:v>P0-006</x:v>
      </x:c>
      <x:c r="B7" s="17" t="str">
        <x:v>6</x:v>
      </x:c>
      <x:c r="C7" s="17" t="str">
        <x:v>M2</x:v>
      </x:c>
      <x:c r="D7" s="17" t="str">
        <x:v>商品两层模型</x:v>
      </x:c>
      <x:c r="E7" s="17" t="str">
        <x:v>供应商提交 SupplierProduct，公司审核后才产生/更新可售 Product/Sku。</x:v>
      </x:c>
      <x:c r="F7" s="17" t="str">
        <x:v>§5分类模板、§6商品价格库存</x:v>
      </x:c>
      <x:c r="G7" s="17" t="str">
        <x:v>M2-P006</x:v>
      </x:c>
      <x:c r="H7" s="17" t="str">
        <x:v>CI_PASS</x:v>
      </x:c>
      <x:c r="I7" s="17" t="str">
        <x:v>CI_PASS</x:v>
      </x:c>
      <x:c r="J7" s="17" t="str">
        <x:v>NEG-M2-006-01|NEG-M2-006-02|NEG-M2-006-03</x:v>
      </x:c>
      <x:c r="K7" s="17" t="str">
        <x:v>N/A</x:v>
      </x:c>
      <x:c r="L7" s="17" t="str">
        <x:v>SUPPLIER_PRODUCT_NOT_SELLABLE；COMPANY_MAPPING_REQUIRED；DIRECT_ENTITY_SERIALIZATION</x:v>
      </x:c>
      <x:c r="M7" s="17" t="str">
        <x:v>apps/api/test/supertest/supplier-products-api.test.mjs|tests/e2e/p0/p0-006-product-two-layer.spec.ts</x:v>
      </x:c>
      <x:c r="N7" s="17" t="str">
        <x:v>ae7abc827f1759cd2dc00201ce23fab4710fe6ce</x:v>
      </x:c>
      <x:c r="O7" s="17" t="str">
        <x:v>GITHUB_ACTIONS+CODEX</x:v>
      </x:c>
      <x:c r="P7" s="17" t="n">
        <x:v>46243.41143518518</x:v>
      </x:c>
      <x:c r="Q7" s="17" t="str">
        <x:v>本地pnpm verify通过；PR #38精确head CI及合并后main@ae7abc8 CI run 31306358667均成功。</x:v>
      </x:c>
    </x:row>
    <x:row r="8" ht="23" customHeight="1">
      <x:c r="A8" s="17" t="str">
        <x:v>P0-007</x:v>
      </x:c>
      <x:c r="B8" s="17" t="str">
        <x:v>7</x:v>
      </x:c>
      <x:c r="C8" s="17" t="str">
        <x:v>M2</x:v>
      </x:c>
      <x:c r="D8" s="17" t="str">
        <x:v>公司双页面审核上架</x:v>
      </x:c>
      <x:c r="E8" s="17" t="str">
        <x:v>公司商品职能页面完成商品资料审核、公司价格审核页面完成三类初始价格审核；两项均通过前商品无法出现在前台或加入购物车。</x:v>
      </x:c>
      <x:c r="F8" s="17" t="str">
        <x:v>§5分类模板、§6商品价格库存</x:v>
      </x:c>
      <x:c r="G8" s="17" t="str">
        <x:v>M2-P007</x:v>
      </x:c>
      <x:c r="H8" s="17" t="str">
        <x:v>CI_PASS</x:v>
      </x:c>
      <x:c r="I8" s="17" t="str">
        <x:v>CI_PASS</x:v>
      </x:c>
      <x:c r="J8" s="17" t="str">
        <x:v>NEG-M2-007-01|NEG-M2-007-02|NEG-M2-007-03</x:v>
      </x:c>
      <x:c r="K8" s="17" t="str">
        <x:v>N/A</x:v>
      </x:c>
      <x:c r="L8" s="17" t="str">
        <x:v>DUAL_APPROVAL_GATE；ROLE_SPLIT；DUPLICATE_APPROVAL</x:v>
      </x:c>
      <x:c r="M8" s="17" t="str">
        <x:v>apps/api/test/supertest/company-product-approvals-api.test.mjs|tests/e2e/p0/p0-007-company-product-approvals.spec.ts|artifacts/verification/M2-P007/company-product-approvals.json</x:v>
      </x:c>
      <x:c r="N8" s="17" t="str">
        <x:v>96367acf9304dadee489e97ca7047deccedbb1a4</x:v>
      </x:c>
      <x:c r="O8" s="17" t="str">
        <x:v>CODEX</x:v>
      </x:c>
      <x:c r="P8" s="17" t="n">
        <x:v>46243.49652777778</x:v>
      </x:c>
      <x:c r="Q8" s="17" t="str">
        <x:v>双职能双页面、双审物化和并发幂等证据通过；PR #40精确head CI及合并后main@15a10da CI run 31311672836均成功。</x:v>
      </x:c>
    </x:row>
    <x:row r="9" ht="23" customHeight="1">
      <x:c r="A9" s="17" t="str">
        <x:v>P0-008</x:v>
      </x:c>
      <x:c r="B9" s="17" t="str">
        <x:v>8</x:v>
      </x:c>
      <x:c r="C9" s="17" t="str">
        <x:v>M2</x:v>
      </x:c>
      <x:c r="D9" s="17" t="str">
        <x:v>供应商独立价格页面</x:v>
      </x:c>
      <x:c r="E9" s="17" t="str">
        <x:v>供应商商品页面不加载价格字段；价格职能页面自主设置供应价、平台零售价和集采销售价并提交初始价格审核，公司不得静默改价。</x:v>
      </x:c>
      <x:c r="F9" s="17" t="str">
        <x:v>§5分类模板、§6商品价格库存</x:v>
      </x:c>
      <x:c r="G9" s="17" t="str">
        <x:v>M2-P008</x:v>
      </x:c>
      <x:c r="H9" s="17" t="str">
        <x:v>CI_PASS</x:v>
      </x:c>
      <x:c r="I9" s="17" t="str">
        <x:v>CI_PASS</x:v>
      </x:c>
      <x:c r="J9" s="17" t="str">
        <x:v>NEG-M2-008-01|NEG-M2-008-02|NEG-M2-008-03|NEG-M2-008-04|NEG-M2-008-05|NEG-M2-008-06|NEG-M2-008-07</x:v>
      </x:c>
      <x:c r="K9" s="17" t="str">
        <x:v>N/A</x:v>
      </x:c>
      <x:c r="L9" s="17" t="str">
        <x:v>PRODUCT_PAGE_PRICE_LEAK；COMPANY_SILENT_PRICE_CHANGE；CROSS_SUPPLIER_PRICE</x:v>
      </x:c>
      <x:c r="M9" s="17" t="str">
        <x:v>apps/api/test/supertest/supplier-pricing-api.test.mjs|tests/e2e/p0/p0-008-supplier-pricing.spec.ts|docs/contracts/m2/M2-P008-supplier-pricing.md</x:v>
      </x:c>
      <x:c r="N9" s="17" t="str">
        <x:v>23397b8eac5dff197d6ba7c9e4afc9f77e2287e3</x:v>
      </x:c>
      <x:c r="O9" s="17" t="str"/>
      <x:c r="P9" s="17" t="n">
        <x:v>46244.05306712963</x:v>
      </x:c>
      <x:c r="Q9" s="17" t="str">
        <x:v>PR #42精确head CI及合并后main@590a770 CI run 31346326144成功；多商品未知结果保护已进入main。</x:v>
      </x:c>
    </x:row>
    <x:row r="10" ht="23" customHeight="1">
      <x:c r="A10" s="17" t="str">
        <x:v>P0-009</x:v>
      </x:c>
      <x:c r="B10" s="17" t="str">
        <x:v>9</x:v>
      </x:c>
      <x:c r="C10" s="17" t="str">
        <x:v>M2</x:v>
      </x:c>
      <x:c r="D10" s="17" t="str">
        <x:v>无供应商店铺</x:v>
      </x:c>
      <x:c r="E10" s="17" t="str">
        <x:v>不存在供应商装修页、独立结算、店铺优惠券和供应商收款入口。</x:v>
      </x:c>
      <x:c r="F10" s="17" t="str">
        <x:v>§5分类模板、§6商品价格库存</x:v>
      </x:c>
      <x:c r="G10" s="17" t="str">
        <x:v>M2-P009</x:v>
      </x:c>
      <x:c r="H10" s="17" t="str">
        <x:v>CI_PASS</x:v>
      </x:c>
      <x:c r="I10" s="17" t="str">
        <x:v>CI_PASS</x:v>
      </x:c>
      <x:c r="J10" s="17" t="str">
        <x:v>NEG-M2-009-01|NEG-M2-009-02|NEG-M2-009-03</x:v>
      </x:c>
      <x:c r="K10" s="17" t="str">
        <x:v>N/A</x:v>
      </x:c>
      <x:c r="L10" s="17" t="str">
        <x:v>SUPPLIER_STOREFRONT；SUPPLIER_DIRECT_PAYMENT；SUPPLIER_STORE_CART</x:v>
      </x:c>
      <x:c r="M10" s="17" t="str">
        <x:v>apps/api/test/unit/no-supplier-storefront-policy.test.mjs|apps/api/test/supertest/single-merchant-api.test.mjs|tests/contracts/m2-p009-no-supplier-storefront.contract.test.mjs|tests/e2e/p0/p0-009-no-supplier-storefront.spec.ts|docs/contracts/m2/M2-P009-no-supplier-storefront.md|artifacts/verification/M2-P009/no-supplier-storefront.json</x:v>
      </x:c>
      <x:c r="N10" s="17" t="str">
        <x:v>fbf8fe62ce7113007a7ff3240974e9df72b08ba0</x:v>
      </x:c>
      <x:c r="O10" s="17" t="str">
        <x:v>CODEX</x:v>
      </x:c>
      <x:c r="P10" s="17" t="n">
        <x:v>46244.1490162037</x:v>
      </x:c>
      <x:c r="Q10" s="17" t="str">
        <x:v>三项负例先RED后GREEN；PR #44精确head CI run 31351519702通过并按授权合并，main@fb242c0的run 31352608893通过；staging与production未执行。</x:v>
      </x:c>
    </x:row>
    <x:row r="11" ht="23" customHeight="1">
      <x:c r="A11" s="17" t="str">
        <x:v>P0-010</x:v>
      </x:c>
      <x:c r="B11" s="17" t="str">
        <x:v>10</x:v>
      </x:c>
      <x:c r="C11" s="17" t="str">
        <x:v>M2</x:v>
      </x:c>
      <x:c r="D11" s="17" t="str">
        <x:v>看他还卖什么</x:v>
      </x:c>
      <x:c r="E11" s="17" t="str">
        <x:v>按 supplierId 筛选公司已上架商品，销售主体和统一货架不改变。</x:v>
      </x:c>
      <x:c r="F11" s="17" t="str">
        <x:v>§5分类模板、§6商品价格库存</x:v>
      </x:c>
      <x:c r="G11" s="17" t="str">
        <x:v>M2-P010</x:v>
      </x:c>
      <x:c r="H11" s="17" t="str">
        <x:v>CI_PASS</x:v>
      </x:c>
      <x:c r="I11" s="17" t="str">
        <x:v>CI_PASS</x:v>
      </x:c>
      <x:c r="J11" s="17" t="str">
        <x:v>NEG-M2-010-01|NEG-M2-010-02|NEG-M2-010-03</x:v>
      </x:c>
      <x:c r="K11" s="17" t="str">
        <x:v>N/A</x:v>
      </x:c>
      <x:c r="L11" s="17" t="str">
        <x:v>SUPPLIER_FILTER_ESCAPE；INACTIVE_PRODUCT_EXPOSURE；STORE_SEMANTICS</x:v>
      </x:c>
      <x:c r="M11" s="17" t="str">
        <x:v>apps/api/test/supertest/public-catalog-api.test.mjs|apps/api/test/unit/public-catalog-prisma-repository.test.mjs|apps/user-miniapp/test/supplier-products-build.test.mjs|tests/contracts/m2-p010-public-catalog.contract.test.mjs|tests/e2e/p0/p0-010-more-from-supplier.spec.ts|docs/contracts/m2/M2-P010-more-from-supplier.md|artifacts/verification/M2-P010/more-from-supplier.json</x:v>
      </x:c>
      <x:c r="N11" s="17" t="str">
        <x:v>08745d1d1f2ecb41acbfc4d21104c13daa570146</x:v>
      </x:c>
      <x:c r="O11" s="17" t="str">
        <x:v>CODEX</x:v>
      </x:c>
      <x:c r="P11" s="17" t="n">
        <x:v>46244.24444444444</x:v>
      </x:c>
      <x:c r="Q11" s="17" t="str">
        <x:v>PR #46精确head CI run 31358378754通过并按授权合并；main@d1c34e7的run 31359557525通过；P0-089、真机、staging与production未执行。</x:v>
      </x:c>
    </x:row>
    <x:row r="12" ht="23" customHeight="1">
      <x:c r="A12" s="17" t="str">
        <x:v>P0-011</x:v>
      </x:c>
      <x:c r="B12" s="17" t="str">
        <x:v>11</x:v>
      </x:c>
      <x:c r="C12" s="17" t="str">
        <x:v>M2</x:v>
      </x:c>
      <x:c r="D12" s="17" t="str">
        <x:v>分类树</x:v>
      </x:c>
      <x:c r="E12" s="17" t="str">
        <x:v>商品必须绑定启用的末级分类，分类支持排序、停用和历史引用保护。</x:v>
      </x:c>
      <x:c r="F12" s="17" t="str">
        <x:v>§5分类模板、§6商品价格库存</x:v>
      </x:c>
      <x:c r="G12" s="17" t="str">
        <x:v>M2-P011</x:v>
      </x:c>
      <x:c r="H12" s="17" t="str">
        <x:v>CI_PASS</x:v>
      </x:c>
      <x:c r="I12" s="17" t="str">
        <x:v>CI_PASS</x:v>
      </x:c>
      <x:c r="J12" s="17" t="str">
        <x:v>NEG-M2-011-01|NEG-M2-011-02|NEG-M2-011-03|NEG-M2-011-04</x:v>
      </x:c>
      <x:c r="K12" s="17" t="str">
        <x:v>N/A</x:v>
      </x:c>
      <x:c r="L12" s="17" t="str">
        <x:v>NON_LEAF_BINDING；DISABLED_CATEGORY；REFERENCED_CATEGORY_DELETE；CATEGORY_CYCLE</x:v>
      </x:c>
      <x:c r="M12" s="17" t="str">
        <x:v>apps/api/test/supertest/categories-api.test.mjs|tests/contracts/m2-p011-category-tree.contract.test.mjs|tests/migrations/m2-p011-category-tree-migration.contract.test.mjs|tests/e2e/p0/p0-011-category-tree.spec.ts|docs/contracts/m2/M2-P011-category-tree.md|artifacts/verification/M2-P011/category-tree.json</x:v>
      </x:c>
      <x:c r="N12" s="17" t="str">
        <x:v>abb82b1be670ab145f719d8682b59ba23ffcfe7d</x:v>
      </x:c>
      <x:c r="O12" s="17" t="str">
        <x:v>GITHUB_ACTIONS+CODEX_SELF_REVIEW</x:v>
      </x:c>
      <x:c r="P12" s="17" t="n">
        <x:v>46244.40503472222</x:v>
      </x:c>
      <x:c r="Q12" s="17" t="str">
        <x:v>PR #48精确head CI run 31372338118与合并后main CI run 31375326708通过；staging与production未执行。</x:v>
      </x:c>
    </x:row>
    <x:row r="13" ht="23" customHeight="1">
      <x:c r="A13" s="17" t="str">
        <x:v>P0-012</x:v>
      </x:c>
      <x:c r="B13" s="17" t="str">
        <x:v>12</x:v>
      </x:c>
      <x:c r="C13" s="17" t="str">
        <x:v>M2</x:v>
      </x:c>
      <x:c r="D13" s="17" t="str">
        <x:v>分类模板</x:v>
      </x:c>
      <x:c r="E13" s="17" t="str">
        <x:v>末级分类绑定模板版本，决定必填字段、SKU、资质和详情模块。</x:v>
      </x:c>
      <x:c r="F13" s="17" t="str">
        <x:v>§5分类模板、§6商品价格库存</x:v>
      </x:c>
      <x:c r="G13" s="17" t="str">
        <x:v>M2-P012</x:v>
      </x:c>
      <x:c r="H13" s="17" t="str">
        <x:v>CI_PASS</x:v>
      </x:c>
      <x:c r="I13" s="17" t="str">
        <x:v>CI_PASS</x:v>
      </x:c>
      <x:c r="J13" s="17" t="str">
        <x:v>NEG-M2-012-01|NEG-M2-012-02|NEG-M2-012-03|NEG-M2-012-04|NEG-M2-012-05</x:v>
      </x:c>
      <x:c r="K13" s="17" t="str">
        <x:v>N/A</x:v>
      </x:c>
      <x:c r="L13" s="17" t="str">
        <x:v>INVALID_SCHEMA；NON_LEAF_OR_DISABLED；IMMUTABLE_VERSION；INACTIVE_ASSIGNMENT；CONCURRENCY_AUDIT</x:v>
      </x:c>
      <x:c r="M13" s="17" t="str">
        <x:v>apps/api/test/supertest/category-templates-api.test.mjs|tests/contracts/m2-p012-category-template.contract.test.mjs|tests/migrations/m2-p012-category-template-migration.contract.test.mjs|tests/e2e/p0/p0-012-category-template.spec.ts|docs/contracts/m2/M2-P012-category-template.md|artifacts/verification/M2-P012/category-template.json</x:v>
      </x:c>
      <x:c r="N13" s="17" t="str">
        <x:v>4faae84321583c28abc7532f1093c7c2bbc95de1</x:v>
      </x:c>
      <x:c r="O13" s="17" t="str">
        <x:v>CODEX</x:v>
      </x:c>
      <x:c r="P13" s="17" t="n">
        <x:v>46244.68038194445</x:v>
      </x:c>
      <x:c r="Q13" s="17" t="str">
        <x:v>PR #50精确head CI与合并后main CI run 31398383884通过；模板版本化、旧版不可变和当前发布绑定均为CI_PASS。staging与production未执行。</x:v>
      </x:c>
    </x:row>
    <x:row r="14" ht="23" customHeight="1">
      <x:c r="A14" s="17" t="str">
        <x:v>P0-013</x:v>
      </x:c>
      <x:c r="B14" s="17" t="str">
        <x:v>13</x:v>
      </x:c>
      <x:c r="C14" s="17" t="str">
        <x:v>M2</x:v>
      </x:c>
      <x:c r="D14" s="17" t="str">
        <x:v>食品详情</x:v>
      </x:c>
      <x:c r="E14" s="17" t="str">
        <x:v>配料、营养、许可、保质期、储存和过敏原按模板展示。</x:v>
      </x:c>
      <x:c r="F14" s="17" t="str">
        <x:v>§5分类模板、§6商品价格库存</x:v>
      </x:c>
      <x:c r="G14" s="17" t="str">
        <x:v>M2-P013</x:v>
      </x:c>
      <x:c r="H14" s="17" t="str">
        <x:v>CI_PASS</x:v>
      </x:c>
      <x:c r="I14" s="17" t="str">
        <x:v>CI_PASS</x:v>
      </x:c>
      <x:c r="J14" s="17" t="str">
        <x:v>NEG-M2-013-01|NEG-M2-013-02|NEG-M2-013-03</x:v>
      </x:c>
      <x:c r="K14" s="17" t="str">
        <x:v>N/A</x:v>
      </x:c>
      <x:c r="L14" s="17" t="str">
        <x:v>FOOD_REQUIRED_FIELD_MISSING；FOOD_WARNING_OVERRIDE；FOOD_HISTORY_REWRITE</x:v>
      </x:c>
      <x:c r="M14" s="17" t="str">
        <x:v>apps/api/test/unit/food-detail-policy.test.mjs|apps/api/test/supertest/food-product-detail-api.test.mjs|apps/api/test/supertest/category-templates-api.test.mjs|apps/user-miniapp/test/product-detail-build.test.mjs|tests/contracts/m2-p013-food-detail.contract.test.mjs|tests/migrations/m2-p013-food-template-migration.contract.test.mjs|tests/e2e/p0/p0-013-food-detail.spec.ts|docs/contracts/m2/M2-P013-food-detail.md|artifacts/verification/M2-P013/food-detail.json</x:v>
      </x:c>
      <x:c r="N14" s="17" t="str">
        <x:v>22d42359eb6e5ecfaf978efea0c2964c84267d27</x:v>
      </x:c>
      <x:c r="O14" s="17" t="str">
        <x:v>CODEX</x:v>
      </x:c>
      <x:c r="P14" s="17" t="n">
        <x:v>46245.055763888886</x:v>
      </x:c>
      <x:c r="Q14" s="17" t="str">
        <x:v>PR #52精确head CI run 31413574540及合并后main CI run 31448561555通过；食品六项字段、三项SKU规格、固定提示和公开DTO白名单达到CI_PASS。staging、device、production未执行。</x:v>
      </x:c>
    </x:row>
    <x:row r="15" ht="23" customHeight="1">
      <x:c r="A15" s="17" t="str">
        <x:v>P0-014</x:v>
      </x:c>
      <x:c r="B15" s="17" t="str">
        <x:v>14</x:v>
      </x:c>
      <x:c r="C15" s="17" t="str">
        <x:v>M2</x:v>
      </x:c>
      <x:c r="D15" s="17" t="str">
        <x:v>生鲜详情</x:v>
      </x:c>
      <x:c r="E15" s="17" t="str">
        <x:v>产地、等级、保鲜、温区、称重和售后规则按模板展示。</x:v>
      </x:c>
      <x:c r="F15" s="17" t="str">
        <x:v>§5分类模板、§6商品价格库存</x:v>
      </x:c>
      <x:c r="G15" s="17" t="str">
        <x:v>M2-P014</x:v>
      </x:c>
      <x:c r="H15" s="17" t="str">
        <x:v>CI_PASS</x:v>
      </x:c>
      <x:c r="I15" s="17" t="str">
        <x:v>CI_PASS</x:v>
      </x:c>
      <x:c r="J15" s="17" t="str">
        <x:v>NEG-M2-014-01|NEG-M2-014-02|NEG-M2-014-03</x:v>
      </x:c>
      <x:c r="K15" s="17" t="str">
        <x:v>N/A</x:v>
      </x:c>
      <x:c r="L15" s="17" t="str">
        <x:v>FRESH_REQUIRED_FIELD_MISSING；FRESH_WEIGHT_RULE_INVALID；FRESH_HISTORY_REWRITE</x:v>
      </x:c>
      <x:c r="M15" s="17" t="str">
        <x:v>apps/api/test/unit/fresh-detail-policy.test.mjs|apps/api/test/supertest/fresh-product-detail-api.test.mjs|apps/api/test/supertest/category-templates-api.test.mjs|apps/user-miniapp/test/product-detail-build.test.mjs|tests/contracts/m2-p014-fresh-detail.contract.test.mjs|tests/migrations/m2-p014-fresh-template-migration.contract.test.mjs|tests/e2e/p0/p0-014-fresh-detail.spec.ts|docs/contracts/m2/M2-P014-fresh-detail.md|artifacts/verification/M2-P014/fresh-detail.json</x:v>
      </x:c>
      <x:c r="N15" s="17" t="str">
        <x:v>9bbaa92e22d2c7055ffefbe089f92eaaf69cdabe</x:v>
      </x:c>
      <x:c r="O15" s="17" t="str">
        <x:v>GITHUB_ACTIONS+CODEX_SELF_REVIEW</x:v>
      </x:c>
      <x:c r="P15" s="17" t="n">
        <x:v>46245.12520833333</x:v>
      </x:c>
      <x:c r="Q15" s="17" t="str">
        <x:v>PR #54精确head CI run 31452009986及合并后main CI run 31453656294通过；生鲜详情达到CI_PASS。staging、device、production未执行。</x:v>
      </x:c>
    </x:row>
    <x:row r="16" ht="23" customHeight="1">
      <x:c r="A16" s="17" t="str">
        <x:v>P0-015</x:v>
      </x:c>
      <x:c r="B16" s="17" t="str">
        <x:v>15</x:v>
      </x:c>
      <x:c r="C16" s="17" t="str">
        <x:v>M2</x:v>
      </x:c>
      <x:c r="D16" s="17" t="str">
        <x:v>服饰详情</x:v>
      </x:c>
      <x:c r="E16" s="17" t="str">
        <x:v>颜色尺码 SKU、材质、尺码表和洗护说明完整。</x:v>
      </x:c>
      <x:c r="F16" s="17" t="str">
        <x:v>§5分类模板、§6商品价格库存</x:v>
      </x:c>
      <x:c r="G16" s="17" t="str">
        <x:v>M2-P015</x:v>
      </x:c>
      <x:c r="H16" s="17" t="str">
        <x:v>CI_PASS</x:v>
      </x:c>
      <x:c r="I16" s="17" t="str">
        <x:v>CI_PASS</x:v>
      </x:c>
      <x:c r="J16" s="17" t="str">
        <x:v>NEG-M2-015-01|NEG-M2-015-02|NEG-M2-015-03</x:v>
      </x:c>
      <x:c r="K16" s="17" t="str">
        <x:v>N/A</x:v>
      </x:c>
      <x:c r="L16" s="17" t="str">
        <x:v>APPAREL_REQUIRED_FIELD_MISSING；SKU_DIMENSION_DUPLICATE；APPAREL_HISTORY_REWRITE</x:v>
      </x:c>
      <x:c r="M16" s="17" t="str">
        <x:v>apps/api/test/unit/apparel-detail-policy.test.mjs|apps/api/test/supertest/apparel-product-detail-api.test.mjs|apps/api/test/supertest/category-templates-api.test.mjs|apps/user-miniapp/test/product-detail-build.test.mjs|tests/contracts/m2-p015-apparel-detail.contract.test.mjs|tests/migrations/m2-p015-apparel-template-migration.contract.test.mjs|tests/e2e/p0/p0-015-apparel-detail.spec.ts|docs/contracts/m2/M2-P015-apparel-detail.md|artifacts/verification/M2-P015/apparel-detail.json</x:v>
      </x:c>
      <x:c r="N16" s="17" t="str">
        <x:v>7319f6f2fa13e490e46f262ba9aae7f0746016ad</x:v>
      </x:c>
      <x:c r="O16" s="17" t="str">
        <x:v>GITHUB_ACTIONS</x:v>
      </x:c>
      <x:c r="P16" s="17" t="n">
        <x:v>46245.2406712963</x:v>
      </x:c>
      <x:c r="Q16" s="17" t="str">
        <x:v>PR #56最终head CI和合并后main@dfd03e1 run 31462310044均通过；P0-015在main闭环，staging、device和production仍未执行。</x:v>
      </x:c>
    </x:row>
    <x:row r="17" ht="23" customHeight="1">
      <x:c r="A17" s="17" t="str">
        <x:v>P0-016</x:v>
      </x:c>
      <x:c r="B17" s="17" t="str">
        <x:v>16</x:v>
      </x:c>
      <x:c r="C17" s="17" t="str">
        <x:v>M2</x:v>
      </x:c>
      <x:c r="D17" s="17" t="str">
        <x:v>数码详情</x:v>
      </x:c>
      <x:c r="E17" s="17" t="str">
        <x:v>型号、参数、能效、包装清单和保修信息完整。</x:v>
      </x:c>
      <x:c r="F17" s="17" t="str">
        <x:v>§5分类模板、§6商品价格库存</x:v>
      </x:c>
      <x:c r="G17" s="17" t="str">
        <x:v>M2-P016</x:v>
      </x:c>
      <x:c r="H17" s="17" t="str">
        <x:v>CI_PASS</x:v>
      </x:c>
      <x:c r="I17" s="17" t="str">
        <x:v>CI_PASS</x:v>
      </x:c>
      <x:c r="J17" s="17" t="str">
        <x:v>NEG-M2-016-01|NEG-M2-016-02|NEG-M2-016-03</x:v>
      </x:c>
      <x:c r="K17" s="17" t="str">
        <x:v>N/A</x:v>
      </x:c>
      <x:c r="L17" s="17" t="str">
        <x:v>DIGITAL_REQUIRED_FIELD_MISSING；DIGITAL_MODEL_DUPLICATE；DIGITAL_HISTORY_REWRITE</x:v>
      </x:c>
      <x:c r="M17" s="17" t="str">
        <x:v>apps/api/test/unit/digital-detail-policy.test.mjs|apps/api/test/supertest/digital-product-detail-api.test.mjs|apps/api/test/supertest/category-templates-api.test.mjs|apps/user-miniapp/test/product-detail-build.test.mjs|tests/migrations/m2-p016-digital-template-migration.contract.test.mjs|tests/e2e/p0/p0-016-digital-detail.spec.ts|docs/contracts/m2/M2-P016-digital-detail.md|artifacts/verification/M2-P016/digital-detail.json|https://github.com/EasyStep-lee/flt1/actions/runs/31472192291</x:v>
      </x:c>
      <x:c r="N17" s="17" t="str">
        <x:v>371d99dc668cf021583fb43f86750cb4630573b7</x:v>
      </x:c>
      <x:c r="O17" s="17" t="str">
        <x:v>GITHUB_ACTIONS</x:v>
      </x:c>
      <x:c r="P17" s="17" t="n">
        <x:v>46245.362233796295</x:v>
      </x:c>
      <x:c r="Q17" s="17" t="str">
        <x:v>PR #58最终head CI和合并后main@371d99d run 31472192291均通过；P0-016在main闭环，正式数据、staging、device和production仍未执行。</x:v>
      </x:c>
    </x:row>
    <x:row r="18" ht="23" customHeight="1">
      <x:c r="A18" s="17" t="str">
        <x:v>P0-017</x:v>
      </x:c>
      <x:c r="B18" s="17" t="str">
        <x:v>17</x:v>
      </x:c>
      <x:c r="C18" s="17" t="str">
        <x:v>M2</x:v>
      </x:c>
      <x:c r="D18" s="17" t="str">
        <x:v>礼盒组合</x:v>
      </x:c>
      <x:c r="E18" s="17" t="str">
        <x:v>组合商品明确展示子项、数量、规格和有效期下限。</x:v>
      </x:c>
      <x:c r="F18" s="17" t="str">
        <x:v>§5分类模板、§6商品价格库存</x:v>
      </x:c>
      <x:c r="G18" s="17" t="str">
        <x:v>M2-P017</x:v>
      </x:c>
      <x:c r="H18" s="17" t="str">
        <x:v>CI_PASS</x:v>
      </x:c>
      <x:c r="I18" s="17" t="str">
        <x:v>CI_PASS</x:v>
      </x:c>
      <x:c r="J18" s="17" t="str">
        <x:v>NEG-M2-017-01|NEG-M2-017-02|NEG-M2-017-03</x:v>
      </x:c>
      <x:c r="K18" s="17" t="str">
        <x:v>N/A</x:v>
      </x:c>
      <x:c r="L18" s="17" t="str">
        <x:v>BUNDLE_SCHEMA_INVALID；SUPPLIER_SCOPE_FORBIDDEN；TEMPLATE_VERSION_IMMUTABLE</x:v>
      </x:c>
      <x:c r="M18" s="17" t="str">
        <x:v>apps/api/test/unit/gift-box-detail-policy.test.mjs|apps/api/test/supertest/gift-box-product-detail-api.test.mjs|apps/api/test/supertest/category-templates-api.test.mjs|apps/user-miniapp/test/product-detail-build.test.mjs|tests/contracts/m2-p017-gift-box-detail.contract.test.mjs|tests/migrations/m2-p017-gift-box-template-migration.contract.test.mjs|tests/e2e/p0/p0-017-gift-box-detail.spec.ts|docs/contracts/m2/M2-P017-gift-box-detail.md|artifacts/verification/M2-P017/gift-box-detail.json|artifacts/test-results/verification/pnpm-verify.json|https://github.com/EasyStep-lee/flt1/actions/runs/31479644045|https://github.com/EasyStep-lee/flt1/actions/runs/31480997963</x:v>
      </x:c>
      <x:c r="N18" s="17" t="str">
        <x:v>59b020e38d38dc2a8d5d1e1009a2fdc8c5558d30</x:v>
      </x:c>
      <x:c r="O18" s="17" t="str">
        <x:v>CODEX+GITHUB_ACTIONS</x:v>
      </x:c>
      <x:c r="P18" s="17" t="n">
        <x:v>46245.42947916667</x:v>
      </x:c>
      <x:c r="Q18" s="17" t="str">
        <x:v>最终head PR CI通过并按精确授权合并；合并后main@56bd581的CI通过。正式数据、staging/device/production未执行。</x:v>
      </x:c>
    </x:row>
    <x:row r="19" ht="23" customHeight="1">
      <x:c r="A19" s="17" t="str">
        <x:v>P0-018</x:v>
      </x:c>
      <x:c r="B19" s="17" t="str">
        <x:v>18</x:v>
      </x:c>
      <x:c r="C19" s="17" t="str">
        <x:v>M2</x:v>
      </x:c>
      <x:c r="D19" s="17" t="str">
        <x:v>强监管默认关闭</x:v>
      </x:c>
      <x:c r="E19" s="17" t="str">
        <x:v>未配置公司资质、模板和人工开关的高风险品类不能交易。</x:v>
      </x:c>
      <x:c r="F19" s="17" t="str">
        <x:v>§5分类模板、§6商品价格库存</x:v>
      </x:c>
      <x:c r="G19" s="17" t="str">
        <x:v>M2-P018</x:v>
      </x:c>
      <x:c r="H19" s="17" t="str">
        <x:v>CI_PASS</x:v>
      </x:c>
      <x:c r="I19" s="17" t="str">
        <x:v>CI_PASS</x:v>
      </x:c>
      <x:c r="J19" s="17" t="str">
        <x:v>NEG-M2-018-01|NEG-M2-018-02|NEG-M2-018-03</x:v>
      </x:c>
      <x:c r="K19" s="17" t="str">
        <x:v>N/A</x:v>
      </x:c>
      <x:c r="L19" s="17" t="str">
        <x:v>REGULATED_CATEGORY_DISABLED；QUALIFICATION_REQUIRED；CATEGORY_TEMPLATE_INVALID</x:v>
      </x:c>
      <x:c r="M19" s="17" t="str">
        <x:v>apps/api/test/supertest/regulated-category-controls-api.test.mjs|apps/api/test/unit/public-catalog-prisma-repository.test.mjs|tests/contracts/m2-p018-regulated-category.contract.test.mjs|tests/migrations/m2-p018-regulated-category-migration.contract.test.mjs|tests/e2e/p0/p0-018-regulated-category.spec.ts|docs/contracts/m2/M2-P018-regulated-category.md|artifacts/verification/M2-P018/regulated-category-default-deny.json</x:v>
      </x:c>
      <x:c r="N19" s="17" t="str">
        <x:v>413adffe4e4276d3378e8218e99022193627e57a</x:v>
      </x:c>
      <x:c r="O19" s="17" t="str">
        <x:v>CODEX</x:v>
      </x:c>
      <x:c r="P19" s="17" t="n">
        <x:v>46246.057650462964</x:v>
      </x:c>
      <x:c r="Q19" s="17" t="str">
        <x:v>PR #62精确head 37e9f10已授权合并；main@413adffe对应Actions run 31552935068成功。EXT-007正式数据及staging/device/production未执行。</x:v>
      </x:c>
    </x:row>
    <x:row r="20" ht="23" customHeight="1">
      <x:c r="A20" s="17" t="str">
        <x:v>P0-019</x:v>
      </x:c>
      <x:c r="B20" s="17" t="str">
        <x:v>19</x:v>
      </x:c>
      <x:c r="C20" s="17" t="str">
        <x:v>M2</x:v>
      </x:c>
      <x:c r="D20" s="17" t="str">
        <x:v>上架商品分级调价</x:v>
      </x:c>
      <x:c r="E20" s="17" t="str">
        <x:v>已上架商品供应价变更必须提交 SupplyPriceChangeRequest，审核通过前继续使用原价；平台零售价和集采销售价变更不产生审批单，立即或定时生效。三类变更均完整留痕且不回改历史订单。</x:v>
      </x:c>
      <x:c r="F20" s="17" t="str">
        <x:v>§5分类模板、§6商品价格库存</x:v>
      </x:c>
      <x:c r="G20" s="17" t="str">
        <x:v>M2-P019</x:v>
      </x:c>
      <x:c r="H20" s="17" t="str">
        <x:v>CI_PASS</x:v>
      </x:c>
      <x:c r="I20" s="17" t="str">
        <x:v>LOCAL_PASS</x:v>
      </x:c>
      <x:c r="J20" s="17" t="str">
        <x:v>NEG-M2-019-01|NEG-M2-019-02|NEG-M2-019-03|NEG-M2-019-04</x:v>
      </x:c>
      <x:c r="K20" s="17" t="str">
        <x:v>N/A</x:v>
      </x:c>
      <x:c r="L20" s="17" t="str">
        <x:v>UNAPPROVED_SUPPLY_PRICE_EFFECT；SALE_PRICE_APPROVAL_CREATED；PRICE_HISTORY_OVERWRITE；CONCURRENT_PRICE_EFFECT</x:v>
      </x:c>
      <x:c r="M20" s="17" t="str">
        <x:v>apps/api/test/supertest/tiered-price-change-api.test.mjs|tests/contracts/m2-p019-tiered-price-change.contract.test.mjs|tests/migrations/m2-p019-tiered-price-change-migration.contract.test.mjs|tests/e2e/p0/p0-019-tiered-price-change.spec.ts|docs/contracts/m2/M2-P019-tiered-price-change.md|packages/contracts/openapi.json</x:v>
      </x:c>
      <x:c r="N20" s="17" t="str">
        <x:v>66a251160cf5229550c35dbd14f3e8a0660cd753</x:v>
      </x:c>
      <x:c r="O20" s="17" t="str">
        <x:v>CODEX</x:v>
      </x:c>
      <x:c r="P20" s="17" t="n">
        <x:v>46246.131157407406</x:v>
      </x:c>
      <x:c r="Q20" s="17" t="str">
        <x:v>真实RED因接口缺失3/3失败；GREEN API 9/9、双审核回归15/15、契约/迁移3/3、P019 E2E 2/2、DTO白名单、异人审核、免审销售价、预约outbox、调度失败恢复、并发/幂等/审计回滚与MySQL迁移演练通过；head 66a2511完整verify 17/17与P0 E2E 46/46通过，CI待执行。</x:v>
      </x:c>
    </x:row>
    <x:row r="21" ht="23" customHeight="1">
      <x:c r="A21" s="17" t="str">
        <x:v>P0-020</x:v>
      </x:c>
      <x:c r="B21" s="17" t="str">
        <x:v>20</x:v>
      </x:c>
      <x:c r="C21" s="17" t="str">
        <x:v>M3</x:v>
      </x:c>
      <x:c r="D21" s="17" t="str">
        <x:v>用户首页</x:v>
      </x:c>
      <x:c r="E21" s="17" t="str">
        <x:v>搜索、分类、活动、福利卡、配送区域和个人订单入口完整；不混入企业采购入口。</x:v>
      </x:c>
      <x:c r="F21" s="17" t="str">
        <x:v>§7用户小程序</x:v>
      </x:c>
      <x:c r="G21" s="17" t="str">
        <x:v>M3-P020</x:v>
      </x:c>
      <x:c r="H21" s="17" t="str">
        <x:v>CI_PASS</x:v>
      </x:c>
      <x:c r="I21" s="17" t="str">
        <x:v>NOT_EXECUTED</x:v>
      </x:c>
      <x:c r="J21" s="17" t="str">
        <x:v>TO_BE_CREATED</x:v>
      </x:c>
      <x:c r="K21" s="17" t="str">
        <x:v>N/A</x:v>
      </x:c>
      <x:c r="L21" s="17" t="str">
        <x:v>越权；重复请求；非法状态；敏感字段泄露；失败恢复（按适用性执行）</x:v>
      </x:c>
      <x:c r="M21" s="17" t="str"/>
      <x:c r="N21" s="17" t="str"/>
      <x:c r="O21" s="17" t="str"/>
      <x:c r="P21" s="17" t="str"/>
      <x:c r="Q21" s="17" t="str"/>
    </x:row>
    <x:row r="22" ht="23" customHeight="1">
      <x:c r="A22" s="17" t="str">
        <x:v>P0-021</x:v>
      </x:c>
      <x:c r="B22" s="17" t="str">
        <x:v>21</x:v>
      </x:c>
      <x:c r="C22" s="17" t="str">
        <x:v>M2</x:v>
      </x:c>
      <x:c r="D22" s="17" t="str">
        <x:v>商品详情与价格隔离</x:v>
      </x:c>
      <x:c r="E22" s="17" t="str">
        <x:v>个人详情只展示平台零售价，企业详情只展示集采销售价；页面、源码、接口响应、缓存和埋点均不包含供应价、供应价快照或内部毛利。</x:v>
      </x:c>
      <x:c r="F22" s="17" t="str">
        <x:v>§5分类模板、§6商品价格库存</x:v>
      </x:c>
      <x:c r="G22" s="17" t="str">
        <x:v>M2-P021</x:v>
      </x:c>
      <x:c r="H22" s="17" t="str">
        <x:v>CI_PASS</x:v>
      </x:c>
      <x:c r="I22" s="17" t="str">
        <x:v>NOT_EXECUTED</x:v>
      </x:c>
      <x:c r="J22" s="17" t="str">
        <x:v>NEG-M2-021-01|NEG-M2-021-02|NEG-M2-021-03</x:v>
      </x:c>
      <x:c r="K22" s="17" t="str">
        <x:v>N/A</x:v>
      </x:c>
      <x:c r="L22" s="17" t="str">
        <x:v>SUPPLY_PRICE_RESPONSE_LEAK；SUPPLY_PRICE_CACHE_INDEX_LEAK；WRONG_CHANNEL_SALE_PRICE</x:v>
      </x:c>
      <x:c r="M22" s="17" t="str">
        <x:v>artifacts/verification/M2-000/m2-contract-freeze.json#negativeTests</x:v>
      </x:c>
      <x:c r="N22" s="17" t="str"/>
      <x:c r="O22" s="17" t="str"/>
      <x:c r="P22" s="17" t="str"/>
      <x:c r="Q22" s="17" t="str">
        <x:v>M2-000仅冻结测试ID、失败行为和证据要求；业务切片须逐项先RED再实现；当前仍为NOT_EXECUTED</x:v>
      </x:c>
    </x:row>
    <x:row r="23" ht="23" customHeight="1">
      <x:c r="A23" s="17" t="str">
        <x:v>P0-022</x:v>
      </x:c>
      <x:c r="B23" s="17" t="str">
        <x:v>22</x:v>
      </x:c>
      <x:c r="C23" s="17" t="str">
        <x:v>M3</x:v>
      </x:c>
      <x:c r="D23" s="17" t="str">
        <x:v>个人与企业跨供应商订单</x:v>
      </x:c>
      <x:c r="E23" s="17" t="str">
        <x:v>个人零售和企业采购均允许一次选择至少三个供应商商品，向公司提交一个主订单并完成一次结账；平台按 supplierId 准确生成各供应商履约子单。</x:v>
      </x:c>
      <x:c r="F23" s="17" t="str">
        <x:v>§8企业采购、§9订单福利卡支付</x:v>
      </x:c>
      <x:c r="G23" s="17" t="str">
        <x:v>M3-P022</x:v>
      </x:c>
      <x:c r="H23" s="17" t="str">
        <x:v>CI_PASS</x:v>
      </x:c>
      <x:c r="I23" s="17" t="str">
        <x:v>NOT_EXECUTED</x:v>
      </x:c>
      <x:c r="J23" s="17" t="str">
        <x:v>TO_BE_CREATED</x:v>
      </x:c>
      <x:c r="K23" s="17" t="str">
        <x:v>N/A</x:v>
      </x:c>
      <x:c r="L23" s="17" t="str">
        <x:v>越权；重复请求；非法状态；敏感字段泄露；失败恢复（按适用性执行）</x:v>
      </x:c>
      <x:c r="M23" s="17" t="str"/>
      <x:c r="N23" s="17" t="str"/>
      <x:c r="O23" s="17" t="str"/>
      <x:c r="P23" s="17" t="str"/>
      <x:c r="Q23" s="17" t="str"/>
    </x:row>
    <x:row r="24" ht="23" customHeight="1">
      <x:c r="A24" s="17" t="str">
        <x:v>P0-023</x:v>
      </x:c>
      <x:c r="B24" s="17" t="str">
        <x:v>23</x:v>
      </x:c>
      <x:c r="C24" s="17" t="str">
        <x:v>M3</x:v>
      </x:c>
      <x:c r="D24" s="17" t="str">
        <x:v>库存预扣</x:v>
      </x:c>
      <x:c r="E24" s="17" t="str">
        <x:v>提交订单预扣库存，支付取消、失败或超时时库存与福利卡冻结均准确释放。</x:v>
      </x:c>
      <x:c r="F24" s="17" t="str">
        <x:v>§8企业采购、§9订单福利卡支付</x:v>
      </x:c>
      <x:c r="G24" s="17" t="str">
        <x:v>M3-P023</x:v>
      </x:c>
      <x:c r="H24" s="17" t="str">
        <x:v>CI_PASS</x:v>
      </x:c>
      <x:c r="I24" s="17" t="str">
        <x:v>NOT_EXECUTED</x:v>
      </x:c>
      <x:c r="J24" s="17" t="str">
        <x:v>TO_BE_CREATED</x:v>
      </x:c>
      <x:c r="K24" s="17" t="str">
        <x:v>N/A</x:v>
      </x:c>
      <x:c r="L24" s="17" t="str">
        <x:v>越权；重复请求；非法状态；敏感字段泄露；失败恢复（按适用性执行）</x:v>
      </x:c>
      <x:c r="M24" s="17" t="str"/>
      <x:c r="N24" s="17" t="str"/>
      <x:c r="O24" s="17" t="str"/>
      <x:c r="P24" s="17" t="str"/>
      <x:c r="Q24" s="17" t="str"/>
    </x:row>
    <x:row r="25" ht="23" customHeight="1">
      <x:c r="A25" s="17" t="str">
        <x:v>P0-024</x:v>
      </x:c>
      <x:c r="B25" s="17" t="str">
        <x:v>24</x:v>
      </x:c>
      <x:c r="C25" s="17" t="str">
        <x:v>M3</x:v>
      </x:c>
      <x:c r="D25" s="17" t="str">
        <x:v>支付幂等</x:v>
      </x:c>
      <x:c r="E25" s="17" t="str">
        <x:v>重复微信支付回调不重复扣福利卡、微信支付金额或共用库存，不重复生成个人跑腿任务、企业配送单或改变订单金额。</x:v>
      </x:c>
      <x:c r="F25" s="17" t="str">
        <x:v>§8企业采购、§9订单福利卡支付</x:v>
      </x:c>
      <x:c r="G25" s="17" t="str">
        <x:v>M3-P024</x:v>
      </x:c>
      <x:c r="H25" s="17" t="str">
        <x:v>STAGING_PASS</x:v>
      </x:c>
      <x:c r="I25" s="17" t="str">
        <x:v>NOT_EXECUTED</x:v>
      </x:c>
      <x:c r="J25" s="17" t="str">
        <x:v>TO_BE_CREATED</x:v>
      </x:c>
      <x:c r="K25" s="17" t="str">
        <x:v>MANUAL-024</x:v>
      </x:c>
      <x:c r="L25" s="17" t="str">
        <x:v>越权；重复请求；非法状态；敏感字段泄露；失败恢复（按适用性执行）</x:v>
      </x:c>
      <x:c r="M25" s="17" t="str"/>
      <x:c r="N25" s="17" t="str"/>
      <x:c r="O25" s="17" t="str"/>
      <x:c r="P25" s="17" t="str"/>
      <x:c r="Q25" s="17" t="str"/>
    </x:row>
    <x:row r="26" ht="23" customHeight="1">
      <x:c r="A26" s="17" t="str">
        <x:v>P0-025</x:v>
      </x:c>
      <x:c r="B26" s="17" t="str">
        <x:v>25</x:v>
      </x:c>
      <x:c r="C26" s="17" t="str">
        <x:v>M3</x:v>
      </x:c>
      <x:c r="D26" s="17" t="str">
        <x:v>公司统一对客结账</x:v>
      </x:c>
      <x:c r="E26" s="17" t="str">
        <x:v>个人和企业跨供应商主订单均只向公司结账；福利卡由公司统一发行记账，P0 在线现金付款只进入公司微信支付商户号，供应商不接触客户资金或分别收款，支付宝等其他通道请求被拒绝。</x:v>
      </x:c>
      <x:c r="F26" s="17" t="str">
        <x:v>§8企业采购、§9订单福利卡支付</x:v>
      </x:c>
      <x:c r="G26" s="17" t="str">
        <x:v>M3-P025</x:v>
      </x:c>
      <x:c r="H26" s="17" t="str">
        <x:v>CI_PASS</x:v>
      </x:c>
      <x:c r="I26" s="17" t="str">
        <x:v>NOT_EXECUTED</x:v>
      </x:c>
      <x:c r="J26" s="17" t="str">
        <x:v>TO_BE_CREATED</x:v>
      </x:c>
      <x:c r="K26" s="17" t="str">
        <x:v>N/A</x:v>
      </x:c>
      <x:c r="L26" s="17" t="str">
        <x:v>越权；重复请求；非法状态；敏感字段泄露；失败恢复（按适用性执行）</x:v>
      </x:c>
      <x:c r="M26" s="17" t="str"/>
      <x:c r="N26" s="17" t="str"/>
      <x:c r="O26" s="17" t="str"/>
      <x:c r="P26" s="17" t="str"/>
      <x:c r="Q26" s="17" t="str"/>
    </x:row>
    <x:row r="27" ht="23" customHeight="1">
      <x:c r="A27" s="17" t="str">
        <x:v>P0-026</x:v>
      </x:c>
      <x:c r="B27" s="17" t="str">
        <x:v>26</x:v>
      </x:c>
      <x:c r="C27" s="17" t="str">
        <x:v>M3</x:v>
      </x:c>
      <x:c r="D27" s="17" t="str">
        <x:v>按原支付结构退款</x:v>
      </x:c>
      <x:c r="E27" s="17" t="str">
        <x:v>公司发起退款，福利卡部分退原账户、微信支付部分退原微信支付交易，并生成资金、库存和对账影响记录。</x:v>
      </x:c>
      <x:c r="F27" s="17" t="str">
        <x:v>§8企业采购、§9订单福利卡支付</x:v>
      </x:c>
      <x:c r="G27" s="17" t="str">
        <x:v>M3-P026</x:v>
      </x:c>
      <x:c r="H27" s="17" t="str">
        <x:v>STAGING_PASS</x:v>
      </x:c>
      <x:c r="I27" s="17" t="str">
        <x:v>NOT_EXECUTED</x:v>
      </x:c>
      <x:c r="J27" s="17" t="str">
        <x:v>TO_BE_CREATED</x:v>
      </x:c>
      <x:c r="K27" s="17" t="str">
        <x:v>MANUAL-026</x:v>
      </x:c>
      <x:c r="L27" s="17" t="str">
        <x:v>越权；重复请求；非法状态；敏感字段泄露；失败恢复（按适用性执行）</x:v>
      </x:c>
      <x:c r="M27" s="17" t="str"/>
      <x:c r="N27" s="17" t="str"/>
      <x:c r="O27" s="17" t="str"/>
      <x:c r="P27" s="17" t="str"/>
      <x:c r="Q27" s="17" t="str"/>
    </x:row>
    <x:row r="28" ht="23" customHeight="1">
      <x:c r="A28" s="17" t="str">
        <x:v>P0-027</x:v>
      </x:c>
      <x:c r="B28" s="17" t="str">
        <x:v>27</x:v>
      </x:c>
      <x:c r="C28" s="17" t="str">
        <x:v>M3</x:v>
      </x:c>
      <x:c r="D28" s="17" t="str">
        <x:v>门户宣传</x:v>
      </x:c>
      <x:c r="E28" s="17" t="str">
        <x:v>公司介绍、供应链能力、案例、供应商合作、新闻和联系页面完整并支持 SEO。</x:v>
      </x:c>
      <x:c r="F28" s="17" t="str">
        <x:v>§8企业采购、§9订单福利卡支付</x:v>
      </x:c>
      <x:c r="G28" s="17" t="str">
        <x:v>M3-P027</x:v>
      </x:c>
      <x:c r="H28" s="17" t="str">
        <x:v>CI_PASS</x:v>
      </x:c>
      <x:c r="I28" s="17" t="str">
        <x:v>NOT_EXECUTED</x:v>
      </x:c>
      <x:c r="J28" s="17" t="str">
        <x:v>TO_BE_CREATED</x:v>
      </x:c>
      <x:c r="K28" s="17" t="str">
        <x:v>N/A</x:v>
      </x:c>
      <x:c r="L28" s="17" t="str">
        <x:v>越权；重复请求；非法状态；敏感字段泄露；失败恢复（按适用性执行）</x:v>
      </x:c>
      <x:c r="M28" s="17" t="str"/>
      <x:c r="N28" s="17" t="str"/>
      <x:c r="O28" s="17" t="str"/>
      <x:c r="P28" s="17" t="str"/>
      <x:c r="Q28" s="17" t="str"/>
    </x:row>
    <x:row r="29" ht="23" customHeight="1">
      <x:c r="A29" s="17" t="str">
        <x:v>P0-028</x:v>
      </x:c>
      <x:c r="B29" s="17" t="str">
        <x:v>28</x:v>
      </x:c>
      <x:c r="C29" s="17" t="str">
        <x:v>M3</x:v>
      </x:c>
      <x:c r="D29" s="17" t="str">
        <x:v>企业注册认证</x:v>
      </x:c>
      <x:c r="E29" s="17" t="str">
        <x:v>正常企业可从门户“社区集采”入口注册，提交营业执照、联系人、开票和收货资料，并完成审核补正和认证。</x:v>
      </x:c>
      <x:c r="F29" s="17" t="str">
        <x:v>§8企业采购、§9订单福利卡支付</x:v>
      </x:c>
      <x:c r="G29" s="17" t="str">
        <x:v>M3-P028</x:v>
      </x:c>
      <x:c r="H29" s="17" t="str">
        <x:v>CI_PASS</x:v>
      </x:c>
      <x:c r="I29" s="17" t="str">
        <x:v>NOT_EXECUTED</x:v>
      </x:c>
      <x:c r="J29" s="17" t="str">
        <x:v>TO_BE_CREATED</x:v>
      </x:c>
      <x:c r="K29" s="17" t="str">
        <x:v>MANUAL-028</x:v>
      </x:c>
      <x:c r="L29" s="17" t="str">
        <x:v>越权；重复请求；非法状态；敏感字段泄露；失败恢复（按适用性执行）</x:v>
      </x:c>
      <x:c r="M29" s="17" t="str"/>
      <x:c r="N29" s="17" t="str"/>
      <x:c r="O29" s="17" t="str"/>
      <x:c r="P29" s="17" t="str"/>
      <x:c r="Q29" s="17" t="str"/>
    </x:row>
    <x:row r="30" ht="23" customHeight="1">
      <x:c r="A30" s="17" t="str">
        <x:v>P0-029</x:v>
      </x:c>
      <x:c r="B30" s="17" t="str">
        <x:v>29</x:v>
      </x:c>
      <x:c r="C30" s="17" t="str">
        <x:v>M3</x:v>
      </x:c>
      <x:c r="D30" s="17" t="str">
        <x:v>统一企业采购</x:v>
      </x:c>
      <x:c r="E30" s="17" t="str">
        <x:v>认证企业可跨供应商选择带集采标识的共用商品，提交一个企业主订单并完成付款、统一配送、收货、售后和发票。</x:v>
      </x:c>
      <x:c r="F30" s="17" t="str">
        <x:v>§8企业采购、§9订单福利卡支付</x:v>
      </x:c>
      <x:c r="G30" s="17" t="str">
        <x:v>M3-P029</x:v>
      </x:c>
      <x:c r="H30" s="17" t="str">
        <x:v>CI_PASS</x:v>
      </x:c>
      <x:c r="I30" s="17" t="str">
        <x:v>NOT_EXECUTED</x:v>
      </x:c>
      <x:c r="J30" s="17" t="str">
        <x:v>TO_BE_CREATED</x:v>
      </x:c>
      <x:c r="K30" s="17" t="str">
        <x:v>N/A</x:v>
      </x:c>
      <x:c r="L30" s="17" t="str">
        <x:v>越权；重复请求；非法状态；敏感字段泄露；失败恢复（按适用性执行）</x:v>
      </x:c>
      <x:c r="M30" s="17" t="str"/>
      <x:c r="N30" s="17" t="str"/>
      <x:c r="O30" s="17" t="str"/>
      <x:c r="P30" s="17" t="str"/>
      <x:c r="Q30" s="17" t="str"/>
    </x:row>
    <x:row r="31" ht="23" customHeight="1">
      <x:c r="A31" s="17" t="str">
        <x:v>P0-030</x:v>
      </x:c>
      <x:c r="B31" s="17" t="str">
        <x:v>30</x:v>
      </x:c>
      <x:c r="C31" s="17" t="str">
        <x:v>M3</x:v>
      </x:c>
      <x:c r="D31" s="17" t="str">
        <x:v>社区集采边界</x:v>
      </x:c>
      <x:c r="E31" s="17" t="str">
        <x:v>“社区集采”不依赖指定社区、活动时间、成团门槛或团长；平台不实现企业内部 OA、预算和采购审批。</x:v>
      </x:c>
      <x:c r="F31" s="17" t="str">
        <x:v>§8企业采购、§9订单福利卡支付</x:v>
      </x:c>
      <x:c r="G31" s="17" t="str">
        <x:v>M3-P030</x:v>
      </x:c>
      <x:c r="H31" s="17" t="str">
        <x:v>CI_PASS</x:v>
      </x:c>
      <x:c r="I31" s="17" t="str">
        <x:v>NOT_EXECUTED</x:v>
      </x:c>
      <x:c r="J31" s="17" t="str">
        <x:v>TO_BE_CREATED</x:v>
      </x:c>
      <x:c r="K31" s="17" t="str">
        <x:v>N/A</x:v>
      </x:c>
      <x:c r="L31" s="17" t="str">
        <x:v>越权；重复请求；非法状态；敏感字段泄露；失败恢复（按适用性执行）</x:v>
      </x:c>
      <x:c r="M31" s="17" t="str"/>
      <x:c r="N31" s="17" t="str"/>
      <x:c r="O31" s="17" t="str"/>
      <x:c r="P31" s="17" t="str"/>
      <x:c r="Q31" s="17" t="str"/>
    </x:row>
    <x:row r="32" ht="23" customHeight="1">
      <x:c r="A32" s="17" t="str">
        <x:v>P0-031</x:v>
      </x:c>
      <x:c r="B32" s="17" t="str">
        <x:v>31</x:v>
      </x:c>
      <x:c r="C32" s="17" t="str">
        <x:v>M3</x:v>
      </x:c>
      <x:c r="D32" s="17" t="str">
        <x:v>供应商备货</x:v>
      </x:c>
      <x:c r="E32" s="17" t="str">
        <x:v>个人和企业主订单均按 supplierId 生成 SupplierFulfillmentSubOrder；各供应商只能确认、报缺、备货和移交自己的商品，不得看到其他供应商子单。</x:v>
      </x:c>
      <x:c r="F32" s="17" t="str">
        <x:v>§8企业采购、§9订单福利卡支付</x:v>
      </x:c>
      <x:c r="G32" s="17" t="str">
        <x:v>M3-P031</x:v>
      </x:c>
      <x:c r="H32" s="17" t="str">
        <x:v>CI_PASS</x:v>
      </x:c>
      <x:c r="I32" s="17" t="str">
        <x:v>NOT_EXECUTED</x:v>
      </x:c>
      <x:c r="J32" s="17" t="str">
        <x:v>TO_BE_CREATED</x:v>
      </x:c>
      <x:c r="K32" s="17" t="str">
        <x:v>N/A</x:v>
      </x:c>
      <x:c r="L32" s="17" t="str">
        <x:v>越权；重复请求；非法状态；敏感字段泄露；失败恢复（按适用性执行）</x:v>
      </x:c>
      <x:c r="M32" s="17" t="str"/>
      <x:c r="N32" s="17" t="str"/>
      <x:c r="O32" s="17" t="str"/>
      <x:c r="P32" s="17" t="str"/>
      <x:c r="Q32" s="17" t="str"/>
    </x:row>
    <x:row r="33" ht="23" customHeight="1">
      <x:c r="A33" s="17" t="str">
        <x:v>P0-032</x:v>
      </x:c>
      <x:c r="B33" s="17" t="str">
        <x:v>32</x:v>
      </x:c>
      <x:c r="C33" s="17" t="str">
        <x:v>M4</x:v>
      </x:c>
      <x:c r="D33" s="17" t="str">
        <x:v>个人抢单大厅</x:v>
      </x:c>
      <x:c r="E33" s="17" t="str">
        <x:v>每个个人供应商履约子单幂等生成一个 DeliveryTask，对已启用跑腿员可见并可乐观锁抢单；同一个人主订单可形成多个任务，企业采购子单始终不可见。</x:v>
      </x:c>
      <x:c r="F33" s="17" t="str">
        <x:v>§10个人跑腿与企业统一配送</x:v>
      </x:c>
      <x:c r="G33" s="17" t="str">
        <x:v>M4-P032</x:v>
      </x:c>
      <x:c r="H33" s="17" t="str">
        <x:v>CI_PASS</x:v>
      </x:c>
      <x:c r="I33" s="17" t="str">
        <x:v>NOT_EXECUTED</x:v>
      </x:c>
      <x:c r="J33" s="17" t="str">
        <x:v>TO_BE_CREATED</x:v>
      </x:c>
      <x:c r="K33" s="17" t="str">
        <x:v>N/A</x:v>
      </x:c>
      <x:c r="L33" s="17" t="str">
        <x:v>越权；重复请求；非法状态；敏感字段泄露；失败恢复（按适用性执行）</x:v>
      </x:c>
      <x:c r="M33" s="17" t="str"/>
      <x:c r="N33" s="17" t="str"/>
      <x:c r="O33" s="17" t="str"/>
      <x:c r="P33" s="17" t="str"/>
      <x:c r="Q33" s="17" t="str"/>
    </x:row>
    <x:row r="34" ht="23" customHeight="1">
      <x:c r="A34" s="17" t="str">
        <x:v>P0-033</x:v>
      </x:c>
      <x:c r="B34" s="17" t="str">
        <x:v>33</x:v>
      </x:c>
      <x:c r="C34" s="17" t="str">
        <x:v>M4</x:v>
      </x:c>
      <x:c r="D34" s="17" t="str">
        <x:v>个人物流节点</x:v>
      </x:c>
      <x:c r="E34" s="17" t="str">
        <x:v>跑腿员按顺序点击到店、取货、配送、到达和送达，不能越级。</x:v>
      </x:c>
      <x:c r="F34" s="17" t="str">
        <x:v>§10个人跑腿与企业统一配送</x:v>
      </x:c>
      <x:c r="G34" s="17" t="str">
        <x:v>M4-P033</x:v>
      </x:c>
      <x:c r="H34" s="17" t="str">
        <x:v>CI_PASS</x:v>
      </x:c>
      <x:c r="I34" s="17" t="str">
        <x:v>NOT_EXECUTED</x:v>
      </x:c>
      <x:c r="J34" s="17" t="str">
        <x:v>TO_BE_CREATED</x:v>
      </x:c>
      <x:c r="K34" s="17" t="str">
        <x:v>N/A</x:v>
      </x:c>
      <x:c r="L34" s="17" t="str">
        <x:v>越权；重复请求；非法状态；敏感字段泄露；失败恢复（按适用性执行）</x:v>
      </x:c>
      <x:c r="M34" s="17" t="str"/>
      <x:c r="N34" s="17" t="str"/>
      <x:c r="O34" s="17" t="str"/>
      <x:c r="P34" s="17" t="str"/>
      <x:c r="Q34" s="17" t="str"/>
    </x:row>
    <x:row r="35" ht="23" customHeight="1">
      <x:c r="A35" s="17" t="str">
        <x:v>P0-034</x:v>
      </x:c>
      <x:c r="B35" s="17" t="str">
        <x:v>34</x:v>
      </x:c>
      <x:c r="C35" s="17" t="str">
        <x:v>M4</x:v>
      </x:c>
      <x:c r="D35" s="17" t="str">
        <x:v>个人取送双导航</x:v>
      </x:c>
      <x:c r="E35" s="17" t="str">
        <x:v>个人任务必须同时提供供应商取货点和用户收货目的地；取货完成前拉起本人手机地图导航到取货点，取货完成后导航到目的地。两个地点导航失败均可复制完整地址，地图不回写业务状态。</x:v>
      </x:c>
      <x:c r="F35" s="17" t="str">
        <x:v>§10个人跑腿与企业统一配送</x:v>
      </x:c>
      <x:c r="G35" s="17" t="str">
        <x:v>M4-P034</x:v>
      </x:c>
      <x:c r="H35" s="17" t="str">
        <x:v>CI_PASS</x:v>
      </x:c>
      <x:c r="I35" s="17" t="str">
        <x:v>NOT_EXECUTED</x:v>
      </x:c>
      <x:c r="J35" s="17" t="str">
        <x:v>TO_BE_CREATED</x:v>
      </x:c>
      <x:c r="K35" s="17" t="str">
        <x:v>N/A</x:v>
      </x:c>
      <x:c r="L35" s="17" t="str">
        <x:v>越权；重复请求；非法状态；敏感字段泄露；失败恢复（按适用性执行）</x:v>
      </x:c>
      <x:c r="M35" s="17" t="str"/>
      <x:c r="N35" s="17" t="str"/>
      <x:c r="O35" s="17" t="str"/>
      <x:c r="P35" s="17" t="str"/>
      <x:c r="Q35" s="17" t="str"/>
    </x:row>
    <x:row r="36" ht="23" customHeight="1">
      <x:c r="A36" s="17" t="str">
        <x:v>P0-035</x:v>
      </x:c>
      <x:c r="B36" s="17" t="str">
        <x:v>35</x:v>
      </x:c>
      <x:c r="C36" s="17" t="str">
        <x:v>M4</x:v>
      </x:c>
      <x:c r="D36" s="17" t="str">
        <x:v>个人物流简化</x:v>
      </x:c>
      <x:c r="E36" s="17" t="str">
        <x:v>个人跑腿无智能调度、路线优化和按地图实际距离结算逻辑。</x:v>
      </x:c>
      <x:c r="F36" s="17" t="str">
        <x:v>§10个人跑腿与企业统一配送</x:v>
      </x:c>
      <x:c r="G36" s="17" t="str">
        <x:v>M4-P035</x:v>
      </x:c>
      <x:c r="H36" s="17" t="str">
        <x:v>CI_PASS</x:v>
      </x:c>
      <x:c r="I36" s="17" t="str">
        <x:v>NOT_EXECUTED</x:v>
      </x:c>
      <x:c r="J36" s="17" t="str">
        <x:v>TO_BE_CREATED</x:v>
      </x:c>
      <x:c r="K36" s="17" t="str">
        <x:v>N/A</x:v>
      </x:c>
      <x:c r="L36" s="17" t="str">
        <x:v>越权；重复请求；非法状态；敏感字段泄露；失败恢复（按适用性执行）</x:v>
      </x:c>
      <x:c r="M36" s="17" t="str"/>
      <x:c r="N36" s="17" t="str"/>
      <x:c r="O36" s="17" t="str"/>
      <x:c r="P36" s="17" t="str"/>
      <x:c r="Q36" s="17" t="str"/>
    </x:row>
    <x:row r="37" ht="23" customHeight="1">
      <x:c r="A37" s="17" t="str">
        <x:v>P0-036</x:v>
      </x:c>
      <x:c r="B37" s="17" t="str">
        <x:v>36</x:v>
      </x:c>
      <x:c r="C37" s="17" t="str">
        <x:v>M4</x:v>
      </x:c>
      <x:c r="D37" s="17" t="str">
        <x:v>异常物流</x:v>
      </x:c>
      <x:c r="E37" s="17" t="str">
        <x:v>个人跑腿异常和企业平台汇总/配送异常分别上报，均保留责任、数量、照片和处理结果。</x:v>
      </x:c>
      <x:c r="F37" s="17" t="str">
        <x:v>§10个人跑腿与企业统一配送</x:v>
      </x:c>
      <x:c r="G37" s="17" t="str">
        <x:v>M4-P036</x:v>
      </x:c>
      <x:c r="H37" s="17" t="str">
        <x:v>CI_PASS</x:v>
      </x:c>
      <x:c r="I37" s="17" t="str">
        <x:v>NOT_EXECUTED</x:v>
      </x:c>
      <x:c r="J37" s="17" t="str">
        <x:v>TO_BE_CREATED</x:v>
      </x:c>
      <x:c r="K37" s="17" t="str">
        <x:v>N/A</x:v>
      </x:c>
      <x:c r="L37" s="17" t="str">
        <x:v>越权；重复请求；非法状态；敏感字段泄露；失败恢复（按适用性执行）</x:v>
      </x:c>
      <x:c r="M37" s="17" t="str"/>
      <x:c r="N37" s="17" t="str"/>
      <x:c r="O37" s="17" t="str"/>
      <x:c r="P37" s="17" t="str"/>
      <x:c r="Q37" s="17" t="str"/>
    </x:row>
    <x:row r="38" ht="23" customHeight="1">
      <x:c r="A38" s="17" t="str">
        <x:v>P0-037</x:v>
      </x:c>
      <x:c r="B38" s="17" t="str">
        <x:v>37</x:v>
      </x:c>
      <x:c r="C38" s="17" t="str">
        <x:v>M4</x:v>
      </x:c>
      <x:c r="D38" s="17" t="str">
        <x:v>个人与企业收货</x:v>
      </x:c>
      <x:c r="E38" s="17" t="str">
        <x:v>个人用户或企业指定收货人可确认收货，不强制扫码；异常场景可要求照片或客服复核。</x:v>
      </x:c>
      <x:c r="F38" s="17" t="str">
        <x:v>§10个人跑腿与企业统一配送</x:v>
      </x:c>
      <x:c r="G38" s="17" t="str">
        <x:v>M4-P037</x:v>
      </x:c>
      <x:c r="H38" s="17" t="str">
        <x:v>CI_PASS</x:v>
      </x:c>
      <x:c r="I38" s="17" t="str">
        <x:v>NOT_EXECUTED</x:v>
      </x:c>
      <x:c r="J38" s="17" t="str">
        <x:v>TO_BE_CREATED</x:v>
      </x:c>
      <x:c r="K38" s="17" t="str">
        <x:v>N/A</x:v>
      </x:c>
      <x:c r="L38" s="17" t="str">
        <x:v>越权；重复请求；非法状态；敏感字段泄露；失败恢复（按适用性执行）</x:v>
      </x:c>
      <x:c r="M38" s="17" t="str"/>
      <x:c r="N38" s="17" t="str"/>
      <x:c r="O38" s="17" t="str"/>
      <x:c r="P38" s="17" t="str"/>
      <x:c r="Q38" s="17" t="str"/>
    </x:row>
    <x:row r="39" ht="23" customHeight="1">
      <x:c r="A39" s="17" t="str">
        <x:v>P0-038</x:v>
      </x:c>
      <x:c r="B39" s="17" t="str">
        <x:v>38</x:v>
      </x:c>
      <x:c r="C39" s="17" t="str">
        <x:v>M5</x:v>
      </x:c>
      <x:c r="D39" s="17" t="str">
        <x:v>售后统一受理</x:v>
      </x:c>
      <x:c r="E39" s="17" t="str">
        <x:v>用户向公司申请售后，供应商仅提交意见和凭证。</x:v>
      </x:c>
      <x:c r="F39" s="17" t="str">
        <x:v>§11售后、§12对账结算</x:v>
      </x:c>
      <x:c r="G39" s="17" t="str">
        <x:v>M5-P038</x:v>
      </x:c>
      <x:c r="H39" s="17" t="str">
        <x:v>CI_PASS</x:v>
      </x:c>
      <x:c r="I39" s="17" t="str">
        <x:v>NOT_EXECUTED</x:v>
      </x:c>
      <x:c r="J39" s="17" t="str">
        <x:v>TO_BE_CREATED</x:v>
      </x:c>
      <x:c r="K39" s="17" t="str">
        <x:v>N/A</x:v>
      </x:c>
      <x:c r="L39" s="17" t="str">
        <x:v>越权；重复请求；非法状态；敏感字段泄露；失败恢复（按适用性执行）</x:v>
      </x:c>
      <x:c r="M39" s="17" t="str"/>
      <x:c r="N39" s="17" t="str"/>
      <x:c r="O39" s="17" t="str"/>
      <x:c r="P39" s="17" t="str"/>
      <x:c r="Q39" s="17" t="str"/>
    </x:row>
    <x:row r="40" ht="23" customHeight="1">
      <x:c r="A40" s="17" t="str">
        <x:v>P0-039</x:v>
      </x:c>
      <x:c r="B40" s="17" t="str">
        <x:v>39</x:v>
      </x:c>
      <x:c r="C40" s="17" t="str">
        <x:v>M5</x:v>
      </x:c>
      <x:c r="D40" s="17" t="str">
        <x:v>责任归因</x:v>
      </x:c>
      <x:c r="E40" s="17" t="str">
        <x:v>用户/企业、供应商、个人跑腿、平台企业配送、公司和责任不清均有退款与对账处理规则。</x:v>
      </x:c>
      <x:c r="F40" s="17" t="str">
        <x:v>§11售后、§12对账结算</x:v>
      </x:c>
      <x:c r="G40" s="17" t="str">
        <x:v>M5-P039</x:v>
      </x:c>
      <x:c r="H40" s="17" t="str">
        <x:v>CI_PASS</x:v>
      </x:c>
      <x:c r="I40" s="17" t="str">
        <x:v>NOT_EXECUTED</x:v>
      </x:c>
      <x:c r="J40" s="17" t="str">
        <x:v>TO_BE_CREATED</x:v>
      </x:c>
      <x:c r="K40" s="17" t="str">
        <x:v>N/A</x:v>
      </x:c>
      <x:c r="L40" s="17" t="str">
        <x:v>越权；重复请求；非法状态；敏感字段泄露；失败恢复（按适用性执行）</x:v>
      </x:c>
      <x:c r="M40" s="17" t="str"/>
      <x:c r="N40" s="17" t="str"/>
      <x:c r="O40" s="17" t="str"/>
      <x:c r="P40" s="17" t="str"/>
      <x:c r="Q40" s="17" t="str"/>
    </x:row>
    <x:row r="41" ht="23" customHeight="1">
      <x:c r="A41" s="17" t="str">
        <x:v>P0-040</x:v>
      </x:c>
      <x:c r="B41" s="17" t="str">
        <x:v>40</x:v>
      </x:c>
      <x:c r="C41" s="17" t="str">
        <x:v>M5</x:v>
      </x:c>
      <x:c r="D41" s="17" t="str">
        <x:v>线上对账单</x:v>
      </x:c>
      <x:c r="E41" s="17" t="str">
        <x:v>供应商逐项查看订单、经审核生效的供应价快照、数量、退款、调整和本期应付。</x:v>
      </x:c>
      <x:c r="F41" s="17" t="str">
        <x:v>§11售后、§12对账结算</x:v>
      </x:c>
      <x:c r="G41" s="17" t="str">
        <x:v>M5-P040</x:v>
      </x:c>
      <x:c r="H41" s="17" t="str">
        <x:v>CI_PASS</x:v>
      </x:c>
      <x:c r="I41" s="17" t="str">
        <x:v>NOT_EXECUTED</x:v>
      </x:c>
      <x:c r="J41" s="17" t="str">
        <x:v>TO_BE_CREATED</x:v>
      </x:c>
      <x:c r="K41" s="17" t="str">
        <x:v>N/A</x:v>
      </x:c>
      <x:c r="L41" s="17" t="str">
        <x:v>越权；重复请求；非法状态；敏感字段泄露；失败恢复（按适用性执行）</x:v>
      </x:c>
      <x:c r="M41" s="17" t="str"/>
      <x:c r="N41" s="17" t="str"/>
      <x:c r="O41" s="17" t="str"/>
      <x:c r="P41" s="17" t="str"/>
      <x:c r="Q41" s="17" t="str"/>
    </x:row>
    <x:row r="42" ht="23" customHeight="1">
      <x:c r="A42" s="17" t="str">
        <x:v>P0-041</x:v>
      </x:c>
      <x:c r="B42" s="17" t="str">
        <x:v>41</x:v>
      </x:c>
      <x:c r="C42" s="17" t="str">
        <x:v>M5</x:v>
      </x:c>
      <x:c r="D42" s="17" t="str">
        <x:v>差异申诉</x:v>
      </x:c>
      <x:c r="E42" s="17" t="str">
        <x:v>供应商可对账单提出差异、上传凭证，公司复核过程可追溯。</x:v>
      </x:c>
      <x:c r="F42" s="17" t="str">
        <x:v>§11售后、§12对账结算</x:v>
      </x:c>
      <x:c r="G42" s="17" t="str">
        <x:v>M5-P041</x:v>
      </x:c>
      <x:c r="H42" s="17" t="str">
        <x:v>CI_PASS</x:v>
      </x:c>
      <x:c r="I42" s="17" t="str">
        <x:v>NOT_EXECUTED</x:v>
      </x:c>
      <x:c r="J42" s="17" t="str">
        <x:v>TO_BE_CREATED</x:v>
      </x:c>
      <x:c r="K42" s="17" t="str">
        <x:v>N/A</x:v>
      </x:c>
      <x:c r="L42" s="17" t="str">
        <x:v>越权；重复请求；非法状态；敏感字段泄露；失败恢复（按适用性执行）</x:v>
      </x:c>
      <x:c r="M42" s="17" t="str"/>
      <x:c r="N42" s="17" t="str"/>
      <x:c r="O42" s="17" t="str"/>
      <x:c r="P42" s="17" t="str"/>
      <x:c r="Q42" s="17" t="str"/>
    </x:row>
    <x:row r="43" ht="23" customHeight="1">
      <x:c r="A43" s="17" t="str">
        <x:v>P0-042</x:v>
      </x:c>
      <x:c r="B43" s="17" t="str">
        <x:v>42</x:v>
      </x:c>
      <x:c r="C43" s="17" t="str">
        <x:v>M5</x:v>
      </x:c>
      <x:c r="D43" s="17" t="str">
        <x:v>线下结算</x:v>
      </x:c>
      <x:c r="E43" s="17" t="str">
        <x:v>系统不自动出款；公司登记线下付款金额、时间、银行流水和凭证。</x:v>
      </x:c>
      <x:c r="F43" s="17" t="str">
        <x:v>§11售后、§12对账结算</x:v>
      </x:c>
      <x:c r="G43" s="17" t="str">
        <x:v>M5-P042</x:v>
      </x:c>
      <x:c r="H43" s="17" t="str">
        <x:v>STAGING_PASS</x:v>
      </x:c>
      <x:c r="I43" s="17" t="str">
        <x:v>NOT_EXECUTED</x:v>
      </x:c>
      <x:c r="J43" s="17" t="str">
        <x:v>TO_BE_CREATED</x:v>
      </x:c>
      <x:c r="K43" s="17" t="str">
        <x:v>MANUAL-042</x:v>
      </x:c>
      <x:c r="L43" s="17" t="str">
        <x:v>越权；重复请求；非法状态；敏感字段泄露；失败恢复（按适用性执行）</x:v>
      </x:c>
      <x:c r="M43" s="17" t="str"/>
      <x:c r="N43" s="17" t="str"/>
      <x:c r="O43" s="17" t="str"/>
      <x:c r="P43" s="17" t="str"/>
      <x:c r="Q43" s="17" t="str"/>
    </x:row>
    <x:row r="44" ht="23" customHeight="1">
      <x:c r="A44" s="17" t="str">
        <x:v>P0-043</x:v>
      </x:c>
      <x:c r="B44" s="17" t="str">
        <x:v>43</x:v>
      </x:c>
      <x:c r="C44" s="17" t="str">
        <x:v>M5</x:v>
      </x:c>
      <x:c r="D44" s="17" t="str">
        <x:v>账单不可覆盖</x:v>
      </x:c>
      <x:c r="E44" s="17" t="str">
        <x:v>已确认账单不允许直接修改，错误通过补充或冲正调整处理。</x:v>
      </x:c>
      <x:c r="F44" s="17" t="str">
        <x:v>§11售后、§12对账结算</x:v>
      </x:c>
      <x:c r="G44" s="17" t="str">
        <x:v>M5-P043</x:v>
      </x:c>
      <x:c r="H44" s="17" t="str">
        <x:v>CI_PASS</x:v>
      </x:c>
      <x:c r="I44" s="17" t="str">
        <x:v>NOT_EXECUTED</x:v>
      </x:c>
      <x:c r="J44" s="17" t="str">
        <x:v>TO_BE_CREATED</x:v>
      </x:c>
      <x:c r="K44" s="17" t="str">
        <x:v>N/A</x:v>
      </x:c>
      <x:c r="L44" s="17" t="str">
        <x:v>越权；重复请求；非法状态；敏感字段泄露；失败恢复（按适用性执行）</x:v>
      </x:c>
      <x:c r="M44" s="17" t="str"/>
      <x:c r="N44" s="17" t="str"/>
      <x:c r="O44" s="17" t="str"/>
      <x:c r="P44" s="17" t="str"/>
      <x:c r="Q44" s="17" t="str"/>
    </x:row>
    <x:row r="45" ht="23" customHeight="1">
      <x:c r="A45" s="17" t="str">
        <x:v>P0-044</x:v>
      </x:c>
      <x:c r="B45" s="17" t="str">
        <x:v>44</x:v>
      </x:c>
      <x:c r="C45" s="17" t="str">
        <x:v>M5</x:v>
      </x:c>
      <x:c r="D45" s="17" t="str">
        <x:v>供应商退出</x:v>
      </x:c>
      <x:c r="E45" s="17" t="str">
        <x:v>终止前完成订单、售后、对账和发票；历史记录保留。</x:v>
      </x:c>
      <x:c r="F45" s="17" t="str">
        <x:v>§11售后、§12对账结算</x:v>
      </x:c>
      <x:c r="G45" s="17" t="str">
        <x:v>M5-P044</x:v>
      </x:c>
      <x:c r="H45" s="17" t="str">
        <x:v>CI_PASS</x:v>
      </x:c>
      <x:c r="I45" s="17" t="str">
        <x:v>NOT_EXECUTED</x:v>
      </x:c>
      <x:c r="J45" s="17" t="str">
        <x:v>TO_BE_CREATED</x:v>
      </x:c>
      <x:c r="K45" s="17" t="str">
        <x:v>N/A</x:v>
      </x:c>
      <x:c r="L45" s="17" t="str">
        <x:v>越权；重复请求；非法状态；敏感字段泄露；失败恢复（按适用性执行）</x:v>
      </x:c>
      <x:c r="M45" s="17" t="str"/>
      <x:c r="N45" s="17" t="str"/>
      <x:c r="O45" s="17" t="str"/>
      <x:c r="P45" s="17" t="str"/>
      <x:c r="Q45" s="17" t="str"/>
    </x:row>
    <x:row r="46" ht="23" customHeight="1">
      <x:c r="A46" s="17" t="str">
        <x:v>P0-045</x:v>
      </x:c>
      <x:c r="B46" s="17" t="str">
        <x:v>45</x:v>
      </x:c>
      <x:c r="C46" s="17" t="str">
        <x:v>M1</x:v>
      </x:c>
      <x:c r="D46" s="17" t="str">
        <x:v>敏感操作审计</x:v>
      </x:c>
      <x:c r="E46" s="17" t="str">
        <x:v>退款、强制下架、银行账户变更和付款标记均记录操作人及前后值。</x:v>
      </x:c>
      <x:c r="F46" s="17" t="str">
        <x:v>§3角色权限、§4供应商后台、§14安全审计</x:v>
      </x:c>
      <x:c r="G46" s="17" t="str">
        <x:v>M1-P045</x:v>
      </x:c>
      <x:c r="H46" s="17" t="str">
        <x:v>CI_PASS</x:v>
      </x:c>
      <x:c r="I46" s="17" t="str">
        <x:v>CI_PASS</x:v>
      </x:c>
      <x:c r="J46" s="17" t="str">
        <x:v>NEG-M1-045-01|NEG-M1-045-02|NEG-M1-045-03|NEG-M1-045-04</x:v>
      </x:c>
      <x:c r="K46" s="17" t="str">
        <x:v>N/A</x:v>
      </x:c>
      <x:c r="L46" s="17" t="str">
        <x:v>AUDIT_OMISSION；SNAPSHOT_OVERWRITE；ACTOR_SPOOF；REQUEST_CORRELATION</x:v>
      </x:c>
      <x:c r="M46" s="17" t="str">
        <x:v>artifacts/verification/M1-P045/sensitive-audit.json</x:v>
      </x:c>
      <x:c r="N46" s="17" t="str">
        <x:v>91c9a73f17db46d88aaad6590a7a3d39d63c786e</x:v>
      </x:c>
      <x:c r="O46" s="17" t="str">
        <x:v>GITHUB_ACTIONS+CODEX</x:v>
      </x:c>
      <x:c r="P46" s="17" t="n">
        <x:v>46242.269328703704</x:v>
      </x:c>
      <x:c r="Q46" s="17" t="str">
        <x:v>PR #16精确head 91c9a73的CI run 31066656197及合并后main run 31067369336成功；AuditLog追加、白名单与负例在M1-GATE回归中通过；后续业务动作仍须各自切片接入复验。</x:v>
      </x:c>
    </x:row>
    <x:row r="47" ht="23" customHeight="1">
      <x:c r="A47" s="17" t="str">
        <x:v>P0-046</x:v>
      </x:c>
      <x:c r="B47" s="17" t="str">
        <x:v>46</x:v>
      </x:c>
      <x:c r="C47" s="17" t="str">
        <x:v>M1</x:v>
      </x:c>
      <x:c r="D47" s="17" t="str">
        <x:v>敏感数据隔离</x:v>
      </x:c>
      <x:c r="E47" s="17" t="str">
        <x:v>跑腿员只在个人订单履约阶段看到必要地址；供应价和供应商结算数据仅公司价格审核/财务页面及对应供应商价格/财务页面可见，其他职能页面、个人端、企业端、跑腿端和其他供应商越权请求均不返回敏感字段。</x:v>
      </x:c>
      <x:c r="F47" s="17" t="str">
        <x:v>§3角色权限、§4供应商后台、§14安全审计</x:v>
      </x:c>
      <x:c r="G47" s="17" t="str">
        <x:v>M1-P046</x:v>
      </x:c>
      <x:c r="H47" s="17" t="str">
        <x:v>CI_PASS</x:v>
      </x:c>
      <x:c r="I47" s="17" t="str">
        <x:v>CI_PASS</x:v>
      </x:c>
      <x:c r="J47" s="17" t="str">
        <x:v>NEG-M1-046-01|NEG-M1-046-02|NEG-M1-046-03|NEG-M1-046-04</x:v>
      </x:c>
      <x:c r="K47" s="17" t="str">
        <x:v>N/A</x:v>
      </x:c>
      <x:c r="L47" s="17" t="str">
        <x:v>FIELD_SCOPE；CROSS_ROLE；PUBLIC_DTO；EXPORT_APPROVAL</x:v>
      </x:c>
      <x:c r="M47" s="17" t="str">
        <x:v>artifacts/verification/M1-P046/sensitive-data-isolation.json</x:v>
      </x:c>
      <x:c r="N47" s="17" t="str">
        <x:v>1dd9074e88e8b1eb16699556648edd6b16ad9a11</x:v>
      </x:c>
      <x:c r="O47" s="17" t="str">
        <x:v>GITHUB_ACTIONS+CODEX</x:v>
      </x:c>
      <x:c r="P47" s="17" t="n">
        <x:v>46242.269328703704</x:v>
      </x:c>
      <x:c r="Q47" s="17" t="str">
        <x:v>PR #18精确head 1dd9074的CI run 31069644893及合并后main run 31070163062成功；默认拒绝、职能/供应商隔离与响应白名单在M1-GATE回归中通过；M4真实地址DTO尚待后续复验。</x:v>
      </x:c>
    </x:row>
    <x:row r="48" ht="23" customHeight="1">
      <x:c r="A48" s="17" t="str">
        <x:v>P0-047</x:v>
      </x:c>
      <x:c r="B48" s="17" t="str">
        <x:v>47</x:v>
      </x:c>
      <x:c r="C48" s="17" t="str">
        <x:v>M1</x:v>
      </x:c>
      <x:c r="D48" s="17" t="str">
        <x:v>OpenAPI 与响应白名单</x:v>
      </x:c>
      <x:c r="E48" s="17" t="str">
        <x:v>各端接口有权限、请求、响应、幂等和用户可读错误码；spec 由后端 @nestjs/swagger 经确定性脚本生成，openapi-typescript 生成统一类型；Web 使用 openapi-fetch，原生小程序使用同类型的 wx.request 适配器。CI 校验 spec/类型无未提交差异、全端类型检查通过，并以锁定版本的 oasdiff 阻断破坏性变更；对客 DTO 和响应契约测试禁止 supplyPrice、approvedSupplyPrice、supplyPriceSnapshot、供应商应付及毛利字段。</x:v>
      </x:c>
      <x:c r="F48" s="17" t="str">
        <x:v>§3角色权限、§4供应商后台、§14安全审计</x:v>
      </x:c>
      <x:c r="G48" s="17" t="str">
        <x:v>M1-P047</x:v>
      </x:c>
      <x:c r="H48" s="17" t="str">
        <x:v>CI_PASS</x:v>
      </x:c>
      <x:c r="I48" s="17" t="str">
        <x:v>CI_PASS</x:v>
      </x:c>
      <x:c r="J48" s="17" t="str">
        <x:v>NEG-M1-047-01|NEG-M1-047-02|NEG-M1-047-03|NEG-M1-047-04</x:v>
      </x:c>
      <x:c r="K48" s="17" t="str">
        <x:v>N/A</x:v>
      </x:c>
      <x:c r="L48" s="17" t="str">
        <x:v>RESPONSE_WHITELIST；DETERMINISTIC_OPENAPI；OASDIFF_BREAKING；MINIAPP_TRANSPORT</x:v>
      </x:c>
      <x:c r="M48" s="17" t="str">
        <x:v>artifacts/verification/M1-P047/openapi-response-whitelist.json</x:v>
      </x:c>
      <x:c r="N48" s="17" t="str">
        <x:v>2a0791976a8190d7668d98f2bd808e78073582cc</x:v>
      </x:c>
      <x:c r="O48" s="17" t="str">
        <x:v>GITHUB_ACTIONS+CODEX</x:v>
      </x:c>
      <x:c r="P48" s="17" t="n">
        <x:v>46242.269328703704</x:v>
      </x:c>
      <x:c r="Q48" s="17" t="str">
        <x:v>PR #20精确head 2a07919的CI run 31076242739及合并后main run 31076692902成功；确定性OpenAPI、统一类型、oasdiff、小程序适配与响应白名单在M1-GATE回归中通过。</x:v>
      </x:c>
    </x:row>
    <x:row r="49" ht="23" customHeight="1">
      <x:c r="A49" s="17" t="str">
        <x:v>P0-048</x:v>
      </x:c>
      <x:c r="B49" s="17" t="str">
        <x:v>48</x:v>
      </x:c>
      <x:c r="C49" s="17" t="str">
        <x:v>M6</x:v>
      </x:c>
      <x:c r="D49" s="17" t="str">
        <x:v>迁移与构建</x:v>
      </x:c>
      <x:c r="E49" s="17" t="str">
        <x:v>Prisma validate、migration dry-run、lint、typecheck、test 和 build 全部通过。</x:v>
      </x:c>
      <x:c r="F49" s="17" t="str">
        <x:v>§15工程与§16-P0验收矩阵</x:v>
      </x:c>
      <x:c r="G49" s="17" t="str">
        <x:v>M6-P048</x:v>
      </x:c>
      <x:c r="H49" s="17" t="str">
        <x:v>CI_PASS</x:v>
      </x:c>
      <x:c r="I49" s="17" t="str">
        <x:v>NOT_EXECUTED</x:v>
      </x:c>
      <x:c r="J49" s="17" t="str">
        <x:v>TO_BE_CREATED</x:v>
      </x:c>
      <x:c r="K49" s="17" t="str">
        <x:v>N/A</x:v>
      </x:c>
      <x:c r="L49" s="17" t="str">
        <x:v>越权；重复请求；非法状态；敏感字段泄露；失败恢复（按适用性执行）</x:v>
      </x:c>
      <x:c r="M49" s="17" t="str"/>
      <x:c r="N49" s="17" t="str"/>
      <x:c r="O49" s="17" t="str"/>
      <x:c r="P49" s="17" t="str"/>
      <x:c r="Q49" s="17" t="str"/>
    </x:row>
    <x:row r="50" ht="23" customHeight="1">
      <x:c r="A50" s="17" t="str">
        <x:v>P0-049</x:v>
      </x:c>
      <x:c r="B50" s="17" t="str">
        <x:v>49</x:v>
      </x:c>
      <x:c r="C50" s="17" t="str">
        <x:v>M6</x:v>
      </x:c>
      <x:c r="D50" s="17" t="str">
        <x:v>异常页面状态</x:v>
      </x:c>
      <x:c r="E50" s="17" t="str">
        <x:v>用户、企业门户、供应商、公司物流工作台和跑腿端覆盖加载、空态、失败、禁用和无权限。</x:v>
      </x:c>
      <x:c r="F50" s="17" t="str">
        <x:v>§15工程与§16-P0验收矩阵</x:v>
      </x:c>
      <x:c r="G50" s="17" t="str">
        <x:v>M6-P049</x:v>
      </x:c>
      <x:c r="H50" s="17" t="str">
        <x:v>CI_PASS</x:v>
      </x:c>
      <x:c r="I50" s="17" t="str">
        <x:v>NOT_EXECUTED</x:v>
      </x:c>
      <x:c r="J50" s="17" t="str">
        <x:v>TO_BE_CREATED</x:v>
      </x:c>
      <x:c r="K50" s="17" t="str">
        <x:v>N/A</x:v>
      </x:c>
      <x:c r="L50" s="17" t="str">
        <x:v>越权；重复请求；非法状态；敏感字段泄露；失败恢复（按适用性执行）</x:v>
      </x:c>
      <x:c r="M50" s="17" t="str"/>
      <x:c r="N50" s="17" t="str"/>
      <x:c r="O50" s="17" t="str"/>
      <x:c r="P50" s="17" t="str"/>
      <x:c r="Q50" s="17" t="str"/>
    </x:row>
    <x:row r="51" ht="23" customHeight="1">
      <x:c r="A51" s="17" t="str">
        <x:v>P0-050</x:v>
      </x:c>
      <x:c r="B51" s="17" t="str">
        <x:v>50</x:v>
      </x:c>
      <x:c r="C51" s="17" t="str">
        <x:v>M6</x:v>
      </x:c>
      <x:c r="D51" s="17" t="str">
        <x:v>综合闭环</x:v>
      </x:c>
      <x:c r="E51" s="17" t="str">
        <x:v>可演示个人用户跨供应商一次结账、拆分多个供应商履约子单并分别进入跑腿大厅；同时演示企业多供应商订单拆子单、平台统一配送、统一售后以及公司分别与供应商对账。</x:v>
      </x:c>
      <x:c r="F51" s="17" t="str">
        <x:v>§15工程与§16-P0验收矩阵</x:v>
      </x:c>
      <x:c r="G51" s="17" t="str">
        <x:v>M6-P050</x:v>
      </x:c>
      <x:c r="H51" s="17" t="str">
        <x:v>CI_PASS</x:v>
      </x:c>
      <x:c r="I51" s="17" t="str">
        <x:v>NOT_EXECUTED</x:v>
      </x:c>
      <x:c r="J51" s="17" t="str">
        <x:v>TO_BE_CREATED</x:v>
      </x:c>
      <x:c r="K51" s="17" t="str">
        <x:v>N/A</x:v>
      </x:c>
      <x:c r="L51" s="17" t="str">
        <x:v>越权；重复请求；非法状态；敏感字段泄露；失败恢复（按适用性执行）</x:v>
      </x:c>
      <x:c r="M51" s="17" t="str"/>
      <x:c r="N51" s="17" t="str"/>
      <x:c r="O51" s="17" t="str"/>
      <x:c r="P51" s="17" t="str"/>
      <x:c r="Q51" s="17" t="str"/>
    </x:row>
    <x:row r="52" ht="23" customHeight="1">
      <x:c r="A52" s="17" t="str">
        <x:v>P0-051</x:v>
      </x:c>
      <x:c r="B52" s="17" t="str">
        <x:v>51</x:v>
      </x:c>
      <x:c r="C52" s="17" t="str">
        <x:v>M3</x:v>
      </x:c>
      <x:c r="D52" s="17" t="str">
        <x:v>福利卡计划与批次</x:v>
      </x:c>
      <x:c r="E52" s="17" t="str">
        <x:v>公司可创建企业福利计划和发行批次，配置资金来源、额度、适用范围、领取方式、协议版本和状态。</x:v>
      </x:c>
      <x:c r="F52" s="17" t="str">
        <x:v>§8企业采购、§9订单福利卡支付</x:v>
      </x:c>
      <x:c r="G52" s="17" t="str">
        <x:v>M3-P051</x:v>
      </x:c>
      <x:c r="H52" s="17" t="str">
        <x:v>CI_PASS</x:v>
      </x:c>
      <x:c r="I52" s="17" t="str">
        <x:v>NOT_EXECUTED</x:v>
      </x:c>
      <x:c r="J52" s="17" t="str">
        <x:v>TO_BE_CREATED</x:v>
      </x:c>
      <x:c r="K52" s="17" t="str">
        <x:v>MANUAL-051</x:v>
      </x:c>
      <x:c r="L52" s="17" t="str">
        <x:v>越权；重复请求；非法状态；敏感字段泄露；失败恢复（按适用性执行）</x:v>
      </x:c>
      <x:c r="M52" s="17" t="str"/>
      <x:c r="N52" s="17" t="str"/>
      <x:c r="O52" s="17" t="str"/>
      <x:c r="P52" s="17" t="str"/>
      <x:c r="Q52" s="17" t="str"/>
    </x:row>
    <x:row r="53" ht="23" customHeight="1">
      <x:c r="A53" s="17" t="str">
        <x:v>P0-052</x:v>
      </x:c>
      <x:c r="B53" s="17" t="str">
        <x:v>52</x:v>
      </x:c>
      <x:c r="C53" s="17" t="str">
        <x:v>M3</x:v>
      </x:c>
      <x:c r="D53" s="17" t="str">
        <x:v>福利卡绑定</x:v>
      </x:c>
      <x:c r="E53" s="17" t="str">
        <x:v>用户可通过卡号密码、兑换码或扫码绑定；重复兑换、作废卡、冻结卡和非本人领取均被拦截且结果幂等。</x:v>
      </x:c>
      <x:c r="F53" s="17" t="str">
        <x:v>§8企业采购、§9订单福利卡支付</x:v>
      </x:c>
      <x:c r="G53" s="17" t="str">
        <x:v>M3-P052</x:v>
      </x:c>
      <x:c r="H53" s="17" t="str">
        <x:v>CI_PASS</x:v>
      </x:c>
      <x:c r="I53" s="17" t="str">
        <x:v>NOT_EXECUTED</x:v>
      </x:c>
      <x:c r="J53" s="17" t="str">
        <x:v>TO_BE_CREATED</x:v>
      </x:c>
      <x:c r="K53" s="17" t="str">
        <x:v>MANUAL-052</x:v>
      </x:c>
      <x:c r="L53" s="17" t="str">
        <x:v>越权；重复请求；非法状态；敏感字段泄露；失败恢复（按适用性执行）</x:v>
      </x:c>
      <x:c r="M53" s="17" t="str"/>
      <x:c r="N53" s="17" t="str"/>
      <x:c r="O53" s="17" t="str"/>
      <x:c r="P53" s="17" t="str"/>
      <x:c r="Q53" s="17" t="str"/>
    </x:row>
    <x:row r="54" ht="23" customHeight="1">
      <x:c r="A54" s="17" t="str">
        <x:v>P0-053</x:v>
      </x:c>
      <x:c r="B54" s="17" t="str">
        <x:v>53</x:v>
      </x:c>
      <x:c r="C54" s="17" t="str">
        <x:v>M3</x:v>
      </x:c>
      <x:c r="D54" s="17" t="str">
        <x:v>福利卡账户选择</x:v>
      </x:c>
      <x:c r="E54" s="17" t="str">
        <x:v>结算页只展示当前订单可用账户，显示余额与适用范围，并自动计算最大可抵扣金额。</x:v>
      </x:c>
      <x:c r="F54" s="17" t="str">
        <x:v>§8企业采购、§9订单福利卡支付</x:v>
      </x:c>
      <x:c r="G54" s="17" t="str">
        <x:v>M3-P053</x:v>
      </x:c>
      <x:c r="H54" s="17" t="str">
        <x:v>CI_PASS</x:v>
      </x:c>
      <x:c r="I54" s="17" t="str">
        <x:v>NOT_EXECUTED</x:v>
      </x:c>
      <x:c r="J54" s="17" t="str">
        <x:v>TO_BE_CREATED</x:v>
      </x:c>
      <x:c r="K54" s="17" t="str">
        <x:v>MANUAL-053</x:v>
      </x:c>
      <x:c r="L54" s="17" t="str">
        <x:v>越权；重复请求；非法状态；敏感字段泄露；失败恢复（按适用性执行）</x:v>
      </x:c>
      <x:c r="M54" s="17" t="str"/>
      <x:c r="N54" s="17" t="str"/>
      <x:c r="O54" s="17" t="str"/>
      <x:c r="P54" s="17" t="str"/>
      <x:c r="Q54" s="17" t="str"/>
    </x:row>
    <x:row r="55" ht="23" customHeight="1">
      <x:c r="A55" s="17" t="str">
        <x:v>P0-054</x:v>
      </x:c>
      <x:c r="B55" s="17" t="str">
        <x:v>54</x:v>
      </x:c>
      <x:c r="C55" s="17" t="str">
        <x:v>M3</x:v>
      </x:c>
      <x:c r="D55" s="17" t="str">
        <x:v>福利卡适用范围</x:v>
      </x:c>
      <x:c r="E55" s="17" t="str">
        <x:v>分类/商品白名单、黑名单和配送费规则由后端统一校验，商品详情、购物车和结算页口径一致。</x:v>
      </x:c>
      <x:c r="F55" s="17" t="str">
        <x:v>§8企业采购、§9订单福利卡支付</x:v>
      </x:c>
      <x:c r="G55" s="17" t="str">
        <x:v>M3-P054</x:v>
      </x:c>
      <x:c r="H55" s="17" t="str">
        <x:v>CI_PASS</x:v>
      </x:c>
      <x:c r="I55" s="17" t="str">
        <x:v>NOT_EXECUTED</x:v>
      </x:c>
      <x:c r="J55" s="17" t="str">
        <x:v>TO_BE_CREATED</x:v>
      </x:c>
      <x:c r="K55" s="17" t="str">
        <x:v>MANUAL-054</x:v>
      </x:c>
      <x:c r="L55" s="17" t="str">
        <x:v>越权；重复请求；非法状态；敏感字段泄露；失败恢复（按适用性执行）</x:v>
      </x:c>
      <x:c r="M55" s="17" t="str"/>
      <x:c r="N55" s="17" t="str"/>
      <x:c r="O55" s="17" t="str"/>
      <x:c r="P55" s="17" t="str"/>
      <x:c r="Q55" s="17" t="str"/>
    </x:row>
    <x:row r="56" ht="23" customHeight="1">
      <x:c r="A56" s="17" t="str">
        <x:v>P0-055</x:v>
      </x:c>
      <x:c r="B56" s="17" t="str">
        <x:v>55</x:v>
      </x:c>
      <x:c r="C56" s="17" t="str">
        <x:v>M3</x:v>
      </x:c>
      <x:c r="D56" s="17" t="str">
        <x:v>福利卡全额支付</x:v>
      </x:c>
      <x:c r="E56" s="17" t="str">
        <x:v>现金应付为零时不调用外部支付，福利卡冻结转实扣、订单置为已支付和流水写入在同一幂等事务完成。</x:v>
      </x:c>
      <x:c r="F56" s="17" t="str">
        <x:v>§8企业采购、§9订单福利卡支付</x:v>
      </x:c>
      <x:c r="G56" s="17" t="str">
        <x:v>M3-P055</x:v>
      </x:c>
      <x:c r="H56" s="17" t="str">
        <x:v>CI_PASS</x:v>
      </x:c>
      <x:c r="I56" s="17" t="str">
        <x:v>NOT_EXECUTED</x:v>
      </x:c>
      <x:c r="J56" s="17" t="str">
        <x:v>TO_BE_CREATED</x:v>
      </x:c>
      <x:c r="K56" s="17" t="str">
        <x:v>MANUAL-055</x:v>
      </x:c>
      <x:c r="L56" s="17" t="str">
        <x:v>越权；重复请求；非法状态；敏感字段泄露；失败恢复（按适用性执行）</x:v>
      </x:c>
      <x:c r="M56" s="17" t="str"/>
      <x:c r="N56" s="17" t="str"/>
      <x:c r="O56" s="17" t="str"/>
      <x:c r="P56" s="17" t="str"/>
      <x:c r="Q56" s="17" t="str"/>
    </x:row>
    <x:row r="57" ht="23" customHeight="1">
      <x:c r="A57" s="17" t="str">
        <x:v>P0-056</x:v>
      </x:c>
      <x:c r="B57" s="17" t="str">
        <x:v>56</x:v>
      </x:c>
      <x:c r="C57" s="17" t="str">
        <x:v>M3</x:v>
      </x:c>
      <x:c r="D57" s="17" t="str">
        <x:v>福利卡＋微信支付成功</x:v>
      </x:c>
      <x:c r="E57" s="17" t="str">
        <x:v>福利卡先冻结，微信支付差额成功后福利卡转实扣；订单总额始终等于福利卡抵扣加微信支付实付，且只生成一笔公司微信支付交易。</x:v>
      </x:c>
      <x:c r="F57" s="17" t="str">
        <x:v>§8企业采购、§9订单福利卡支付</x:v>
      </x:c>
      <x:c r="G57" s="17" t="str">
        <x:v>M3-P056</x:v>
      </x:c>
      <x:c r="H57" s="17" t="str">
        <x:v>STAGING_PASS</x:v>
      </x:c>
      <x:c r="I57" s="17" t="str">
        <x:v>NOT_EXECUTED</x:v>
      </x:c>
      <x:c r="J57" s="17" t="str">
        <x:v>TO_BE_CREATED</x:v>
      </x:c>
      <x:c r="K57" s="17" t="str">
        <x:v>MANUAL-056</x:v>
      </x:c>
      <x:c r="L57" s="17" t="str">
        <x:v>越权；重复请求；非法状态；敏感字段泄露；失败恢复（按适用性执行）</x:v>
      </x:c>
      <x:c r="M57" s="17" t="str"/>
      <x:c r="N57" s="17" t="str"/>
      <x:c r="O57" s="17" t="str"/>
      <x:c r="P57" s="17" t="str"/>
      <x:c r="Q57" s="17" t="str"/>
    </x:row>
    <x:row r="58" ht="23" customHeight="1">
      <x:c r="A58" s="17" t="str">
        <x:v>P0-057</x:v>
      </x:c>
      <x:c r="B58" s="17" t="str">
        <x:v>57</x:v>
      </x:c>
      <x:c r="C58" s="17" t="str">
        <x:v>M3</x:v>
      </x:c>
      <x:c r="D58" s="17" t="str">
        <x:v>混合支付取消</x:v>
      </x:c>
      <x:c r="E58" s="17" t="str">
        <x:v>用户取消后服务端先查微信支付交易，确认未支付才释放福利卡、优惠券和库存；状态未知时不误释放。</x:v>
      </x:c>
      <x:c r="F58" s="17" t="str">
        <x:v>§8企业采购、§9订单福利卡支付</x:v>
      </x:c>
      <x:c r="G58" s="17" t="str">
        <x:v>M3-P057</x:v>
      </x:c>
      <x:c r="H58" s="17" t="str">
        <x:v>STAGING_PASS</x:v>
      </x:c>
      <x:c r="I58" s="17" t="str">
        <x:v>NOT_EXECUTED</x:v>
      </x:c>
      <x:c r="J58" s="17" t="str">
        <x:v>TO_BE_CREATED</x:v>
      </x:c>
      <x:c r="K58" s="17" t="str">
        <x:v>MANUAL-057</x:v>
      </x:c>
      <x:c r="L58" s="17" t="str">
        <x:v>越权；重复请求；非法状态；敏感字段泄露；失败恢复（按适用性执行）</x:v>
      </x:c>
      <x:c r="M58" s="17" t="str"/>
      <x:c r="N58" s="17" t="str"/>
      <x:c r="O58" s="17" t="str"/>
      <x:c r="P58" s="17" t="str"/>
      <x:c r="Q58" s="17" t="str"/>
    </x:row>
    <x:row r="59" ht="23" customHeight="1">
      <x:c r="A59" s="17" t="str">
        <x:v>P0-058</x:v>
      </x:c>
      <x:c r="B59" s="17" t="str">
        <x:v>58</x:v>
      </x:c>
      <x:c r="C59" s="17" t="str">
        <x:v>M3</x:v>
      </x:c>
      <x:c r="D59" s="17" t="str">
        <x:v>混合支付拆分退款</x:v>
      </x:c>
      <x:c r="E59" s="17" t="str">
        <x:v>全额和部分退款均按 OrderPaymentAllocation 返回原福利卡账户和原微信支付交易，尾差规则确定且可复现。</x:v>
      </x:c>
      <x:c r="F59" s="17" t="str">
        <x:v>§8企业采购、§9订单福利卡支付</x:v>
      </x:c>
      <x:c r="G59" s="17" t="str">
        <x:v>M3-P058</x:v>
      </x:c>
      <x:c r="H59" s="17" t="str">
        <x:v>STAGING_PASS</x:v>
      </x:c>
      <x:c r="I59" s="17" t="str">
        <x:v>NOT_EXECUTED</x:v>
      </x:c>
      <x:c r="J59" s="17" t="str">
        <x:v>TO_BE_CREATED</x:v>
      </x:c>
      <x:c r="K59" s="17" t="str">
        <x:v>MANUAL-058</x:v>
      </x:c>
      <x:c r="L59" s="17" t="str">
        <x:v>越权；重复请求；非法状态；敏感字段泄露；失败恢复（按适用性执行）</x:v>
      </x:c>
      <x:c r="M59" s="17" t="str"/>
      <x:c r="N59" s="17" t="str"/>
      <x:c r="O59" s="17" t="str"/>
      <x:c r="P59" s="17" t="str"/>
      <x:c r="Q59" s="17" t="str"/>
    </x:row>
    <x:row r="60" ht="23" customHeight="1">
      <x:c r="A60" s="17" t="str">
        <x:v>P0-059</x:v>
      </x:c>
      <x:c r="B60" s="17" t="str">
        <x:v>59</x:v>
      </x:c>
      <x:c r="C60" s="17" t="str">
        <x:v>M3</x:v>
      </x:c>
      <x:c r="D60" s="17" t="str">
        <x:v>福利卡账本</x:v>
      </x:c>
      <x:c r="E60" s="17" t="str">
        <x:v>发行、领取、冻结、解冻、实扣、退款、冲正和调整全部写入 append-only WelfareCardLedger，账户余额与流水一致且不为负。</x:v>
      </x:c>
      <x:c r="F60" s="17" t="str">
        <x:v>§8企业采购、§9订单福利卡支付</x:v>
      </x:c>
      <x:c r="G60" s="17" t="str">
        <x:v>M3-P059</x:v>
      </x:c>
      <x:c r="H60" s="17" t="str">
        <x:v>CI_PASS</x:v>
      </x:c>
      <x:c r="I60" s="17" t="str">
        <x:v>NOT_EXECUTED</x:v>
      </x:c>
      <x:c r="J60" s="17" t="str">
        <x:v>TO_BE_CREATED</x:v>
      </x:c>
      <x:c r="K60" s="17" t="str">
        <x:v>N/A</x:v>
      </x:c>
      <x:c r="L60" s="17" t="str">
        <x:v>越权；重复请求；非法状态；敏感字段泄露；失败恢复（按适用性执行）</x:v>
      </x:c>
      <x:c r="M60" s="17" t="str"/>
      <x:c r="N60" s="17" t="str"/>
      <x:c r="O60" s="17" t="str"/>
      <x:c r="P60" s="17" t="str"/>
      <x:c r="Q60" s="17" t="str"/>
    </x:row>
    <x:row r="61" ht="23" customHeight="1">
      <x:c r="A61" s="17" t="str">
        <x:v>P0-060</x:v>
      </x:c>
      <x:c r="B61" s="17" t="str">
        <x:v>60</x:v>
      </x:c>
      <x:c r="C61" s="17" t="str">
        <x:v>M5</x:v>
      </x:c>
      <x:c r="D61" s="17" t="str">
        <x:v>供应商结算隔离与合规门槛</x:v>
      </x:c>
      <x:c r="E61" s="17" t="str">
        <x:v>用户支付结构不影响供应商供货款；系统不提供个人现金充值功能，福利卡资金仅来源于企业福利发放、公司活动赠送和实体卡/兑换码。</x:v>
      </x:c>
      <x:c r="F61" s="17" t="str">
        <x:v>§11售后、§12对账结算</x:v>
      </x:c>
      <x:c r="G61" s="17" t="str">
        <x:v>M5-P060</x:v>
      </x:c>
      <x:c r="H61" s="17" t="str">
        <x:v>CI_PASS</x:v>
      </x:c>
      <x:c r="I61" s="17" t="str">
        <x:v>NOT_EXECUTED</x:v>
      </x:c>
      <x:c r="J61" s="17" t="str">
        <x:v>TO_BE_CREATED</x:v>
      </x:c>
      <x:c r="K61" s="17" t="str">
        <x:v>N/A</x:v>
      </x:c>
      <x:c r="L61" s="17" t="str">
        <x:v>个人充值API/路由/枚举/开关；第四类资金来源；用户支付结构影响供应商供货款</x:v>
      </x:c>
      <x:c r="M61" s="17" t="str"/>
      <x:c r="N61" s="17" t="str"/>
      <x:c r="O61" s="17" t="str"/>
      <x:c r="P61" s="17" t="str"/>
      <x:c r="Q61" s="17" t="str"/>
    </x:row>
    <x:row r="62" ht="23" customHeight="1">
      <x:c r="A62" s="17" t="str">
        <x:v>P0-061</x:v>
      </x:c>
      <x:c r="B62" s="17" t="str">
        <x:v>61</x:v>
      </x:c>
      <x:c r="C62" s="17" t="str">
        <x:v>M2</x:v>
      </x:c>
      <x:c r="D62" s="17" t="str">
        <x:v>商品资源与集采标识</x:v>
      </x:c>
      <x:c r="E62" s="17" t="str">
        <x:v>个人小程序和企业采购入口引用同一 Product/Sku、分类、图片和库存；供应商勾选集采标识且商品 ACTIVE 后才进入企业采购货架。</x:v>
      </x:c>
      <x:c r="F62" s="17" t="str">
        <x:v>§5分类模板、§6商品价格库存</x:v>
      </x:c>
      <x:c r="G62" s="17" t="str">
        <x:v>M2-P061</x:v>
      </x:c>
      <x:c r="H62" s="17" t="str">
        <x:v>CI_PASS</x:v>
      </x:c>
      <x:c r="I62" s="17" t="str">
        <x:v>NOT_EXECUTED</x:v>
      </x:c>
      <x:c r="J62" s="17" t="str">
        <x:v>NEG-M2-061-01|NEG-M2-061-02|NEG-M2-061-03</x:v>
      </x:c>
      <x:c r="K62" s="17" t="str">
        <x:v>N/A</x:v>
      </x:c>
      <x:c r="L62" s="17" t="str">
        <x:v>DUPLICATE_CHANNEL_PRODUCT；ENTERPRISE_FLAG_DISABLED；CHANNEL_FLAG_HISTORY</x:v>
      </x:c>
      <x:c r="M62" s="17" t="str">
        <x:v>artifacts/verification/M2-000/m2-contract-freeze.json#negativeTests</x:v>
      </x:c>
      <x:c r="N62" s="17" t="str"/>
      <x:c r="O62" s="17" t="str"/>
      <x:c r="P62" s="17" t="str"/>
      <x:c r="Q62" s="17" t="str">
        <x:v>M2-000仅冻结测试ID、失败行为和证据要求；业务切片须逐项先RED再实现；当前仍为NOT_EXECUTED</x:v>
      </x:c>
    </x:row>
    <x:row r="63" ht="23" customHeight="1">
      <x:c r="A63" s="17" t="str">
        <x:v>P0-062</x:v>
      </x:c>
      <x:c r="B63" s="17" t="str">
        <x:v>62</x:v>
      </x:c>
      <x:c r="C63" s="17" t="str">
        <x:v>M3</x:v>
      </x:c>
      <x:c r="D63" s="17" t="str">
        <x:v>多供应商企业主订单</x:v>
      </x:c>
      <x:c r="E63" s="17" t="str">
        <x:v>企业可一次选择至少三个供应商商品并提交一个主订单；平台按 supplierId 准确生成子单，金额与商品汇总一致。</x:v>
      </x:c>
      <x:c r="F63" s="17" t="str">
        <x:v>§8企业采购、§9订单福利卡支付</x:v>
      </x:c>
      <x:c r="G63" s="17" t="str">
        <x:v>M3-P062</x:v>
      </x:c>
      <x:c r="H63" s="17" t="str">
        <x:v>CI_PASS</x:v>
      </x:c>
      <x:c r="I63" s="17" t="str">
        <x:v>NOT_EXECUTED</x:v>
      </x:c>
      <x:c r="J63" s="17" t="str">
        <x:v>TO_BE_CREATED</x:v>
      </x:c>
      <x:c r="K63" s="17" t="str">
        <x:v>N/A</x:v>
      </x:c>
      <x:c r="L63" s="17" t="str">
        <x:v>越权；重复请求；非法状态；敏感字段泄露；失败恢复（按适用性执行）</x:v>
      </x:c>
      <x:c r="M63" s="17" t="str"/>
      <x:c r="N63" s="17" t="str"/>
      <x:c r="O63" s="17" t="str"/>
      <x:c r="P63" s="17" t="str"/>
      <x:c r="Q63" s="17" t="str"/>
    </x:row>
    <x:row r="64" ht="23" customHeight="1">
      <x:c r="A64" s="17" t="str">
        <x:v>P0-063</x:v>
      </x:c>
      <x:c r="B64" s="17" t="str">
        <x:v>63</x:v>
      </x:c>
      <x:c r="C64" s="17" t="str">
        <x:v>M2</x:v>
      </x:c>
      <x:c r="D64" s="17" t="str">
        <x:v>跨渠道共用库存</x:v>
      </x:c>
      <x:c r="E64" s="17" t="str">
        <x:v>个人订单和企业采购订单并发购买同一 SKU 时锁定同一 InventoryBalance，预扣、释放和出库流水完整且不超卖；商品表、供应商草稿和缓存不存在第二套可成交库存。</x:v>
      </x:c>
      <x:c r="F64" s="17" t="str">
        <x:v>§5分类模板、§6商品价格库存</x:v>
      </x:c>
      <x:c r="G64" s="17" t="str">
        <x:v>M2-P063</x:v>
      </x:c>
      <x:c r="H64" s="17" t="str">
        <x:v>CI_PASS</x:v>
      </x:c>
      <x:c r="I64" s="17" t="str">
        <x:v>NOT_EXECUTED</x:v>
      </x:c>
      <x:c r="J64" s="17" t="str">
        <x:v>NEG-M2-063-01|NEG-M2-063-02|NEG-M2-063-03|NEG-M2-063-04</x:v>
      </x:c>
      <x:c r="K64" s="17" t="str">
        <x:v>N/A</x:v>
      </x:c>
      <x:c r="L64" s="17" t="str">
        <x:v>DUPLICATE_INVENTORY_BALANCE；INVENTORY_NEGATIVE；CONCURRENT_LOST_UPDATE；DUPLICATE_ADJUSTMENT</x:v>
      </x:c>
      <x:c r="M64" s="17" t="str">
        <x:v>artifacts/verification/M2-000/m2-contract-freeze.json#negativeTests</x:v>
      </x:c>
      <x:c r="N64" s="17" t="str"/>
      <x:c r="O64" s="17" t="str"/>
      <x:c r="P64" s="17" t="str"/>
      <x:c r="Q64" s="17" t="str">
        <x:v>M2-000仅冻结测试ID、失败行为和证据要求；业务切片须逐项先RED再实现；当前仍为NOT_EXECUTED</x:v>
      </x:c>
    </x:row>
    <x:row r="65" ht="23" customHeight="1">
      <x:c r="A65" s="17" t="str">
        <x:v>P0-064</x:v>
      </x:c>
      <x:c r="B65" s="17" t="str">
        <x:v>64</x:v>
      </x:c>
      <x:c r="C65" s="17" t="str">
        <x:v>M4</x:v>
      </x:c>
      <x:c r="D65" s="17" t="str">
        <x:v>企业平台统一配送</x:v>
      </x:c>
      <x:c r="E65" s="17" t="str">
        <x:v>企业订单生成 EnterpriseDeliveryOrder，由公司物流工作台安排车辆/司机或承运商；不生成 DeliveryTask，不出现在跑腿大厅。</x:v>
      </x:c>
      <x:c r="F65" s="17" t="str">
        <x:v>§10个人跑腿与企业统一配送</x:v>
      </x:c>
      <x:c r="G65" s="17" t="str">
        <x:v>M4-P064</x:v>
      </x:c>
      <x:c r="H65" s="17" t="str">
        <x:v>STAGING_PASS</x:v>
      </x:c>
      <x:c r="I65" s="17" t="str">
        <x:v>NOT_EXECUTED</x:v>
      </x:c>
      <x:c r="J65" s="17" t="str">
        <x:v>TO_BE_CREATED</x:v>
      </x:c>
      <x:c r="K65" s="17" t="str">
        <x:v>MANUAL-064</x:v>
      </x:c>
      <x:c r="L65" s="17" t="str">
        <x:v>越权；重复请求；非法状态；敏感字段泄露；失败恢复（按适用性执行）</x:v>
      </x:c>
      <x:c r="M65" s="17" t="str"/>
      <x:c r="N65" s="17" t="str"/>
      <x:c r="O65" s="17" t="str"/>
      <x:c r="P65" s="17" t="str"/>
      <x:c r="Q65" s="17" t="str"/>
    </x:row>
    <x:row r="66" ht="23" customHeight="1">
      <x:c r="A66" s="17" t="str">
        <x:v>P0-065</x:v>
      </x:c>
      <x:c r="B66" s="17" t="str">
        <x:v>65</x:v>
      </x:c>
      <x:c r="C66" s="17" t="str">
        <x:v>M5</x:v>
      </x:c>
      <x:c r="D66" s="17" t="str">
        <x:v>多供应商分别对账</x:v>
      </x:c>
      <x:c r="E66" s="17" t="str">
        <x:v>个人和企业主订单均按供应商履约子单分别进入对应供应商账单；每家供应商以其经审核生效的供应价快照、履约数量和责任调整计算，公司分别线下结算。供应价仅进入公司内部账单和对应供应商账单，客户付款方式、对客页面及其他供应商数据不得混入。</x:v>
      </x:c>
      <x:c r="F66" s="17" t="str">
        <x:v>§11售后、§12对账结算</x:v>
      </x:c>
      <x:c r="G66" s="17" t="str">
        <x:v>M5-P065</x:v>
      </x:c>
      <x:c r="H66" s="17" t="str">
        <x:v>CI_PASS</x:v>
      </x:c>
      <x:c r="I66" s="17" t="str">
        <x:v>NOT_EXECUTED</x:v>
      </x:c>
      <x:c r="J66" s="17" t="str">
        <x:v>TO_BE_CREATED</x:v>
      </x:c>
      <x:c r="K66" s="17" t="str">
        <x:v>N/A</x:v>
      </x:c>
      <x:c r="L66" s="17" t="str">
        <x:v>越权；重复请求；非法状态；敏感字段泄露；失败恢复（按适用性执行）</x:v>
      </x:c>
      <x:c r="M66" s="17" t="str"/>
      <x:c r="N66" s="17" t="str"/>
      <x:c r="O66" s="17" t="str"/>
      <x:c r="P66" s="17" t="str"/>
      <x:c r="Q66" s="17" t="str"/>
    </x:row>
    <x:row r="67" ht="23" customHeight="1">
      <x:c r="A67" s="17" t="str">
        <x:v>P0-066</x:v>
      </x:c>
      <x:c r="B67" s="17" t="str">
        <x:v>66</x:v>
      </x:c>
      <x:c r="C67" s="17" t="str">
        <x:v>M1</x:v>
      </x:c>
      <x:c r="D67" s="17" t="str">
        <x:v>公司后台登录与职能选择</x:v>
      </x:c>
      <x:c r="E67" s="17" t="str">
        <x:v>公司后台使用独立登录入口且不开放公众注册；只有一个职能账号时直达固定页面，同一人员拥有多个职能账号时先进入账号选择页，每次只签发一个 functionalAccountId 会话。</x:v>
      </x:c>
      <x:c r="F67" s="17" t="str">
        <x:v>§3角色权限、§4供应商后台、§14安全审计</x:v>
      </x:c>
      <x:c r="G67" s="17" t="str">
        <x:v>M1-P066</x:v>
      </x:c>
      <x:c r="H67" s="17" t="str">
        <x:v>CI_PASS</x:v>
      </x:c>
      <x:c r="I67" s="17" t="str">
        <x:v>CI_PASS</x:v>
      </x:c>
      <x:c r="J67" s="17" t="str">
        <x:v>NEG-M1-066-01|NEG-M1-066-02|NEG-M1-066-03|NEG-M1-066-04</x:v>
      </x:c>
      <x:c r="K67" s="17" t="str">
        <x:v>N/A</x:v>
      </x:c>
      <x:c r="L67" s="17" t="str">
        <x:v>PUBLIC_COMPANY_REGISTRATION；MULTI_ACCOUNT_AUTO_ENTRY；MULTI_SESSION；ACCOUNT_DISABLED</x:v>
      </x:c>
      <x:c r="M67" s="17" t="str">
        <x:v>artifacts/verification/M1-P066/company-auth.json</x:v>
      </x:c>
      <x:c r="N67" s="17" t="str">
        <x:v>4c3e07a359ae2d99f47ed9265730a1d9dd27531c</x:v>
      </x:c>
      <x:c r="O67" s="17" t="str">
        <x:v>CODEX</x:v>
      </x:c>
      <x:c r="P67" s="17" t="n">
        <x:v>46240.39662037037</x:v>
      </x:c>
      <x:c r="Q67" s="17" t="str">
        <x:v>PR #22最终head 4c3e07a精确CI run 31084427860成功；授权合并为1254f710且main CI run 31089444537成功；预发布/生产/正式验收未执行</x:v>
      </x:c>
    </x:row>
    <x:row r="68" ht="23" customHeight="1">
      <x:c r="A68" s="17" t="str">
        <x:v>P0-067</x:v>
      </x:c>
      <x:c r="B68" s="17" t="str">
        <x:v>67</x:v>
      </x:c>
      <x:c r="C68" s="17" t="str">
        <x:v>M1</x:v>
      </x:c>
      <x:c r="D68" s="17" t="str">
        <x:v>公司职能账号独立页面</x:v>
      </x:c>
      <x:c r="E68" s="17" t="str">
        <x:v>超级管理员、供应商运营、商品与分类运营、价格审核、订单客服、福利卡运营、财务、物流、门户编辑和审计账号分别进入固定 workspaceRoute；页面不出现其他职能菜单，手工访问其他职能路由或接口返回无权限。</x:v>
      </x:c>
      <x:c r="F68" s="17" t="str">
        <x:v>§3角色权限、§4供应商后台、§14安全审计</x:v>
      </x:c>
      <x:c r="G68" s="17" t="str">
        <x:v>M1-P067</x:v>
      </x:c>
      <x:c r="H68" s="17" t="str">
        <x:v>CI_PASS</x:v>
      </x:c>
      <x:c r="I68" s="17" t="str">
        <x:v>CI_PASS</x:v>
      </x:c>
      <x:c r="J68" s="17" t="str">
        <x:v>NEG-M1-067-01|NEG-M1-067-02|NEG-M1-067-03|NEG-M1-067-04</x:v>
      </x:c>
      <x:c r="K68" s="17" t="str">
        <x:v>N/A</x:v>
      </x:c>
      <x:c r="L68" s="17" t="str">
        <x:v>ROUTE_DEEP_LINK；MENU_LEAKAGE；API_ROLE_MISMATCH；SESSION_REUSE</x:v>
      </x:c>
      <x:c r="M68" s="17" t="str">
        <x:v>artifacts/verification/M1-P067/company-workspaces.json</x:v>
      </x:c>
      <x:c r="N68" s="17" t="str">
        <x:v>702aa02b305f96bdc1e02002a108208fc9ac092f</x:v>
      </x:c>
      <x:c r="O68" s="17" t="str">
        <x:v>CODEX</x:v>
      </x:c>
      <x:c r="P68" s="17" t="n">
        <x:v>46241.10428240741</x:v>
      </x:c>
      <x:c r="Q68" s="17" t="str">
        <x:v>PR #24精确head 702aa02的CI run 31095481940成功；授权合并为aa7b9a7且main CI run 31139537997成功；预发布/生产/正式验收未执行</x:v>
      </x:c>
    </x:row>
    <x:row r="69" ht="23" customHeight="1">
      <x:c r="A69" s="17" t="str">
        <x:v>P0-068</x:v>
      </x:c>
      <x:c r="B69" s="17" t="str">
        <x:v>68</x:v>
      </x:c>
      <x:c r="C69" s="17" t="str">
        <x:v>M1</x:v>
      </x:c>
      <x:c r="D69" s="17" t="str">
        <x:v>公司独立页面完整性</x:v>
      </x:c>
      <x:c r="E69" s="17" t="str">
        <x:v>每个公司职能页面均具备自己的工作台、内部列表/筛选/详情/时间线及加载、空态、失败和无权限状态；共用组件不导致数据、菜单或会话上下文合并。</x:v>
      </x:c>
      <x:c r="F69" s="17" t="str">
        <x:v>§3角色权限、§4供应商后台、§14安全审计</x:v>
      </x:c>
      <x:c r="G69" s="17" t="str">
        <x:v>M1-P068</x:v>
      </x:c>
      <x:c r="H69" s="17" t="str">
        <x:v>CI_PASS</x:v>
      </x:c>
      <x:c r="I69" s="17" t="str">
        <x:v>CI_PASS</x:v>
      </x:c>
      <x:c r="J69" s="17" t="str">
        <x:v>NEG-M1-068-01|NEG-M1-068-02|NEG-M1-068-03</x:v>
      </x:c>
      <x:c r="K69" s="17" t="str">
        <x:v>N/A</x:v>
      </x:c>
      <x:c r="L69" s="17" t="str">
        <x:v>MISSING_UI_STATE；SHARED_CONTEXT；ERROR_SECRET_LEAK</x:v>
      </x:c>
      <x:c r="M69" s="17" t="str">
        <x:v>artifacts/verification/M1-P068/company-workspace-completeness.json</x:v>
      </x:c>
      <x:c r="N69" s="17" t="str">
        <x:v>9c91673bc698083ffaac9df07ba401c75f61e939</x:v>
      </x:c>
      <x:c r="O69" s="17" t="str">
        <x:v>CODEX</x:v>
      </x:c>
      <x:c r="P69" s="17" t="n">
        <x:v>46241.168900462966</x:v>
      </x:c>
      <x:c r="Q69" s="17" t="str">
        <x:v>API-083及十类PAGE-003至PAGE-012通过本地完整门禁；PR #26精确head CI 31143472876成功并合并为ff8d5ae；合并后main CI 31144798071成功；staging/生产/正式验收未执行</x:v>
      </x:c>
    </x:row>
    <x:row r="70" ht="23" customHeight="1">
      <x:c r="A70" s="17" t="str">
        <x:v>P0-069</x:v>
      </x:c>
      <x:c r="B70" s="17" t="str">
        <x:v>69</x:v>
      </x:c>
      <x:c r="C70" s="17" t="str">
        <x:v>M1</x:v>
      </x:c>
      <x:c r="D70" s="17" t="str">
        <x:v>供应商注册、登录与职能选择</x:v>
      </x:c>
      <x:c r="E70" s="17" t="str">
        <x:v>门户供应商合作入口可进入注册和登录；审核通过后激活主体管理账号，各业务职能账号分别邀请；supplierId 由服务端绑定，同一人员多职能时必须在账号选择页逐一进入。</x:v>
      </x:c>
      <x:c r="F70" s="17" t="str">
        <x:v>§3角色权限、§4供应商后台、§14安全审计</x:v>
      </x:c>
      <x:c r="G70" s="17" t="str">
        <x:v>M1-P069</x:v>
      </x:c>
      <x:c r="H70" s="17" t="str">
        <x:v>CI_PASS</x:v>
      </x:c>
      <x:c r="I70" s="17" t="str">
        <x:v>CI_PASS</x:v>
      </x:c>
      <x:c r="J70" s="17" t="str">
        <x:v>NEG-M1-069-01|NEG-M1-069-02|NEG-M1-069-03|NEG-M1-069-04</x:v>
      </x:c>
      <x:c r="K70" s="17" t="str">
        <x:v>N/A</x:v>
      </x:c>
      <x:c r="L70" s="17" t="str">
        <x:v>SUPPLIER_ID_TAMPER；REGISTRATION_LOGIN_CONFLATION；MULTI_ACCOUNT_AUTO_ENTRY；INACTIVE_SUPPLIER_LOGIN；COOKIE_OMITTED；AUTH_ERROR_CACHE；SELECTION_REPLAY_COOKIE_LOSS；CONCURRENT_REPLAY_RESPONSE_REORDER；DIRECT_LOGIN_REQUEST_REPLAY_COOKIE_LOSS；VERIFICATION_CODE_TYPE_LENGTH_BYPASS；SELECTION_NONCE_PUBLIC_ID_DERIVATION；SECOND_VERIFICATION_REPLAY_RECONSUMPTION；WORKSPACE_SELECTION_FAILURE_AUDIT_GAP；SESSION_SIGNING_KEY_MISSING；SESSION_KEY_ROTATION_REUSE；SAME_ORIGIN_API_PROXY_MISSING；MOCK_ONLY_BROWSER_CHAIN；CLEAN_CHECKOUT_DIST_DEPENDENCY；WORKSPACE_DEPENDENCY_OUTPUT_MISSING</x:v>
      </x:c>
      <x:c r="M70" s="17" t="str">
        <x:v>artifacts/verification/M1-P069/supplier-auth.json</x:v>
      </x:c>
      <x:c r="N70" s="17" t="str">
        <x:v>c914a5e7d1036e20f6a989f40455c30d9dbe0043</x:v>
      </x:c>
      <x:c r="O70" s="17" t="str">
        <x:v>CODEX</x:v>
      </x:c>
      <x:c r="P70" s="17" t="n">
        <x:v>46241.49663194444</x:v>
      </x:c>
      <x:c r="Q70" s="17" t="str">
        <x:v>PR #28精确head run 31174016101成功；用户授权后合并为417d165；合并后main run 31175113225成功；staging/生产/真实身份源和正式验收未执行</x:v>
      </x:c>
    </x:row>
    <x:row r="71" ht="23" customHeight="1">
      <x:c r="A71" s="17" t="str">
        <x:v>P0-070</x:v>
      </x:c>
      <x:c r="B71" s="17" t="str">
        <x:v>70</x:v>
      </x:c>
      <x:c r="C71" s="17" t="str">
        <x:v>M1</x:v>
      </x:c>
      <x:c r="D71" s="17" t="str">
        <x:v>供应商职能账号独立页面</x:v>
      </x:c>
      <x:c r="E71" s="17" t="str">
        <x:v>主体管理、商品、价格、库存、履约、售后、财务和审计账号分别进入固定页面且只显示本职能内部菜单；兼任通过多个职能账号切换实现，不允许合并页面或权限。</x:v>
      </x:c>
      <x:c r="F71" s="17" t="str">
        <x:v>§3角色权限、§4供应商后台、§14安全审计</x:v>
      </x:c>
      <x:c r="G71" s="17" t="str">
        <x:v>M1-P070</x:v>
      </x:c>
      <x:c r="H71" s="17" t="str">
        <x:v>CI_PASS</x:v>
      </x:c>
      <x:c r="I71" s="17" t="str">
        <x:v>CI_PASS</x:v>
      </x:c>
      <x:c r="J71" s="17" t="str">
        <x:v>NEG-M1-070-01|NEG-M1-070-02|NEG-M1-070-03|NEG-M1-070-04|NEG-M1-070-05</x:v>
      </x:c>
      <x:c r="K71" s="17" t="str">
        <x:v>N/A</x:v>
      </x:c>
      <x:c r="L71" s="17" t="str">
        <x:v>CROSS_WORKSPACE；CROSS_SUPPLIER；COMBINED_ROLE_PAGE；SESSION_REUSE；STALE_RESPONSE</x:v>
      </x:c>
      <x:c r="M71" s="17" t="str">
        <x:v>artifacts/verification/M1-P070/supplier-workspaces.json</x:v>
      </x:c>
      <x:c r="N71" s="17" t="str">
        <x:v>acadd8b838c4061c8184b12db077a030d0a8e277</x:v>
      </x:c>
      <x:c r="O71" s="17" t="str">
        <x:v>CODEX</x:v>
      </x:c>
      <x:c r="P71" s="17" t="n">
        <x:v>46242.05831018519</x:v>
      </x:c>
      <x:c r="Q71" s="17" t="str">
        <x:v>PR #30精确head CI成功并经授权合并为a721d56；合并后main run 31232556011成功；staging与production未执行</x:v>
      </x:c>
    </x:row>
    <x:row r="72" ht="23" customHeight="1">
      <x:c r="A72" s="17" t="str">
        <x:v>P0-071</x:v>
      </x:c>
      <x:c r="B72" s="17" t="str">
        <x:v>71</x:v>
      </x:c>
      <x:c r="C72" s="17" t="str">
        <x:v>M2</x:v>
      </x:c>
      <x:c r="D72" s="17" t="str">
        <x:v>独立价格与审批页面</x:v>
      </x:c>
      <x:c r="E72" s="17" t="str">
        <x:v>供应商价格独立页面清楚区分初始价格审核、供应价变更申请和两类销售价直接调价；公司价格审核独立页面展示原值、新值、比例、原因、生效时间和历史意见，重复提交、并发审批和无理由批量通过被阻止。</x:v>
      </x:c>
      <x:c r="F72" s="17" t="str">
        <x:v>§3角色权限、§4供应商后台、§14安全审计</x:v>
      </x:c>
      <x:c r="G72" s="17" t="str">
        <x:v>M2-P071</x:v>
      </x:c>
      <x:c r="H72" s="17" t="str">
        <x:v>CI_PASS</x:v>
      </x:c>
      <x:c r="I72" s="17" t="str">
        <x:v>NOT_EXECUTED</x:v>
      </x:c>
      <x:c r="J72" s="17" t="str">
        <x:v>NEG-M2-071-01|NEG-M2-071-02|NEG-M2-071-03|NEG-M2-071-04</x:v>
      </x:c>
      <x:c r="K72" s="17" t="str">
        <x:v>N/A</x:v>
      </x:c>
      <x:c r="L72" s="17" t="str">
        <x:v>SAME_NATURAL_PERSON_REVIEW；PRICE_PAGE_ROLE_MISMATCH；CONCURRENT_REVIEW；REASONLESS_BULK_APPROVAL</x:v>
      </x:c>
      <x:c r="M72" s="17" t="str">
        <x:v>artifacts/verification/M2-000/m2-contract-freeze.json#negativeTests</x:v>
      </x:c>
      <x:c r="N72" s="17" t="str"/>
      <x:c r="O72" s="17" t="str"/>
      <x:c r="P72" s="17" t="str"/>
      <x:c r="Q72" s="17" t="str">
        <x:v>M2-000仅冻结测试ID、失败行为和证据要求；业务切片须逐项先RED再实现；当前仍为NOT_EXECUTED</x:v>
      </x:c>
    </x:row>
    <x:row r="73" ht="23" customHeight="1">
      <x:c r="A73" s="17" t="str">
        <x:v>P0-072</x:v>
      </x:c>
      <x:c r="B73" s="17" t="str">
        <x:v>72</x:v>
      </x:c>
      <x:c r="C73" s="17" t="str">
        <x:v>M1</x:v>
      </x:c>
      <x:c r="D73" s="17" t="str">
        <x:v>后台敏感操作与审计</x:v>
      </x:c>
      <x:c r="E73" s="17" t="str">
        <x:v>供应价查看、供应价审批、退款复核、福利卡调整、付款登记、银行账户复核和敏感导出使用独立权限点；要求双人复核时按自然人 identityId 阻止同一人员跨职能账号自审、自批，超级管理员也不能绕过；职能账号/类型变更、登录、账号选择、查看敏感字段、导出和会话撤销均可审计。</x:v>
      </x:c>
      <x:c r="F73" s="17" t="str">
        <x:v>§3角色权限、§4供应商后台、§14安全审计</x:v>
      </x:c>
      <x:c r="G73" s="17" t="str">
        <x:v>M1-P072</x:v>
      </x:c>
      <x:c r="H73" s="17" t="str">
        <x:v>CI_PASS</x:v>
      </x:c>
      <x:c r="I73" s="17" t="str">
        <x:v>CI_PASS</x:v>
      </x:c>
      <x:c r="J73" s="17" t="str">
        <x:v>NEG-M1-072-01|NEG-M1-072-02|NEG-M1-072-03|NEG-M1-072-04|NEG-M1-072-05</x:v>
      </x:c>
      <x:c r="K73" s="17" t="str">
        <x:v>N/A</x:v>
      </x:c>
      <x:c r="L73" s="17" t="str">
        <x:v>NATURAL_IDENTITY_SEPARATION；SUPER_ADMIN_BYPASS；CONCURRENT_REVIEW；IDEMPOTENT_COMMAND_COALESCING；AUDIT_COMPLETENESS</x:v>
      </x:c>
      <x:c r="M73" s="17" t="str">
        <x:v>artifacts/verification/M1-P072/sensitive-operations-audit.json</x:v>
      </x:c>
      <x:c r="N73" s="17" t="str">
        <x:v>efb50c01049686ce5acf8463342a53d4e572a7cd</x:v>
      </x:c>
      <x:c r="O73" s="17" t="str">
        <x:v>GITHUB_ACTIONS+CODEX</x:v>
      </x:c>
      <x:c r="P73" s="17" t="n">
        <x:v>46242.269328703704</x:v>
      </x:c>
      <x:c r="Q73" s="17" t="str">
        <x:v>PR #32精确head efb50c0的CI run 31239438856及合并后main run 31240531655成功；同自然人、超级管理员无旁路、并发CAS、同键命令合并、审计回滚与供应商数据域在M1-GATE回归中通过；真实导出、预发布与生产未执行。</x:v>
      </x:c>
    </x:row>
    <x:row r="74" ht="23" customHeight="1">
      <x:c r="A74" s="17" t="str">
        <x:v>P0-073</x:v>
      </x:c>
      <x:c r="B74" s="17" t="str">
        <x:v>73</x:v>
      </x:c>
      <x:c r="C74" s="17" t="str">
        <x:v>M3</x:v>
      </x:c>
      <x:c r="D74" s="17" t="str">
        <x:v>门户全站导航</x:v>
      </x:c>
      <x:c r="E74" s="17" t="str">
        <x:v>桌面和移动端均提供首页、关于、供应链能力、社区集采、福利卡、供应商合作、新闻和联系入口；登录前后企业入口、采购车和工作台状态正确，页脚主体和法律入口完整。</x:v>
      </x:c>
      <x:c r="F74" s="17" t="str">
        <x:v>§8企业门户网站</x:v>
      </x:c>
      <x:c r="G74" s="17" t="str">
        <x:v>M3-P073</x:v>
      </x:c>
      <x:c r="H74" s="17" t="str">
        <x:v>CI_PASS</x:v>
      </x:c>
      <x:c r="I74" s="17" t="str">
        <x:v>NOT_EXECUTED</x:v>
      </x:c>
      <x:c r="J74" s="17" t="str">
        <x:v>TO_BE_CREATED</x:v>
      </x:c>
      <x:c r="K74" s="17" t="str">
        <x:v>N/A</x:v>
      </x:c>
      <x:c r="L74" s="17" t="str">
        <x:v>越权；重复请求；非法状态；敏感字段泄露；失败恢复（按适用性执行）</x:v>
      </x:c>
      <x:c r="M74" s="17" t="str"/>
      <x:c r="N74" s="17" t="str"/>
      <x:c r="O74" s="17" t="str"/>
      <x:c r="P74" s="17" t="str"/>
      <x:c r="Q74" s="17" t="str"/>
    </x:row>
    <x:row r="75" ht="23" customHeight="1">
      <x:c r="A75" s="17" t="str">
        <x:v>P0-074</x:v>
      </x:c>
      <x:c r="B75" s="17" t="str">
        <x:v>74</x:v>
      </x:c>
      <x:c r="C75" s="17" t="str">
        <x:v>M3</x:v>
      </x:c>
      <x:c r="D75" s="17" t="str">
        <x:v>门户首页闭环</x:v>
      </x:c>
      <x:c r="E75" s="17" t="str">
        <x:v>首页按主视觉、核心服务、供应链能力、社区集采说明、分类预览、授权案例、供应商合作、新闻和底部 CTA 顺序展示；不使用虚构销量、倒计时或未授权案例。</x:v>
      </x:c>
      <x:c r="F75" s="17" t="str">
        <x:v>§8企业门户网站</x:v>
      </x:c>
      <x:c r="G75" s="17" t="str">
        <x:v>M3-P074</x:v>
      </x:c>
      <x:c r="H75" s="17" t="str">
        <x:v>CI_PASS</x:v>
      </x:c>
      <x:c r="I75" s="17" t="str">
        <x:v>NOT_EXECUTED</x:v>
      </x:c>
      <x:c r="J75" s="17" t="str">
        <x:v>TO_BE_CREATED</x:v>
      </x:c>
      <x:c r="K75" s="17" t="str">
        <x:v>N/A</x:v>
      </x:c>
      <x:c r="L75" s="17" t="str">
        <x:v>越权；重复请求；非法状态；敏感字段泄露；失败恢复（按适用性执行）</x:v>
      </x:c>
      <x:c r="M75" s="17" t="str"/>
      <x:c r="N75" s="17" t="str"/>
      <x:c r="O75" s="17" t="str"/>
      <x:c r="P75" s="17" t="str"/>
      <x:c r="Q75" s="17" t="str"/>
    </x:row>
    <x:row r="76" ht="23" customHeight="1">
      <x:c r="A76" s="17" t="str">
        <x:v>P0-075</x:v>
      </x:c>
      <x:c r="B76" s="17" t="str">
        <x:v>75</x:v>
      </x:c>
      <x:c r="C76" s="17" t="str">
        <x:v>M3</x:v>
      </x:c>
      <x:c r="D76" s="17" t="str">
        <x:v>企业宣传页面</x:v>
      </x:c>
      <x:c r="E76" s="17" t="str">
        <x:v>关于、能力、案例、新闻和联系页面内容完整，资质与案例按授权展示，规则公告保留版本和生效时间，页面具有明确下一步入口。</x:v>
      </x:c>
      <x:c r="F76" s="17" t="str">
        <x:v>§8企业门户网站</x:v>
      </x:c>
      <x:c r="G76" s="17" t="str">
        <x:v>M3-P075</x:v>
      </x:c>
      <x:c r="H76" s="17" t="str">
        <x:v>CI_PASS</x:v>
      </x:c>
      <x:c r="I76" s="17" t="str">
        <x:v>NOT_EXECUTED</x:v>
      </x:c>
      <x:c r="J76" s="17" t="str">
        <x:v>TO_BE_CREATED</x:v>
      </x:c>
      <x:c r="K76" s="17" t="str">
        <x:v>N/A</x:v>
      </x:c>
      <x:c r="L76" s="17" t="str">
        <x:v>越权；重复请求；非法状态；敏感字段泄露；失败恢复（按适用性执行）</x:v>
      </x:c>
      <x:c r="M76" s="17" t="str"/>
      <x:c r="N76" s="17" t="str"/>
      <x:c r="O76" s="17" t="str"/>
      <x:c r="P76" s="17" t="str"/>
      <x:c r="Q76" s="17" t="str"/>
    </x:row>
    <x:row r="77" ht="23" customHeight="1">
      <x:c r="A77" s="17" t="str">
        <x:v>P0-076</x:v>
      </x:c>
      <x:c r="B77" s="17" t="str">
        <x:v>76</x:v>
      </x:c>
      <x:c r="C77" s="17" t="str">
        <x:v>M3</x:v>
      </x:c>
      <x:c r="D77" s="17" t="str">
        <x:v>供应商与福利服务页</x:v>
      </x:c>
      <x:c r="E77" s="17" t="str">
        <x:v>供应商合作页明确条件、分类、资料、流程、注册与登录；福利卡服务页明确企业办理和员工使用流程，商务咨询表单最小化收集并幂等提交。</x:v>
      </x:c>
      <x:c r="F77" s="17" t="str">
        <x:v>§8企业门户网站</x:v>
      </x:c>
      <x:c r="G77" s="17" t="str">
        <x:v>M3-P076</x:v>
      </x:c>
      <x:c r="H77" s="17" t="str">
        <x:v>CI_PASS</x:v>
      </x:c>
      <x:c r="I77" s="17" t="str">
        <x:v>NOT_EXECUTED</x:v>
      </x:c>
      <x:c r="J77" s="17" t="str">
        <x:v>TO_BE_CREATED</x:v>
      </x:c>
      <x:c r="K77" s="17" t="str">
        <x:v>N/A</x:v>
      </x:c>
      <x:c r="L77" s="17" t="str">
        <x:v>越权；重复请求；非法状态；敏感字段泄露；失败恢复（按适用性执行）</x:v>
      </x:c>
      <x:c r="M77" s="17" t="str"/>
      <x:c r="N77" s="17" t="str"/>
      <x:c r="O77" s="17" t="str"/>
      <x:c r="P77" s="17" t="str"/>
      <x:c r="Q77" s="17" t="str"/>
    </x:row>
    <x:row r="78" ht="23" customHeight="1">
      <x:c r="A78" s="17" t="str">
        <x:v>P0-077</x:v>
      </x:c>
      <x:c r="B78" s="17" t="str">
        <x:v>77</x:v>
      </x:c>
      <x:c r="C78" s="17" t="str">
        <x:v>M3</x:v>
      </x:c>
      <x:c r="D78" s="17" t="str">
        <x:v>企业注册认证界面</x:v>
      </x:c>
      <x:c r="E78" s="17" t="str">
        <x:v>企业注册、主体、联系人、开票、收货、预览提交和认证进度页面完整；补正定位字段，暂停说明影响，重复企业和上传异常均有安全且可操作的反馈。</x:v>
      </x:c>
      <x:c r="F78" s="17" t="str">
        <x:v>§8企业门户网站</x:v>
      </x:c>
      <x:c r="G78" s="17" t="str">
        <x:v>M3-P077</x:v>
      </x:c>
      <x:c r="H78" s="17" t="str">
        <x:v>CI_PASS</x:v>
      </x:c>
      <x:c r="I78" s="17" t="str">
        <x:v>NOT_EXECUTED</x:v>
      </x:c>
      <x:c r="J78" s="17" t="str">
        <x:v>TO_BE_CREATED</x:v>
      </x:c>
      <x:c r="K78" s="17" t="str">
        <x:v>MANUAL-077</x:v>
      </x:c>
      <x:c r="L78" s="17" t="str">
        <x:v>越权；重复请求；非法状态；敏感字段泄露；失败恢复（按适用性执行）</x:v>
      </x:c>
      <x:c r="M78" s="17" t="str"/>
      <x:c r="N78" s="17" t="str"/>
      <x:c r="O78" s="17" t="str"/>
      <x:c r="P78" s="17" t="str"/>
      <x:c r="Q78" s="17" t="str"/>
    </x:row>
    <x:row r="79" ht="23" customHeight="1">
      <x:c r="A79" s="17" t="str">
        <x:v>P0-078</x:v>
      </x:c>
      <x:c r="B79" s="17" t="str">
        <x:v>78</x:v>
      </x:c>
      <x:c r="C79" s="17" t="str">
        <x:v>M3</x:v>
      </x:c>
      <x:c r="D79" s="17" t="str">
        <x:v>企业采购货架</x:v>
      </x:c>
      <x:c r="E79" s="17" t="str">
        <x:v>认证企业可使用分类、搜索、筛选、商品卡和模板化详情；只展示带集采标识的共用商品、集采销售价和必要库存状态，供应价与内部毛利在页面和接口中均不存在。</x:v>
      </x:c>
      <x:c r="F79" s="17" t="str">
        <x:v>§8企业门户网站</x:v>
      </x:c>
      <x:c r="G79" s="17" t="str">
        <x:v>M3-P078</x:v>
      </x:c>
      <x:c r="H79" s="17" t="str">
        <x:v>CI_PASS</x:v>
      </x:c>
      <x:c r="I79" s="17" t="str">
        <x:v>NOT_EXECUTED</x:v>
      </x:c>
      <x:c r="J79" s="17" t="str">
        <x:v>TO_BE_CREATED</x:v>
      </x:c>
      <x:c r="K79" s="17" t="str">
        <x:v>N/A</x:v>
      </x:c>
      <x:c r="L79" s="17" t="str">
        <x:v>越权；重复请求；非法状态；敏感字段泄露；失败恢复（按适用性执行）</x:v>
      </x:c>
      <x:c r="M79" s="17" t="str"/>
      <x:c r="N79" s="17" t="str"/>
      <x:c r="O79" s="17" t="str"/>
      <x:c r="P79" s="17" t="str"/>
      <x:c r="Q79" s="17" t="str"/>
    </x:row>
    <x:row r="80" ht="23" customHeight="1">
      <x:c r="A80" s="17" t="str">
        <x:v>P0-079</x:v>
      </x:c>
      <x:c r="B80" s="17" t="str">
        <x:v>79</x:v>
      </x:c>
      <x:c r="C80" s="17" t="str">
        <x:v>M3</x:v>
      </x:c>
      <x:c r="D80" s="17" t="str">
        <x:v>采购车与结算界面</x:v>
      </x:c>
      <x:c r="E80" s="17" t="str">
        <x:v>采购车支持跨供应商分组但统一结账；结算页统一展示商品、地址、开票、配送、付款和总金额，价格/库存/配送变化逐项提示且不产生多次付款。</x:v>
      </x:c>
      <x:c r="F80" s="17" t="str">
        <x:v>§8企业门户网站</x:v>
      </x:c>
      <x:c r="G80" s="17" t="str">
        <x:v>M3-P079</x:v>
      </x:c>
      <x:c r="H80" s="17" t="str">
        <x:v>CI_PASS</x:v>
      </x:c>
      <x:c r="I80" s="17" t="str">
        <x:v>NOT_EXECUTED</x:v>
      </x:c>
      <x:c r="J80" s="17" t="str">
        <x:v>TO_BE_CREATED</x:v>
      </x:c>
      <x:c r="K80" s="17" t="str">
        <x:v>N/A</x:v>
      </x:c>
      <x:c r="L80" s="17" t="str">
        <x:v>越权；重复请求；非法状态；敏感字段泄露；失败恢复（按适用性执行）</x:v>
      </x:c>
      <x:c r="M80" s="17" t="str"/>
      <x:c r="N80" s="17" t="str"/>
      <x:c r="O80" s="17" t="str"/>
      <x:c r="P80" s="17" t="str"/>
      <x:c r="Q80" s="17" t="str"/>
    </x:row>
    <x:row r="81" ht="23" customHeight="1">
      <x:c r="A81" s="17" t="str">
        <x:v>P0-080</x:v>
      </x:c>
      <x:c r="B81" s="17" t="str">
        <x:v>80</x:v>
      </x:c>
      <x:c r="C81" s="17" t="str">
        <x:v>M3</x:v>
      </x:c>
      <x:c r="D81" s="17" t="str">
        <x:v>企业工作台与订单</x:v>
      </x:c>
      <x:c r="E81" s="17" t="str">
        <x:v>工作台、订单列表、订单详情、统一配送时间线、售后、发票、常购清单、企业资料和消息页面完整；数据仅限本企业且不展示供应商内部结算。</x:v>
      </x:c>
      <x:c r="F81" s="17" t="str">
        <x:v>§8企业门户网站</x:v>
      </x:c>
      <x:c r="G81" s="17" t="str">
        <x:v>M3-P080</x:v>
      </x:c>
      <x:c r="H81" s="17" t="str">
        <x:v>CI_PASS</x:v>
      </x:c>
      <x:c r="I81" s="17" t="str">
        <x:v>NOT_EXECUTED</x:v>
      </x:c>
      <x:c r="J81" s="17" t="str">
        <x:v>TO_BE_CREATED</x:v>
      </x:c>
      <x:c r="K81" s="17" t="str">
        <x:v>N/A</x:v>
      </x:c>
      <x:c r="L81" s="17" t="str">
        <x:v>越权；重复请求；非法状态；敏感字段泄露；失败恢复（按适用性执行）</x:v>
      </x:c>
      <x:c r="M81" s="17" t="str"/>
      <x:c r="N81" s="17" t="str"/>
      <x:c r="O81" s="17" t="str"/>
      <x:c r="P81" s="17" t="str"/>
      <x:c r="Q81" s="17" t="str"/>
    </x:row>
    <x:row r="82" ht="23" customHeight="1">
      <x:c r="A82" s="17" t="str">
        <x:v>P0-081</x:v>
      </x:c>
      <x:c r="B82" s="17" t="str">
        <x:v>81</x:v>
      </x:c>
      <x:c r="C82" s="17" t="str">
        <x:v>M3</x:v>
      </x:c>
      <x:c r="D82" s="17" t="str">
        <x:v>响应式与页面状态</x:v>
      </x:c>
      <x:c r="E82" s="17" t="str">
        <x:v>桌面、平板和手机可完成注册、浏览、采购车、下单、订单和售后；加载、空态、失败、未认证、无权限、对象失效和表单错误状态均有明确反馈。</x:v>
      </x:c>
      <x:c r="F82" s="17" t="str">
        <x:v>§8企业门户网站</x:v>
      </x:c>
      <x:c r="G82" s="17" t="str">
        <x:v>M3-P081</x:v>
      </x:c>
      <x:c r="H82" s="17" t="str">
        <x:v>CI_PASS</x:v>
      </x:c>
      <x:c r="I82" s="17" t="str">
        <x:v>NOT_EXECUTED</x:v>
      </x:c>
      <x:c r="J82" s="17" t="str">
        <x:v>TO_BE_CREATED</x:v>
      </x:c>
      <x:c r="K82" s="17" t="str">
        <x:v>N/A</x:v>
      </x:c>
      <x:c r="L82" s="17" t="str">
        <x:v>越权；重复请求；非法状态；敏感字段泄露；失败恢复（按适用性执行）</x:v>
      </x:c>
      <x:c r="M82" s="17" t="str"/>
      <x:c r="N82" s="17" t="str"/>
      <x:c r="O82" s="17" t="str"/>
      <x:c r="P82" s="17" t="str"/>
      <x:c r="Q82" s="17" t="str"/>
    </x:row>
    <x:row r="83" ht="23" customHeight="1">
      <x:c r="A83" s="17" t="str">
        <x:v>P0-082</x:v>
      </x:c>
      <x:c r="B83" s="17" t="str">
        <x:v>82</x:v>
      </x:c>
      <x:c r="C83" s="17" t="str">
        <x:v>M5</x:v>
      </x:c>
      <x:c r="D83" s="17" t="str">
        <x:v>门户内容、SEO 与安全</x:v>
      </x:c>
      <x:c r="E83" s="17" t="str">
        <x:v>公开内容支持草稿、预览、发布、下线和不可覆盖版本；Next.js 公开页输出可抓取 HTML、唯一元数据、canonical、结构化数据、sitemap/robots，并在发布后按 slug 正确失效；登录、预览与企业交易页为 noindex 且禁止公共缓存。富文本、上传、表单、埋点及商务线索满足权限、净化、最小收集和审计要求。</x:v>
      </x:c>
      <x:c r="F83" s="17" t="str">
        <x:v>§8企业门户网站</x:v>
      </x:c>
      <x:c r="G83" s="17" t="str">
        <x:v>M5-P082</x:v>
      </x:c>
      <x:c r="H83" s="17" t="str">
        <x:v>CI_PASS</x:v>
      </x:c>
      <x:c r="I83" s="17" t="str">
        <x:v>NOT_EXECUTED</x:v>
      </x:c>
      <x:c r="J83" s="17" t="str">
        <x:v>TO_BE_CREATED</x:v>
      </x:c>
      <x:c r="K83" s="17" t="str">
        <x:v>MANUAL-082</x:v>
      </x:c>
      <x:c r="L83" s="17" t="str">
        <x:v>公开HTML缺正文；slug失效失败；交易页被索引或公共缓存；草稿泄露；sitemap污染</x:v>
      </x:c>
      <x:c r="M83" s="17" t="str"/>
      <x:c r="N83" s="17" t="str"/>
      <x:c r="O83" s="17" t="str"/>
      <x:c r="P83" s="17" t="str"/>
      <x:c r="Q83" s="17" t="str"/>
    </x:row>
    <x:row r="84" ht="23" customHeight="1">
      <x:c r="A84" s="17" t="str">
        <x:v>P0-083</x:v>
      </x:c>
      <x:c r="B84" s="17" t="str">
        <x:v>83</x:v>
      </x:c>
      <x:c r="C84" s="17" t="str">
        <x:v>M3</x:v>
      </x:c>
      <x:c r="D84" s="17" t="str">
        <x:v>用户小程序定位与入口隔离</x:v>
      </x:c>
      <x:c r="E84" s="17" t="str">
        <x:v>小程序是个人零售入口，游客可浏览、登录后交易；公司是唯一销售/收款/退款/开票/售后主体，页面不出现企业采购交易、供应商后台或跑腿工作台入口。</x:v>
      </x:c>
      <x:c r="F84" s="17" t="str">
        <x:v>§7用户小程序</x:v>
      </x:c>
      <x:c r="G84" s="17" t="str">
        <x:v>M3-P083</x:v>
      </x:c>
      <x:c r="H84" s="17" t="str">
        <x:v>DEVICE_PASS</x:v>
      </x:c>
      <x:c r="I84" s="17" t="str">
        <x:v>NOT_EXECUTED</x:v>
      </x:c>
      <x:c r="J84" s="17" t="str">
        <x:v>TO_BE_CREATED</x:v>
      </x:c>
      <x:c r="K84" s="17" t="str">
        <x:v>MANUAL-083</x:v>
      </x:c>
      <x:c r="L84" s="17" t="str">
        <x:v>越权；重复请求；非法状态；敏感字段泄露；失败恢复（按适用性执行）</x:v>
      </x:c>
      <x:c r="M84" s="17" t="str"/>
      <x:c r="N84" s="17" t="str"/>
      <x:c r="O84" s="17" t="str"/>
      <x:c r="P84" s="17" t="str"/>
      <x:c r="Q84" s="17" t="str"/>
    </x:row>
    <x:row r="85" ht="23" customHeight="1">
      <x:c r="A85" s="17" t="str">
        <x:v>P0-084</x:v>
      </x:c>
      <x:c r="B85" s="17" t="str">
        <x:v>84</x:v>
      </x:c>
      <x:c r="C85" s="17" t="str">
        <x:v>M3</x:v>
      </x:c>
      <x:c r="D85" s="17" t="str">
        <x:v>小程序导航与页面路径</x:v>
      </x:c>
      <x:c r="E85" s="17" t="str">
        <x:v>首页、分类、购物车、我的四个 TabBar 入口及搜索、详情、确认订单、支付结果、订单、售后、福利卡、地址、发票、消息和客服页面路径完整，深链返回和登录回跳正确。</x:v>
      </x:c>
      <x:c r="F85" s="17" t="str">
        <x:v>§7用户小程序</x:v>
      </x:c>
      <x:c r="G85" s="17" t="str">
        <x:v>M3-P084</x:v>
      </x:c>
      <x:c r="H85" s="17" t="str">
        <x:v>DEVICE_PASS</x:v>
      </x:c>
      <x:c r="I85" s="17" t="str">
        <x:v>NOT_EXECUTED</x:v>
      </x:c>
      <x:c r="J85" s="17" t="str">
        <x:v>TO_BE_CREATED</x:v>
      </x:c>
      <x:c r="K85" s="17" t="str">
        <x:v>MANUAL-084</x:v>
      </x:c>
      <x:c r="L85" s="17" t="str">
        <x:v>越权；重复请求；非法状态；敏感字段泄露；失败恢复（按适用性执行）</x:v>
      </x:c>
      <x:c r="M85" s="17" t="str"/>
      <x:c r="N85" s="17" t="str"/>
      <x:c r="O85" s="17" t="str"/>
      <x:c r="P85" s="17" t="str"/>
      <x:c r="Q85" s="17" t="str"/>
    </x:row>
    <x:row r="86" ht="23" customHeight="1">
      <x:c r="A86" s="17" t="str">
        <x:v>P0-085</x:v>
      </x:c>
      <x:c r="B86" s="17" t="str">
        <x:v>85</x:v>
      </x:c>
      <x:c r="C86" s="17" t="str">
        <x:v>M3</x:v>
      </x:c>
      <x:c r="D86" s="17" t="str">
        <x:v>按需登录与授权</x:v>
      </x:c>
      <x:c r="E86" s="17" t="str">
        <x:v>启动不强制手机号、定位或订阅消息授权；受保护操作再登录并说明用途，拒绝授权仍可游客浏览；服务端以微信身份绑定 userId，前端不能指定他人身份。</x:v>
      </x:c>
      <x:c r="F86" s="17" t="str">
        <x:v>§7用户小程序</x:v>
      </x:c>
      <x:c r="G86" s="17" t="str">
        <x:v>M3-P085</x:v>
      </x:c>
      <x:c r="H86" s="17" t="str">
        <x:v>DEVICE_PASS</x:v>
      </x:c>
      <x:c r="I86" s="17" t="str">
        <x:v>NOT_EXECUTED</x:v>
      </x:c>
      <x:c r="J86" s="17" t="str">
        <x:v>TO_BE_CREATED</x:v>
      </x:c>
      <x:c r="K86" s="17" t="str">
        <x:v>MANUAL-085</x:v>
      </x:c>
      <x:c r="L86" s="17" t="str">
        <x:v>越权；重复请求；非法状态；敏感字段泄露；失败恢复（按适用性执行）</x:v>
      </x:c>
      <x:c r="M86" s="17" t="str"/>
      <x:c r="N86" s="17" t="str"/>
      <x:c r="O86" s="17" t="str"/>
      <x:c r="P86" s="17" t="str"/>
      <x:c r="Q86" s="17" t="str"/>
    </x:row>
    <x:row r="87" ht="23" customHeight="1">
      <x:c r="A87" s="17" t="str">
        <x:v>P0-086</x:v>
      </x:c>
      <x:c r="B87" s="17" t="str">
        <x:v>86</x:v>
      </x:c>
      <x:c r="C87" s="17" t="str">
        <x:v>M3</x:v>
      </x:c>
      <x:c r="D87" s="17" t="str">
        <x:v>小程序首页</x:v>
      </x:c>
      <x:c r="E87" s="17" t="str">
        <x:v>收货区域、搜索、运营位、快捷分类、福利专区、主题商品、推荐/继续购买和服务保障完整；运营内容有有效期与落地页白名单，切换区域后重新校验但不直接清空购物车。</x:v>
      </x:c>
      <x:c r="F87" s="17" t="str">
        <x:v>§7用户小程序</x:v>
      </x:c>
      <x:c r="G87" s="17" t="str">
        <x:v>M3-P086</x:v>
      </x:c>
      <x:c r="H87" s="17" t="str">
        <x:v>DEVICE_PASS</x:v>
      </x:c>
      <x:c r="I87" s="17" t="str">
        <x:v>NOT_EXECUTED</x:v>
      </x:c>
      <x:c r="J87" s="17" t="str">
        <x:v>TO_BE_CREATED</x:v>
      </x:c>
      <x:c r="K87" s="17" t="str">
        <x:v>MANUAL-086</x:v>
      </x:c>
      <x:c r="L87" s="17" t="str">
        <x:v>越权；重复请求；非法状态；敏感字段泄露；失败恢复（按适用性执行）</x:v>
      </x:c>
      <x:c r="M87" s="17" t="str"/>
      <x:c r="N87" s="17" t="str"/>
      <x:c r="O87" s="17" t="str"/>
      <x:c r="P87" s="17" t="str"/>
      <x:c r="Q87" s="17" t="str"/>
    </x:row>
    <x:row r="88" ht="23" customHeight="1">
      <x:c r="A88" s="17" t="str">
        <x:v>P0-087</x:v>
      </x:c>
      <x:c r="B88" s="17" t="str">
        <x:v>87</x:v>
      </x:c>
      <x:c r="C88" s="17" t="str">
        <x:v>M3</x:v>
      </x:c>
      <x:c r="D88" s="17" t="str">
        <x:v>分类、搜索与列表</x:v>
      </x:c>
      <x:c r="E88" s="17" t="str">
        <x:v>启用分类树、搜索建议、模板属性筛选、排序、稳定分页和状态恢复完整；只返回个人渠道可售商品和平台零售价，无结果、下架、售罄及区域不可售均可理解并可恢复。</x:v>
      </x:c>
      <x:c r="F88" s="17" t="str">
        <x:v>§7用户小程序</x:v>
      </x:c>
      <x:c r="G88" s="17" t="str">
        <x:v>M3-P087</x:v>
      </x:c>
      <x:c r="H88" s="17" t="str">
        <x:v>DEVICE_PASS</x:v>
      </x:c>
      <x:c r="I88" s="17" t="str">
        <x:v>NOT_EXECUTED</x:v>
      </x:c>
      <x:c r="J88" s="17" t="str">
        <x:v>TO_BE_CREATED</x:v>
      </x:c>
      <x:c r="K88" s="17" t="str">
        <x:v>MANUAL-087</x:v>
      </x:c>
      <x:c r="L88" s="17" t="str">
        <x:v>越权；重复请求；非法状态；敏感字段泄露；失败恢复（按适用性执行）</x:v>
      </x:c>
      <x:c r="M88" s="17" t="str"/>
      <x:c r="N88" s="17" t="str"/>
      <x:c r="O88" s="17" t="str"/>
      <x:c r="P88" s="17" t="str"/>
      <x:c r="Q88" s="17" t="str"/>
    </x:row>
    <x:row r="89" ht="23" customHeight="1">
      <x:c r="A89" s="17" t="str">
        <x:v>P0-088</x:v>
      </x:c>
      <x:c r="B89" s="17" t="str">
        <x:v>88</x:v>
      </x:c>
      <x:c r="C89" s="17" t="str">
        <x:v>M3</x:v>
      </x:c>
      <x:c r="D89" s="17" t="str">
        <x:v>模板化商品详情</x:v>
      </x:c>
      <x:c r="E89" s="17" t="str">
        <x:v>商品媒体、标题、平台零售价、SKU、福利卡适用、库存、配送、售后、分类模板模块、供应来源和底部操作完整；不同分类按模板版本展示且历史订单快照不被升级改写。</x:v>
      </x:c>
      <x:c r="F89" s="17" t="str">
        <x:v>§7用户小程序</x:v>
      </x:c>
      <x:c r="G89" s="17" t="str">
        <x:v>M3-P088</x:v>
      </x:c>
      <x:c r="H89" s="17" t="str">
        <x:v>DEVICE_PASS</x:v>
      </x:c>
      <x:c r="I89" s="17" t="str">
        <x:v>NOT_EXECUTED</x:v>
      </x:c>
      <x:c r="J89" s="17" t="str">
        <x:v>TO_BE_CREATED</x:v>
      </x:c>
      <x:c r="K89" s="17" t="str">
        <x:v>MANUAL-088</x:v>
      </x:c>
      <x:c r="L89" s="17" t="str">
        <x:v>越权；重复请求；非法状态；敏感字段泄露；失败恢复（按适用性执行）</x:v>
      </x:c>
      <x:c r="M89" s="17" t="str"/>
      <x:c r="N89" s="17" t="str"/>
      <x:c r="O89" s="17" t="str"/>
      <x:c r="P89" s="17" t="str"/>
      <x:c r="Q89" s="17" t="str"/>
    </x:row>
    <x:row r="90" ht="23" customHeight="1">
      <x:c r="A90" s="17" t="str">
        <x:v>P0-089</x:v>
      </x:c>
      <x:c r="B90" s="17" t="str">
        <x:v>89</x:v>
      </x:c>
      <x:c r="C90" s="17" t="str">
        <x:v>M3</x:v>
      </x:c>
      <x:c r="D90" s="17" t="str">
        <x:v>看他还卖什么边界</x:v>
      </x:c>
      <x:c r="E90" s="17" t="str">
        <x:v>按当前 supplierId 返回公司已审核上架且个人可售的 Product/Sku，继续使用公司货架、价格、购物车、协议和客服；不存在供应商店铺、装修、评分、联系方式、独立售后或独立付款。</x:v>
      </x:c>
      <x:c r="F90" s="17" t="str">
        <x:v>§7用户小程序</x:v>
      </x:c>
      <x:c r="G90" s="17" t="str">
        <x:v>M3-P089</x:v>
      </x:c>
      <x:c r="H90" s="17" t="str">
        <x:v>DEVICE_PASS</x:v>
      </x:c>
      <x:c r="I90" s="17" t="str">
        <x:v>NOT_EXECUTED</x:v>
      </x:c>
      <x:c r="J90" s="17" t="str">
        <x:v>TO_BE_CREATED</x:v>
      </x:c>
      <x:c r="K90" s="17" t="str">
        <x:v>MANUAL-089</x:v>
      </x:c>
      <x:c r="L90" s="17" t="str">
        <x:v>越权；重复请求；非法状态；敏感字段泄露；失败恢复（按适用性执行）</x:v>
      </x:c>
      <x:c r="M90" s="17" t="str"/>
      <x:c r="N90" s="17" t="str"/>
      <x:c r="O90" s="17" t="str"/>
      <x:c r="P90" s="17" t="str"/>
      <x:c r="Q90" s="17" t="str"/>
    </x:row>
    <x:row r="91" ht="23" customHeight="1">
      <x:c r="A91" s="17" t="str">
        <x:v>P0-090</x:v>
      </x:c>
      <x:c r="B91" s="17" t="str">
        <x:v>90</x:v>
      </x:c>
      <x:c r="C91" s="17" t="str">
        <x:v>M3</x:v>
      </x:c>
      <x:c r="D91" s="17" t="str">
        <x:v>跨供应商购物车</x:v>
      </x:c>
      <x:c r="E91" s="17" t="str">
        <x:v>至少三个供应商商品可按供应来源分组选择、改数量、处理失效项并一次进入结算；前端不按供应商多次创建订单或多次付款，分组仅用于备货和配送说明。</x:v>
      </x:c>
      <x:c r="F91" s="17" t="str">
        <x:v>§7用户小程序</x:v>
      </x:c>
      <x:c r="G91" s="17" t="str">
        <x:v>M3-P090</x:v>
      </x:c>
      <x:c r="H91" s="17" t="str">
        <x:v>DEVICE_PASS</x:v>
      </x:c>
      <x:c r="I91" s="17" t="str">
        <x:v>NOT_EXECUTED</x:v>
      </x:c>
      <x:c r="J91" s="17" t="str">
        <x:v>TO_BE_CREATED</x:v>
      </x:c>
      <x:c r="K91" s="17" t="str">
        <x:v>MANUAL-090</x:v>
      </x:c>
      <x:c r="L91" s="17" t="str">
        <x:v>越权；重复请求；非法状态；敏感字段泄露；失败恢复（按适用性执行）</x:v>
      </x:c>
      <x:c r="M91" s="17" t="str"/>
      <x:c r="N91" s="17" t="str"/>
      <x:c r="O91" s="17" t="str"/>
      <x:c r="P91" s="17" t="str"/>
      <x:c r="Q91" s="17" t="str"/>
    </x:row>
    <x:row r="92" ht="23" customHeight="1">
      <x:c r="A92" s="17" t="str">
        <x:v>P0-091</x:v>
      </x:c>
      <x:c r="B92" s="17" t="str">
        <x:v>91</x:v>
      </x:c>
      <x:c r="C92" s="17" t="str">
        <x:v>M3</x:v>
      </x:c>
      <x:c r="D92" s="17" t="str">
        <x:v>确认订单界面</x:v>
      </x:c>
      <x:c r="E92" s="17" t="str">
        <x:v>地址、商品分组、配送费、优惠、福利卡、微信支付应付、发票、备注、协议和金额明细完整；现金应付大于零时固定显示微信支付，不展示其他支付渠道；服务端统一试算并逐项提示价格、库存、区域、限购和配送变化。</x:v>
      </x:c>
      <x:c r="F92" s="17" t="str">
        <x:v>§7用户小程序</x:v>
      </x:c>
      <x:c r="G92" s="17" t="str">
        <x:v>M3-P091</x:v>
      </x:c>
      <x:c r="H92" s="17" t="str">
        <x:v>DEVICE_PASS</x:v>
      </x:c>
      <x:c r="I92" s="17" t="str">
        <x:v>NOT_EXECUTED</x:v>
      </x:c>
      <x:c r="J92" s="17" t="str">
        <x:v>TO_BE_CREATED</x:v>
      </x:c>
      <x:c r="K92" s="17" t="str">
        <x:v>MANUAL-091</x:v>
      </x:c>
      <x:c r="L92" s="17" t="str">
        <x:v>越权；重复请求；非法状态；敏感字段泄露；失败恢复（按适用性执行）</x:v>
      </x:c>
      <x:c r="M92" s="17" t="str"/>
      <x:c r="N92" s="17" t="str"/>
      <x:c r="O92" s="17" t="str"/>
      <x:c r="P92" s="17" t="str"/>
      <x:c r="Q92" s="17" t="str"/>
    </x:row>
    <x:row r="93" ht="23" customHeight="1">
      <x:c r="A93" s="17" t="str">
        <x:v>P0-092</x:v>
      </x:c>
      <x:c r="B93" s="17" t="str">
        <x:v>92</x:v>
      </x:c>
      <x:c r="C93" s="17" t="str">
        <x:v>M3</x:v>
      </x:c>
      <x:c r="D93" s="17" t="str">
        <x:v>福利卡账户选择</x:v>
      </x:c>
      <x:c r="E93" s="17" t="str">
        <x:v>结算页只显示当前订单可用账户，P0 选择一个账户或不使用；系统自动按可用余额与可抵扣金额的较小值最大抵扣，不要求手填金额，适用与不可用商品说明一致。</x:v>
      </x:c>
      <x:c r="F93" s="17" t="str">
        <x:v>§7用户小程序</x:v>
      </x:c>
      <x:c r="G93" s="17" t="str">
        <x:v>M3-P092</x:v>
      </x:c>
      <x:c r="H93" s="17" t="str">
        <x:v>DEVICE_PASS</x:v>
      </x:c>
      <x:c r="I93" s="17" t="str">
        <x:v>NOT_EXECUTED</x:v>
      </x:c>
      <x:c r="J93" s="17" t="str">
        <x:v>TO_BE_CREATED</x:v>
      </x:c>
      <x:c r="K93" s="17" t="str">
        <x:v>MANUAL-092</x:v>
      </x:c>
      <x:c r="L93" s="17" t="str">
        <x:v>越权；重复请求；非法状态；敏感字段泄露；失败恢复（按适用性执行）</x:v>
      </x:c>
      <x:c r="M93" s="17" t="str"/>
      <x:c r="N93" s="17" t="str"/>
      <x:c r="O93" s="17" t="str"/>
      <x:c r="P93" s="17" t="str"/>
      <x:c r="Q93" s="17" t="str"/>
    </x:row>
    <x:row r="94" ht="23" customHeight="1">
      <x:c r="A94" s="17" t="str">
        <x:v>P0-093</x:v>
      </x:c>
      <x:c r="B94" s="17" t="str">
        <x:v>93</x:v>
      </x:c>
      <x:c r="C94" s="17" t="str">
        <x:v>M3</x:v>
      </x:c>
      <x:c r="D94" s="17" t="str">
        <x:v>微信支付与结果恢复</x:v>
      </x:c>
      <x:c r="E94" s="17" t="str">
        <x:v>纯微信支付、福利卡全额和福利卡＋微信支付均只形成一次公司结账；结果页查询服务端微信支付真实状态，取消/失败/未知状态正确冻结或释放福利卡与库存，退出或断网后可恢复且不重复扣款。</x:v>
      </x:c>
      <x:c r="F94" s="17" t="str">
        <x:v>§7用户小程序</x:v>
      </x:c>
      <x:c r="G94" s="17" t="str">
        <x:v>M3-P093</x:v>
      </x:c>
      <x:c r="H94" s="17" t="str">
        <x:v>DEVICE_PASS</x:v>
      </x:c>
      <x:c r="I94" s="17" t="str">
        <x:v>NOT_EXECUTED</x:v>
      </x:c>
      <x:c r="J94" s="17" t="str">
        <x:v>TO_BE_CREATED</x:v>
      </x:c>
      <x:c r="K94" s="17" t="str">
        <x:v>MANUAL-093</x:v>
      </x:c>
      <x:c r="L94" s="17" t="str">
        <x:v>越权；重复请求；非法状态；敏感字段泄露；失败恢复（按适用性执行）</x:v>
      </x:c>
      <x:c r="M94" s="17" t="str"/>
      <x:c r="N94" s="17" t="str"/>
      <x:c r="O94" s="17" t="str"/>
      <x:c r="P94" s="17" t="str"/>
      <x:c r="Q94" s="17" t="str"/>
    </x:row>
    <x:row r="95" ht="23" customHeight="1">
      <x:c r="A95" s="17" t="str">
        <x:v>P0-094</x:v>
      </x:c>
      <x:c r="B95" s="17" t="str">
        <x:v>94</x:v>
      </x:c>
      <x:c r="C95" s="17" t="str">
        <x:v>M3</x:v>
      </x:c>
      <x:c r="D95" s="17" t="str">
        <x:v>个人订单界面</x:v>
      </x:c>
      <x:c r="E95" s="17" t="str">
        <x:v>订单列表和详情同时表达一个公司主订单、一次支付、多个供应商履约子单、福利卡/微信支付结构、发票和售后；用户端不返回供应价、供应商应付、跑腿报酬或内部备注。</x:v>
      </x:c>
      <x:c r="F95" s="17" t="str">
        <x:v>§7用户小程序</x:v>
      </x:c>
      <x:c r="G95" s="17" t="str">
        <x:v>M3-P094</x:v>
      </x:c>
      <x:c r="H95" s="17" t="str">
        <x:v>DEVICE_PASS</x:v>
      </x:c>
      <x:c r="I95" s="17" t="str">
        <x:v>NOT_EXECUTED</x:v>
      </x:c>
      <x:c r="J95" s="17" t="str">
        <x:v>TO_BE_CREATED</x:v>
      </x:c>
      <x:c r="K95" s="17" t="str">
        <x:v>MANUAL-094</x:v>
      </x:c>
      <x:c r="L95" s="17" t="str">
        <x:v>越权；重复请求；非法状态；敏感字段泄露；失败恢复（按适用性执行）</x:v>
      </x:c>
      <x:c r="M95" s="17" t="str"/>
      <x:c r="N95" s="17" t="str"/>
      <x:c r="O95" s="17" t="str"/>
      <x:c r="P95" s="17" t="str"/>
      <x:c r="Q95" s="17" t="str"/>
    </x:row>
    <x:row r="96" ht="23" customHeight="1">
      <x:c r="A96" s="17" t="str">
        <x:v>P0-095</x:v>
      </x:c>
      <x:c r="B96" s="17" t="str">
        <x:v>95</x:v>
      </x:c>
      <x:c r="C96" s="17" t="str">
        <x:v>M4</x:v>
      </x:c>
      <x:c r="D96" s="17" t="str">
        <x:v>个人多配送卡</x:v>
      </x:c>
      <x:c r="E96" s="17" t="str">
        <x:v>同一主订单的每个个人供应商子单可展示独立跑腿配送卡与顺序节点，支持多个跑腿员、分批送达、异常和分项收货；单个子单送达不误标整单送达。</x:v>
      </x:c>
      <x:c r="F96" s="17" t="str">
        <x:v>§10个人跑腿与企业统一配送</x:v>
      </x:c>
      <x:c r="G96" s="17" t="str">
        <x:v>M4-P095</x:v>
      </x:c>
      <x:c r="H96" s="17" t="str">
        <x:v>DEVICE_PASS</x:v>
      </x:c>
      <x:c r="I96" s="17" t="str">
        <x:v>NOT_EXECUTED</x:v>
      </x:c>
      <x:c r="J96" s="17" t="str">
        <x:v>TO_BE_CREATED</x:v>
      </x:c>
      <x:c r="K96" s="17" t="str">
        <x:v>MANUAL-095</x:v>
      </x:c>
      <x:c r="L96" s="17" t="str">
        <x:v>越权；重复请求；非法状态；敏感字段泄露；失败恢复（按适用性执行）</x:v>
      </x:c>
      <x:c r="M96" s="17" t="str"/>
      <x:c r="N96" s="17" t="str"/>
      <x:c r="O96" s="17" t="str"/>
      <x:c r="P96" s="17" t="str"/>
      <x:c r="Q96" s="17" t="str"/>
    </x:row>
    <x:row r="97" ht="23" customHeight="1">
      <x:c r="A97" s="17" t="str">
        <x:v>P0-096</x:v>
      </x:c>
      <x:c r="B97" s="17" t="str">
        <x:v>96</x:v>
      </x:c>
      <x:c r="C97" s="17" t="str">
        <x:v>M3</x:v>
      </x:c>
      <x:c r="D97" s="17" t="str">
        <x:v>小程序售后退款</x:v>
      </x:c>
      <x:c r="E97" s="17" t="str">
        <x:v>支持按商品/子单申请、动态原因与凭证、补证、处理时间线、退货说明、客服申诉和部分退款；公司统一受理，福利卡与微信支付严格按原 OrderPaymentAllocation 退回。</x:v>
      </x:c>
      <x:c r="F97" s="17" t="str">
        <x:v>§7用户小程序</x:v>
      </x:c>
      <x:c r="G97" s="17" t="str">
        <x:v>M3-P096</x:v>
      </x:c>
      <x:c r="H97" s="17" t="str">
        <x:v>DEVICE_PASS</x:v>
      </x:c>
      <x:c r="I97" s="17" t="str">
        <x:v>NOT_EXECUTED</x:v>
      </x:c>
      <x:c r="J97" s="17" t="str">
        <x:v>TO_BE_CREATED</x:v>
      </x:c>
      <x:c r="K97" s="17" t="str">
        <x:v>MANUAL-096</x:v>
      </x:c>
      <x:c r="L97" s="17" t="str">
        <x:v>越权；重复请求；非法状态；敏感字段泄露；失败恢复（按适用性执行）</x:v>
      </x:c>
      <x:c r="M97" s="17" t="str"/>
      <x:c r="N97" s="17" t="str"/>
      <x:c r="O97" s="17" t="str"/>
      <x:c r="P97" s="17" t="str"/>
      <x:c r="Q97" s="17" t="str"/>
    </x:row>
    <x:row r="98" ht="23" customHeight="1">
      <x:c r="A98" s="17" t="str">
        <x:v>P0-097</x:v>
      </x:c>
      <x:c r="B98" s="17" t="str">
        <x:v>97</x:v>
      </x:c>
      <x:c r="C98" s="17" t="str">
        <x:v>M3</x:v>
      </x:c>
      <x:c r="D98" s="17" t="str">
        <x:v>福利卡与个人中心</x:v>
      </x:c>
      <x:c r="E98" s="17" t="str">
        <x:v>福利卡账户/绑定/流水、地址、发票资料、消息、客服、协议、隐私授权、账号安全和注销入口完整；卡码兑换幂等、敏感字段脱敏、订阅拒绝不影响交易。</x:v>
      </x:c>
      <x:c r="F98" s="17" t="str">
        <x:v>§7用户小程序</x:v>
      </x:c>
      <x:c r="G98" s="17" t="str">
        <x:v>M3-P097</x:v>
      </x:c>
      <x:c r="H98" s="17" t="str">
        <x:v>DEVICE_PASS</x:v>
      </x:c>
      <x:c r="I98" s="17" t="str">
        <x:v>NOT_EXECUTED</x:v>
      </x:c>
      <x:c r="J98" s="17" t="str">
        <x:v>TO_BE_CREATED</x:v>
      </x:c>
      <x:c r="K98" s="17" t="str">
        <x:v>MANUAL-097</x:v>
      </x:c>
      <x:c r="L98" s="17" t="str">
        <x:v>越权；重复请求；非法状态；敏感字段泄露；失败恢复（按适用性执行）</x:v>
      </x:c>
      <x:c r="M98" s="17" t="str"/>
      <x:c r="N98" s="17" t="str"/>
      <x:c r="O98" s="17" t="str"/>
      <x:c r="P98" s="17" t="str"/>
      <x:c r="Q98" s="17" t="str"/>
    </x:row>
    <x:row r="99" ht="23" customHeight="1">
      <x:c r="A99" s="17" t="str">
        <x:v>P0-098</x:v>
      </x:c>
      <x:c r="B99" s="17" t="str">
        <x:v>98</x:v>
      </x:c>
      <x:c r="C99" s="17" t="str">
        <x:v>M3</x:v>
      </x:c>
      <x:c r="D99" s="17" t="str">
        <x:v>小程序质量与安全</x:v>
      </x:c>
      <x:c r="E99" s="17" t="str">
        <x:v>骨架、空态、失败、离线、登录失效、对象下架、支付未知、上传失败、分包、图片懒加载、弱网恢复、字号放大、对象级权限、分享安全和最小化埋点均通过验收；任何接口、日志、缓存或埋点均不泄露供应价及个人敏感数据。</x:v>
      </x:c>
      <x:c r="F99" s="17" t="str">
        <x:v>§7用户小程序</x:v>
      </x:c>
      <x:c r="G99" s="17" t="str">
        <x:v>M3-P098</x:v>
      </x:c>
      <x:c r="H99" s="17" t="str">
        <x:v>DEVICE_PASS</x:v>
      </x:c>
      <x:c r="I99" s="17" t="str">
        <x:v>NOT_EXECUTED</x:v>
      </x:c>
      <x:c r="J99" s="17" t="str">
        <x:v>TO_BE_CREATED</x:v>
      </x:c>
      <x:c r="K99" s="17" t="str">
        <x:v>MANUAL-098</x:v>
      </x:c>
      <x:c r="L99" s="17" t="str">
        <x:v>越权；重复请求；非法状态；敏感字段泄露；失败恢复（按适用性执行）</x:v>
      </x:c>
      <x:c r="M99" s="17" t="str"/>
      <x:c r="N99" s="17" t="str"/>
      <x:c r="O99" s="17" t="str"/>
      <x:c r="P99" s="17" t="str"/>
      <x:c r="Q99" s="17" t="str"/>
    </x:row>
    <x:row r="100" ht="23" customHeight="1">
      <x:c r="A100" s="17" t="str">
        <x:v>P0-099</x:v>
      </x:c>
      <x:c r="B100" s="17" t="str">
        <x:v>99</x:v>
      </x:c>
      <x:c r="C100" s="17" t="str">
        <x:v>M4</x:v>
      </x:c>
      <x:c r="D100" s="17" t="str">
        <x:v>双配送链路隔离</x:v>
      </x:c>
      <x:c r="E100" s="17" t="str">
        <x:v>个人零售子单只能生成 RETAIL_RUNNER DeliveryTask 并进入跑腿小程序；企业采购子单只能汇总进入 EnterpriseDeliveryOrder。两套接口、会话、通知、状态和数据权限互相拒绝。</x:v>
      </x:c>
      <x:c r="F100" s="17" t="str">
        <x:v>§10个人跑腿与企业统一配送</x:v>
      </x:c>
      <x:c r="G100" s="17" t="str">
        <x:v>M4-P099</x:v>
      </x:c>
      <x:c r="H100" s="17" t="str">
        <x:v>CI_PASS</x:v>
      </x:c>
      <x:c r="I100" s="17" t="str">
        <x:v>NOT_EXECUTED</x:v>
      </x:c>
      <x:c r="J100" s="17" t="str">
        <x:v>TO_BE_CREATED</x:v>
      </x:c>
      <x:c r="K100" s="17" t="str">
        <x:v>N/A</x:v>
      </x:c>
      <x:c r="L100" s="17" t="str">
        <x:v>越权；重复请求；非法状态；敏感字段泄露；失败恢复（按适用性执行）</x:v>
      </x:c>
      <x:c r="M100" s="17" t="str"/>
      <x:c r="N100" s="17" t="str"/>
      <x:c r="O100" s="17" t="str"/>
      <x:c r="P100" s="17" t="str"/>
      <x:c r="Q100" s="17" t="str"/>
    </x:row>
    <x:row r="101" ht="23" customHeight="1">
      <x:c r="A101" s="17" t="str">
        <x:v>P0-100</x:v>
      </x:c>
      <x:c r="B101" s="17" t="str">
        <x:v>100</x:v>
      </x:c>
      <x:c r="C101" s="17" t="str">
        <x:v>M4</x:v>
      </x:c>
      <x:c r="D101" s="17" t="str">
        <x:v>跑腿员注册与审核</x:v>
      </x:c>
      <x:c r="E101" s="17" t="str">
        <x:v>手机号验证、规则/隐私说明、申请资料、服务区域、草稿/待审/补正/通过/驳回及申诉页面完整；审核通过并启用前不能上线、查看大厅或抢单。</x:v>
      </x:c>
      <x:c r="F101" s="17" t="str">
        <x:v>§10个人跑腿与企业统一配送</x:v>
      </x:c>
      <x:c r="G101" s="17" t="str">
        <x:v>M4-P100</x:v>
      </x:c>
      <x:c r="H101" s="17" t="str">
        <x:v>DEVICE_PASS</x:v>
      </x:c>
      <x:c r="I101" s="17" t="str">
        <x:v>NOT_EXECUTED</x:v>
      </x:c>
      <x:c r="J101" s="17" t="str">
        <x:v>TO_BE_CREATED</x:v>
      </x:c>
      <x:c r="K101" s="17" t="str">
        <x:v>MANUAL-100</x:v>
      </x:c>
      <x:c r="L101" s="17" t="str">
        <x:v>越权；重复请求；非法状态；敏感字段泄露；失败恢复（按适用性执行）</x:v>
      </x:c>
      <x:c r="M101" s="17" t="str"/>
      <x:c r="N101" s="17" t="str"/>
      <x:c r="O101" s="17" t="str"/>
      <x:c r="P101" s="17" t="str"/>
      <x:c r="Q101" s="17" t="str"/>
    </x:row>
    <x:row r="102" ht="23" customHeight="1">
      <x:c r="A102" s="17" t="str">
        <x:v>P0-101</x:v>
      </x:c>
      <x:c r="B102" s="17" t="str">
        <x:v>101</x:v>
      </x:c>
      <x:c r="C102" s="17" t="str">
        <x:v>M4</x:v>
      </x:c>
      <x:c r="D102" s="17" t="str">
        <x:v>跑腿小程序独立入口</x:v>
      </x:c>
      <x:c r="E102" s="17" t="str">
        <x:v>跑腿应用独立于用户小程序，提供登录申请、配送首页、大厅、我的任务、任务详情、异常、记录和我的页面，以及大厅/任务/记录/我的四项 TabBar；不复用其他端会话。</x:v>
      </x:c>
      <x:c r="F102" s="17" t="str">
        <x:v>§10个人跑腿与企业统一配送</x:v>
      </x:c>
      <x:c r="G102" s="17" t="str">
        <x:v>M4-P101</x:v>
      </x:c>
      <x:c r="H102" s="17" t="str">
        <x:v>DEVICE_PASS</x:v>
      </x:c>
      <x:c r="I102" s="17" t="str">
        <x:v>NOT_EXECUTED</x:v>
      </x:c>
      <x:c r="J102" s="17" t="str">
        <x:v>TO_BE_CREATED</x:v>
      </x:c>
      <x:c r="K102" s="17" t="str">
        <x:v>MANUAL-101</x:v>
      </x:c>
      <x:c r="L102" s="17" t="str">
        <x:v>越权；重复请求；非法状态；敏感字段泄露；失败恢复（按适用性执行）</x:v>
      </x:c>
      <x:c r="M102" s="17" t="str"/>
      <x:c r="N102" s="17" t="str"/>
      <x:c r="O102" s="17" t="str"/>
      <x:c r="P102" s="17" t="str"/>
      <x:c r="Q102" s="17" t="str"/>
    </x:row>
    <x:row r="103" ht="23" customHeight="1">
      <x:c r="A103" s="17" t="str">
        <x:v>P0-102</x:v>
      </x:c>
      <x:c r="B103" s="17" t="str">
        <x:v>102</x:v>
      </x:c>
      <x:c r="C103" s="17" t="str">
        <x:v>M4</x:v>
      </x:c>
      <x:c r="D103" s="17" t="str">
        <x:v>个人任务幂等生成与投放</x:v>
      </x:c>
      <x:c r="E103" s="17" t="str">
        <x:v>个人订单支付成功后按供应商子单幂等创建一个 DeliveryTask，供应商确认可取且子单有效后才进入 PENDING_HALL；重复回调不重复创建，取消/退款锁定任务不可抢。</x:v>
      </x:c>
      <x:c r="F103" s="17" t="str">
        <x:v>§10个人跑腿与企业统一配送</x:v>
      </x:c>
      <x:c r="G103" s="17" t="str">
        <x:v>M4-P102</x:v>
      </x:c>
      <x:c r="H103" s="17" t="str">
        <x:v>DEVICE_PASS</x:v>
      </x:c>
      <x:c r="I103" s="17" t="str">
        <x:v>NOT_EXECUTED</x:v>
      </x:c>
      <x:c r="J103" s="17" t="str">
        <x:v>TO_BE_CREATED</x:v>
      </x:c>
      <x:c r="K103" s="17" t="str">
        <x:v>MANUAL-102</x:v>
      </x:c>
      <x:c r="L103" s="17" t="str">
        <x:v>越权；重复请求；非法状态；敏感字段泄露；失败恢复（按适用性执行）</x:v>
      </x:c>
      <x:c r="M103" s="17" t="str"/>
      <x:c r="N103" s="17" t="str"/>
      <x:c r="O103" s="17" t="str"/>
      <x:c r="P103" s="17" t="str"/>
      <x:c r="Q103" s="17" t="str"/>
    </x:row>
    <x:row r="104" ht="23" customHeight="1">
      <x:c r="A104" s="17" t="str">
        <x:v>P0-103</x:v>
      </x:c>
      <x:c r="B104" s="17" t="str">
        <x:v>103</x:v>
      </x:c>
      <x:c r="C104" s="17" t="str">
        <x:v>M4</x:v>
      </x:c>
      <x:c r="D104" s="17" t="str">
        <x:v>上线与大厅可见性</x:v>
      </x:c>
      <x:c r="E104" s="17" t="str">
        <x:v>只有启用、资料有效、在线、服务区域匹配且未超在途上限的跑腿员可见可抢任务；下线仅停止新任务，不能隐藏或撤销已接任务。</x:v>
      </x:c>
      <x:c r="F104" s="17" t="str">
        <x:v>§10个人跑腿与企业统一配送</x:v>
      </x:c>
      <x:c r="G104" s="17" t="str">
        <x:v>M4-P103</x:v>
      </x:c>
      <x:c r="H104" s="17" t="str">
        <x:v>DEVICE_PASS</x:v>
      </x:c>
      <x:c r="I104" s="17" t="str">
        <x:v>NOT_EXECUTED</x:v>
      </x:c>
      <x:c r="J104" s="17" t="str">
        <x:v>TO_BE_CREATED</x:v>
      </x:c>
      <x:c r="K104" s="17" t="str">
        <x:v>MANUAL-103</x:v>
      </x:c>
      <x:c r="L104" s="17" t="str">
        <x:v>越权；重复请求；非法状态；敏感字段泄露；失败恢复（按适用性执行）</x:v>
      </x:c>
      <x:c r="M104" s="17" t="str"/>
      <x:c r="N104" s="17" t="str"/>
      <x:c r="O104" s="17" t="str"/>
      <x:c r="P104" s="17" t="str"/>
      <x:c r="Q104" s="17" t="str"/>
    </x:row>
    <x:row r="105" ht="23" customHeight="1">
      <x:c r="A105" s="17" t="str">
        <x:v>P0-104</x:v>
      </x:c>
      <x:c r="B105" s="17" t="str">
        <x:v>104</x:v>
      </x:c>
      <x:c r="C105" s="17" t="str">
        <x:v>M4</x:v>
      </x:c>
      <x:c r="D105" s="17" t="str">
        <x:v>大厅隐私摘要</x:v>
      </x:c>
      <x:c r="E105" s="17" t="str">
        <x:v>抢单前只显示取送区域、时间、件数、特殊要求和预计报酬，不显示精确门牌、完整电话、完整商品、价格/支付、供应价、企业订单或其他内部数据。</x:v>
      </x:c>
      <x:c r="F105" s="17" t="str">
        <x:v>§10个人跑腿与企业统一配送</x:v>
      </x:c>
      <x:c r="G105" s="17" t="str">
        <x:v>M4-P104</x:v>
      </x:c>
      <x:c r="H105" s="17" t="str">
        <x:v>DEVICE_PASS</x:v>
      </x:c>
      <x:c r="I105" s="17" t="str">
        <x:v>NOT_EXECUTED</x:v>
      </x:c>
      <x:c r="J105" s="17" t="str">
        <x:v>TO_BE_CREATED</x:v>
      </x:c>
      <x:c r="K105" s="17" t="str">
        <x:v>MANUAL-104</x:v>
      </x:c>
      <x:c r="L105" s="17" t="str">
        <x:v>越权；重复请求；非法状态；敏感字段泄露；失败恢复（按适用性执行）</x:v>
      </x:c>
      <x:c r="M105" s="17" t="str"/>
      <x:c r="N105" s="17" t="str"/>
      <x:c r="O105" s="17" t="str"/>
      <x:c r="P105" s="17" t="str"/>
      <x:c r="Q105" s="17" t="str"/>
    </x:row>
    <x:row r="106" ht="23" customHeight="1">
      <x:c r="A106" s="17" t="str">
        <x:v>P0-105</x:v>
      </x:c>
      <x:c r="B106" s="17" t="str">
        <x:v>105</x:v>
      </x:c>
      <x:c r="C106" s="17" t="str">
        <x:v>M4</x:v>
      </x:c>
      <x:c r="D106" s="17" t="str">
        <x:v>抢单并发与未知结果</x:v>
      </x:c>
      <x:c r="E106" s="17" t="str">
        <x:v>抢单以幂等键和 DeliveryTask.version 乐观锁绑定唯一 runnerId；并发只有一人成功，弱网未知先查询本人任务，任务已抢/取消/区域不符/超限使用不同错误码。</x:v>
      </x:c>
      <x:c r="F106" s="17" t="str">
        <x:v>§10个人跑腿与企业统一配送</x:v>
      </x:c>
      <x:c r="G106" s="17" t="str">
        <x:v>M4-P105</x:v>
      </x:c>
      <x:c r="H106" s="17" t="str">
        <x:v>DEVICE_PASS</x:v>
      </x:c>
      <x:c r="I106" s="17" t="str">
        <x:v>NOT_EXECUTED</x:v>
      </x:c>
      <x:c r="J106" s="17" t="str">
        <x:v>TO_BE_CREATED</x:v>
      </x:c>
      <x:c r="K106" s="17" t="str">
        <x:v>MANUAL-105</x:v>
      </x:c>
      <x:c r="L106" s="17" t="str">
        <x:v>越权；重复请求；非法状态；敏感字段泄露；失败恢复（按适用性执行）</x:v>
      </x:c>
      <x:c r="M106" s="17" t="str"/>
      <x:c r="N106" s="17" t="str"/>
      <x:c r="O106" s="17" t="str"/>
      <x:c r="P106" s="17" t="str"/>
      <x:c r="Q106" s="17" t="str"/>
    </x:row>
    <x:row r="107" ht="23" customHeight="1">
      <x:c r="A107" s="17" t="str">
        <x:v>P0-106</x:v>
      </x:c>
      <x:c r="B107" s="17" t="str">
        <x:v>106</x:v>
      </x:c>
      <x:c r="C107" s="17" t="str">
        <x:v>M4</x:v>
      </x:c>
      <x:c r="D107" s="17" t="str">
        <x:v>跑腿任务详情</x:v>
      </x:c>
      <x:c r="E107" s="17" t="str">
        <x:v>承接成功后同时返回本任务的供应商取货点快照和用户收货目的地快照，以及商品摘要、两个地点的受控联系、当前节点和操作；他人任务、其他供应商子单、企业数据、价格和结算字段均不可访问。</x:v>
      </x:c>
      <x:c r="F107" s="17" t="str">
        <x:v>§10个人跑腿与企业统一配送</x:v>
      </x:c>
      <x:c r="G107" s="17" t="str">
        <x:v>M4-P106</x:v>
      </x:c>
      <x:c r="H107" s="17" t="str">
        <x:v>DEVICE_PASS</x:v>
      </x:c>
      <x:c r="I107" s="17" t="str">
        <x:v>NOT_EXECUTED</x:v>
      </x:c>
      <x:c r="J107" s="17" t="str">
        <x:v>TO_BE_CREATED</x:v>
      </x:c>
      <x:c r="K107" s="17" t="str">
        <x:v>MANUAL-106</x:v>
      </x:c>
      <x:c r="L107" s="17" t="str">
        <x:v>越权；重复请求；非法状态；敏感字段泄露；失败恢复（按适用性执行）</x:v>
      </x:c>
      <x:c r="M107" s="17" t="str"/>
      <x:c r="N107" s="17" t="str"/>
      <x:c r="O107" s="17" t="str"/>
      <x:c r="P107" s="17" t="str"/>
      <x:c r="Q107" s="17" t="str"/>
    </x:row>
    <x:row r="108" ht="23" customHeight="1">
      <x:c r="A108" s="17" t="str">
        <x:v>P0-107</x:v>
      </x:c>
      <x:c r="B108" s="17" t="str">
        <x:v>107</x:v>
      </x:c>
      <x:c r="C108" s="17" t="str">
        <x:v>M4</x:v>
      </x:c>
      <x:c r="D108" s="17" t="str">
        <x:v>跑腿节点状态机</x:v>
      </x:c>
      <x:c r="E108" s="17" t="str">
        <x:v>已抢单、到取货地、取货、配送、到目的地、送达、完成必须按顺序推进；服务端校验 runnerId 和前置状态，每个节点幂等留痕，不能越级、倒退或替他人点击。</x:v>
      </x:c>
      <x:c r="F108" s="17" t="str">
        <x:v>§10个人跑腿与企业统一配送</x:v>
      </x:c>
      <x:c r="G108" s="17" t="str">
        <x:v>M4-P107</x:v>
      </x:c>
      <x:c r="H108" s="17" t="str">
        <x:v>DEVICE_PASS</x:v>
      </x:c>
      <x:c r="I108" s="17" t="str">
        <x:v>NOT_EXECUTED</x:v>
      </x:c>
      <x:c r="J108" s="17" t="str">
        <x:v>TO_BE_CREATED</x:v>
      </x:c>
      <x:c r="K108" s="17" t="str">
        <x:v>MANUAL-107</x:v>
      </x:c>
      <x:c r="L108" s="17" t="str">
        <x:v>越权；重复请求；非法状态；敏感字段泄露；失败恢复（按适用性执行）</x:v>
      </x:c>
      <x:c r="M108" s="17" t="str"/>
      <x:c r="N108" s="17" t="str"/>
      <x:c r="O108" s="17" t="str"/>
      <x:c r="P108" s="17" t="str"/>
      <x:c r="Q108" s="17" t="str"/>
    </x:row>
    <x:row r="109" ht="23" customHeight="1">
      <x:c r="A109" s="17" t="str">
        <x:v>P0-108</x:v>
      </x:c>
      <x:c r="B109" s="17" t="str">
        <x:v>108</x:v>
      </x:c>
      <x:c r="C109" s="17" t="str">
        <x:v>M4</x:v>
      </x:c>
      <x:c r="D109" s="17" t="str">
        <x:v>取货点与目的地双导航</x:v>
      </x:c>
      <x:c r="E109" s="17" t="str">
        <x:v>MAP_PROVIDER=disabled 且禁止 MAP_PROVIDER_KEY；个人任务投放前必须同时具备取货点和目的地名称、地址及坐标。取货前导航到供应商取货点，取货后导航到用户目的地；失败可复制对应地址，导航不回写状态，也不按距离、拥堵、轨迹或时间计算费用。</x:v>
      </x:c>
      <x:c r="F109" s="17" t="str">
        <x:v>§10个人跑腿与企业统一配送</x:v>
      </x:c>
      <x:c r="G109" s="17" t="str">
        <x:v>M4-P108</x:v>
      </x:c>
      <x:c r="H109" s="17" t="str">
        <x:v>DEVICE_PASS</x:v>
      </x:c>
      <x:c r="I109" s="17" t="str">
        <x:v>NOT_EXECUTED</x:v>
      </x:c>
      <x:c r="J109" s="17" t="str">
        <x:v>TO_BE_CREATED</x:v>
      </x:c>
      <x:c r="K109" s="17" t="str">
        <x:v>MANUAL-108</x:v>
      </x:c>
      <x:c r="L109" s="17" t="str">
        <x:v>越权；重复请求；非法状态；敏感字段泄露；失败恢复（按适用性执行）</x:v>
      </x:c>
      <x:c r="M109" s="17" t="str"/>
      <x:c r="N109" s="17" t="str"/>
      <x:c r="O109" s="17" t="str"/>
      <x:c r="P109" s="17" t="str"/>
      <x:c r="Q109" s="17" t="str"/>
    </x:row>
    <x:row r="110" ht="23" customHeight="1">
      <x:c r="A110" s="17" t="str">
        <x:v>P0-109</x:v>
      </x:c>
      <x:c r="B110" s="17" t="str">
        <x:v>109</x:v>
      </x:c>
      <x:c r="C110" s="17" t="str">
        <x:v>M4</x:v>
      </x:c>
      <x:c r="D110" s="17" t="str">
        <x:v>配送异常与取消权限</x:v>
      </x:c>
      <x:c r="E110" s="17" t="str">
        <x:v>未备好、缺货、联系不上、地址错误、无人收货、破损、拒收、网络故障和无法继续均可上报并留证；跑腿员不能取消订单、删除任务、修改退款或私下转派，公司处理结果完整留痕。</x:v>
      </x:c>
      <x:c r="F110" s="17" t="str">
        <x:v>§10个人跑腿与企业统一配送</x:v>
      </x:c>
      <x:c r="G110" s="17" t="str">
        <x:v>M4-P109</x:v>
      </x:c>
      <x:c r="H110" s="17" t="str">
        <x:v>DEVICE_PASS</x:v>
      </x:c>
      <x:c r="I110" s="17" t="str">
        <x:v>NOT_EXECUTED</x:v>
      </x:c>
      <x:c r="J110" s="17" t="str">
        <x:v>TO_BE_CREATED</x:v>
      </x:c>
      <x:c r="K110" s="17" t="str">
        <x:v>MANUAL-109</x:v>
      </x:c>
      <x:c r="L110" s="17" t="str">
        <x:v>越权；重复请求；非法状态；敏感字段泄露；失败恢复（按适用性执行）</x:v>
      </x:c>
      <x:c r="M110" s="17" t="str"/>
      <x:c r="N110" s="17" t="str"/>
      <x:c r="O110" s="17" t="str"/>
      <x:c r="P110" s="17" t="str"/>
      <x:c r="Q110" s="17" t="str"/>
    </x:row>
    <x:row r="111" ht="23" customHeight="1">
      <x:c r="A111" s="17" t="str">
        <x:v>P0-110</x:v>
      </x:c>
      <x:c r="B111" s="17" t="str">
        <x:v>110</x:v>
      </x:c>
      <x:c r="C111" s="17" t="str">
        <x:v>M4</x:v>
      </x:c>
      <x:c r="D111" s="17" t="str">
        <x:v>配送转派与失权</x:v>
      </x:c>
      <x:c r="E111" s="17" t="str">
        <x:v>公司批准转派时追加承接日志，原跑腿员立即失去后续节点权限，新跑腿员从批准状态继续；冻结/停用账号立即下线且已接任务进入明确处理队列。</x:v>
      </x:c>
      <x:c r="F111" s="17" t="str">
        <x:v>§10个人跑腿与企业统一配送</x:v>
      </x:c>
      <x:c r="G111" s="17" t="str">
        <x:v>M4-P110</x:v>
      </x:c>
      <x:c r="H111" s="17" t="str">
        <x:v>DEVICE_PASS</x:v>
      </x:c>
      <x:c r="I111" s="17" t="str">
        <x:v>NOT_EXECUTED</x:v>
      </x:c>
      <x:c r="J111" s="17" t="str">
        <x:v>TO_BE_CREATED</x:v>
      </x:c>
      <x:c r="K111" s="17" t="str">
        <x:v>MANUAL-110</x:v>
      </x:c>
      <x:c r="L111" s="17" t="str">
        <x:v>越权；重复请求；非法状态；敏感字段泄露；失败恢复（按适用性执行）</x:v>
      </x:c>
      <x:c r="M111" s="17" t="str"/>
      <x:c r="N111" s="17" t="str"/>
      <x:c r="O111" s="17" t="str"/>
      <x:c r="P111" s="17" t="str"/>
      <x:c r="Q111" s="17" t="str"/>
    </x:row>
    <x:row r="112" ht="23" customHeight="1">
      <x:c r="A112" s="17" t="str">
        <x:v>P0-111</x:v>
      </x:c>
      <x:c r="B112" s="17" t="str">
        <x:v>111</x:v>
      </x:c>
      <x:c r="C112" s="17" t="str">
        <x:v>M4</x:v>
      </x:c>
      <x:c r="D112" s="17" t="str">
        <x:v>联系、凭证与分批收货</x:v>
      </x:c>
      <x:c r="E112" s="17" t="str">
        <x:v>履约阶段使用隐私号/受控联系；取货和送达凭证按规则收集，普通个人订单不强制扫码；同一主订单多个任务分别送达和确认，单任务完成不误标整单完成。</x:v>
      </x:c>
      <x:c r="F112" s="17" t="str">
        <x:v>§10个人跑腿与企业统一配送</x:v>
      </x:c>
      <x:c r="G112" s="17" t="str">
        <x:v>M4-P111</x:v>
      </x:c>
      <x:c r="H112" s="17" t="str">
        <x:v>DEVICE_PASS</x:v>
      </x:c>
      <x:c r="I112" s="17" t="str">
        <x:v>NOT_EXECUTED</x:v>
      </x:c>
      <x:c r="J112" s="17" t="str">
        <x:v>TO_BE_CREATED</x:v>
      </x:c>
      <x:c r="K112" s="17" t="str">
        <x:v>MANUAL-111</x:v>
      </x:c>
      <x:c r="L112" s="17" t="str">
        <x:v>越权；重复请求；非法状态；敏感字段泄露；失败恢复（按适用性执行）</x:v>
      </x:c>
      <x:c r="M112" s="17" t="str"/>
      <x:c r="N112" s="17" t="str"/>
      <x:c r="O112" s="17" t="str"/>
      <x:c r="P112" s="17" t="str"/>
      <x:c r="Q112" s="17" t="str"/>
    </x:row>
    <x:row r="113" ht="23" customHeight="1">
      <x:c r="A113" s="17" t="str">
        <x:v>P0-112</x:v>
      </x:c>
      <x:c r="B113" s="17" t="str">
        <x:v>112</x:v>
      </x:c>
      <x:c r="C113" s="17" t="str">
        <x:v>M4</x:v>
      </x:c>
      <x:c r="D113" s="17" t="str">
        <x:v>跑腿通知与隐私</x:v>
      </x:c>
      <x:c r="E113" s="17" t="str">
        <x:v>抢单、取消、节点提醒和异常结果支持站内/订阅通知，拒绝订阅不影响任务；通知、日志、缓存和埋点不包含完整地址/电话、价格、支付结构、供应价或内部责任结论。</x:v>
      </x:c>
      <x:c r="F113" s="17" t="str">
        <x:v>§10个人跑腿与企业统一配送</x:v>
      </x:c>
      <x:c r="G113" s="17" t="str">
        <x:v>M4-P112</x:v>
      </x:c>
      <x:c r="H113" s="17" t="str">
        <x:v>DEVICE_PASS</x:v>
      </x:c>
      <x:c r="I113" s="17" t="str">
        <x:v>NOT_EXECUTED</x:v>
      </x:c>
      <x:c r="J113" s="17" t="str">
        <x:v>TO_BE_CREATED</x:v>
      </x:c>
      <x:c r="K113" s="17" t="str">
        <x:v>MANUAL-112</x:v>
      </x:c>
      <x:c r="L113" s="17" t="str">
        <x:v>越权；重复请求；非法状态；敏感字段泄露；失败恢复（按适用性执行）</x:v>
      </x:c>
      <x:c r="M113" s="17" t="str"/>
      <x:c r="N113" s="17" t="str"/>
      <x:c r="O113" s="17" t="str"/>
      <x:c r="P113" s="17" t="str"/>
      <x:c r="Q113" s="17" t="str"/>
    </x:row>
    <x:row r="114" ht="23" customHeight="1">
      <x:c r="A114" s="17" t="str">
        <x:v>P0-113</x:v>
      </x:c>
      <x:c r="B114" s="17" t="str">
        <x:v>113</x:v>
      </x:c>
      <x:c r="C114" s="17" t="str">
        <x:v>M4</x:v>
      </x:c>
      <x:c r="D114" s="17" t="str">
        <x:v>任务记录与报酬</x:v>
      </x:c>
      <x:c r="E114" s="17" t="str">
        <x:v>跑腿员可查看本人历史任务、节点、异常、申诉、报酬快照、调整和线下支付状态；不做跑腿钱包、充值、提现、自动分账或地图里程计费，已确认明细只能追加调整/冲正。</x:v>
      </x:c>
      <x:c r="F114" s="17" t="str">
        <x:v>§10个人跑腿与企业统一配送</x:v>
      </x:c>
      <x:c r="G114" s="17" t="str">
        <x:v>M4-P113</x:v>
      </x:c>
      <x:c r="H114" s="17" t="str">
        <x:v>DEVICE_PASS</x:v>
      </x:c>
      <x:c r="I114" s="17" t="str">
        <x:v>NOT_EXECUTED</x:v>
      </x:c>
      <x:c r="J114" s="17" t="str">
        <x:v>TO_BE_CREATED</x:v>
      </x:c>
      <x:c r="K114" s="17" t="str">
        <x:v>MANUAL-113</x:v>
      </x:c>
      <x:c r="L114" s="17" t="str">
        <x:v>越权；重复请求；非法状态；敏感字段泄露；失败恢复（按适用性执行）</x:v>
      </x:c>
      <x:c r="M114" s="17" t="str"/>
      <x:c r="N114" s="17" t="str"/>
      <x:c r="O114" s="17" t="str"/>
      <x:c r="P114" s="17" t="str"/>
      <x:c r="Q114" s="17" t="str"/>
    </x:row>
    <x:row r="115" ht="23" customHeight="1">
      <x:c r="A115" s="17" t="str">
        <x:v>P0-114</x:v>
      </x:c>
      <x:c r="B115" s="17" t="str">
        <x:v>114</x:v>
      </x:c>
      <x:c r="C115" s="17" t="str">
        <x:v>M4</x:v>
      </x:c>
      <x:c r="D115" s="17" t="str">
        <x:v>跑腿端质量安全</x:v>
      </x:c>
      <x:c r="E115" s="17" t="str">
        <x:v>空大厅、审核中、冻结、弱网、离线、任务被抢、节点重复、任务取消、上传失败和导航失败均可恢复；runnerId 服务端绑定，对象级越权、篡改状态及企业配送访问全部失败。</x:v>
      </x:c>
      <x:c r="F115" s="17" t="str">
        <x:v>§10个人跑腿与企业统一配送</x:v>
      </x:c>
      <x:c r="G115" s="17" t="str">
        <x:v>M4-P114</x:v>
      </x:c>
      <x:c r="H115" s="17" t="str">
        <x:v>DEVICE_PASS</x:v>
      </x:c>
      <x:c r="I115" s="17" t="str">
        <x:v>NOT_EXECUTED</x:v>
      </x:c>
      <x:c r="J115" s="17" t="str">
        <x:v>TO_BE_CREATED</x:v>
      </x:c>
      <x:c r="K115" s="17" t="str">
        <x:v>MANUAL-114</x:v>
      </x:c>
      <x:c r="L115" s="17" t="str">
        <x:v>越权；重复请求；非法状态；敏感字段泄露；失败恢复（按适用性执行）</x:v>
      </x:c>
      <x:c r="M115" s="17" t="str"/>
      <x:c r="N115" s="17" t="str"/>
      <x:c r="O115" s="17" t="str"/>
      <x:c r="P115" s="17" t="str"/>
      <x:c r="Q115" s="17" t="str"/>
    </x:row>
    <x:row r="116" ht="23" customHeight="1">
      <x:c r="A116" s="17" t="str">
        <x:v>P0-115</x:v>
      </x:c>
      <x:c r="B116" s="17" t="str">
        <x:v>115</x:v>
      </x:c>
      <x:c r="C116" s="17" t="str">
        <x:v>M4</x:v>
      </x:c>
      <x:c r="D116" s="17" t="str">
        <x:v>企业统一配送状态机</x:v>
      </x:c>
      <x:c r="E116" s="17" t="str">
        <x:v>等待供应商、可收取、收货中、已汇总、已派车、运输中、已到达、已签收和已完成按顺序留痕；企业确认的部分齐套配送可形成可追溯批次。</x:v>
      </x:c>
      <x:c r="F116" s="17" t="str">
        <x:v>§10个人跑腿与企业统一配送</x:v>
      </x:c>
      <x:c r="G116" s="17" t="str">
        <x:v>M4-P115</x:v>
      </x:c>
      <x:c r="H116" s="17" t="str">
        <x:v>CI_PASS</x:v>
      </x:c>
      <x:c r="I116" s="17" t="str">
        <x:v>NOT_EXECUTED</x:v>
      </x:c>
      <x:c r="J116" s="17" t="str">
        <x:v>TO_BE_CREATED</x:v>
      </x:c>
      <x:c r="K116" s="17" t="str">
        <x:v>N/A</x:v>
      </x:c>
      <x:c r="L116" s="17" t="str">
        <x:v>越权；重复请求；非法状态；敏感字段泄露；失败恢复（按适用性执行）</x:v>
      </x:c>
      <x:c r="M116" s="17" t="str"/>
      <x:c r="N116" s="17" t="str"/>
      <x:c r="O116" s="17" t="str"/>
      <x:c r="P116" s="17" t="str"/>
      <x:c r="Q116" s="17" t="str"/>
    </x:row>
    <x:row r="117" ht="23" customHeight="1">
      <x:c r="A117" s="17" t="str">
        <x:v>P0-116</x:v>
      </x:c>
      <x:c r="B117" s="17" t="str">
        <x:v>116</x:v>
      </x:c>
      <x:c r="C117" s="17" t="str">
        <x:v>M4</x:v>
      </x:c>
      <x:c r="D117" s="17" t="str">
        <x:v>公司物流独立页面</x:v>
      </x:c>
      <x:c r="E117" s="17" t="str">
        <x:v>物流职能账号固定页面具备首页、备货汇总、汇总收货、配送列表/详情、移动执行、资源和异常子页面；其他公司职能、供应商和跑腿账号无权访问，页面不加载供应价及财务数据。</x:v>
      </x:c>
      <x:c r="F117" s="17" t="str">
        <x:v>§10个人跑腿与企业统一配送</x:v>
      </x:c>
      <x:c r="G117" s="17" t="str">
        <x:v>M4-P116</x:v>
      </x:c>
      <x:c r="H117" s="17" t="str">
        <x:v>CI_PASS</x:v>
      </x:c>
      <x:c r="I117" s="17" t="str">
        <x:v>NOT_EXECUTED</x:v>
      </x:c>
      <x:c r="J117" s="17" t="str">
        <x:v>TO_BE_CREATED</x:v>
      </x:c>
      <x:c r="K117" s="17" t="str">
        <x:v>N/A</x:v>
      </x:c>
      <x:c r="L117" s="17" t="str">
        <x:v>越权；重复请求；非法状态；敏感字段泄露；失败恢复（按适用性执行）</x:v>
      </x:c>
      <x:c r="M117" s="17" t="str"/>
      <x:c r="N117" s="17" t="str"/>
      <x:c r="O117" s="17" t="str"/>
      <x:c r="P117" s="17" t="str"/>
      <x:c r="Q117" s="17" t="str"/>
    </x:row>
    <x:row r="118" ht="23" customHeight="1">
      <x:c r="A118" s="17" t="str">
        <x:v>P0-117</x:v>
      </x:c>
      <x:c r="B118" s="17" t="str">
        <x:v>117</x:v>
      </x:c>
      <x:c r="C118" s="17" t="str">
        <x:v>M4</x:v>
      </x:c>
      <x:c r="D118" s="17" t="str">
        <x:v>企业汇总收货</x:v>
      </x:c>
      <x:c r="E118" s="17" t="str">
        <x:v>应收/实收、批次、效期、温区、包装、照片、交接与少货/错货/破损差异可逐项登记；每个配送项可追溯原订单项和供应商子单，重复收货幂等且不覆盖原订单。</x:v>
      </x:c>
      <x:c r="F118" s="17" t="str">
        <x:v>§10个人跑腿与企业统一配送</x:v>
      </x:c>
      <x:c r="G118" s="17" t="str">
        <x:v>M4-P117</x:v>
      </x:c>
      <x:c r="H118" s="17" t="str">
        <x:v>CI_PASS</x:v>
      </x:c>
      <x:c r="I118" s="17" t="str">
        <x:v>NOT_EXECUTED</x:v>
      </x:c>
      <x:c r="J118" s="17" t="str">
        <x:v>TO_BE_CREATED</x:v>
      </x:c>
      <x:c r="K118" s="17" t="str">
        <x:v>N/A</x:v>
      </x:c>
      <x:c r="L118" s="17" t="str">
        <x:v>越权；重复请求；非法状态；敏感字段泄露；失败恢复（按适用性执行）</x:v>
      </x:c>
      <x:c r="M118" s="17" t="str"/>
      <x:c r="N118" s="17" t="str"/>
      <x:c r="O118" s="17" t="str"/>
      <x:c r="P118" s="17" t="str"/>
      <x:c r="Q118" s="17" t="str"/>
    </x:row>
    <x:row r="119" ht="23" customHeight="1">
      <x:c r="A119" s="17" t="str">
        <x:v>P0-118</x:v>
      </x:c>
      <x:c r="B119" s="17" t="str">
        <x:v>118</x:v>
      </x:c>
      <x:c r="C119" s="17" t="str">
        <x:v>M4</x:v>
      </x:c>
      <x:c r="D119" s="17" t="str">
        <x:v>企业派车与移动执行</x:v>
      </x:c>
      <x:c r="E119" s="17" t="str">
        <x:v>公司可为已汇总批次安排公司车辆/司机或指定承运商并保存快照；移动页完成发车、运输、到达、联系、签收、回单和异常，第三方承运商P0无独立后台账号。</x:v>
      </x:c>
      <x:c r="F119" s="17" t="str">
        <x:v>§10个人跑腿与企业统一配送</x:v>
      </x:c>
      <x:c r="G119" s="17" t="str">
        <x:v>M4-P118</x:v>
      </x:c>
      <x:c r="H119" s="17" t="str">
        <x:v>STAGING_PASS</x:v>
      </x:c>
      <x:c r="I119" s="17" t="str">
        <x:v>NOT_EXECUTED</x:v>
      </x:c>
      <x:c r="J119" s="17" t="str">
        <x:v>TO_BE_CREATED</x:v>
      </x:c>
      <x:c r="K119" s="17" t="str">
        <x:v>MANUAL-118</x:v>
      </x:c>
      <x:c r="L119" s="17" t="str">
        <x:v>越权；重复请求；非法状态；敏感字段泄露；失败恢复（按适用性执行）</x:v>
      </x:c>
      <x:c r="M119" s="17" t="str"/>
      <x:c r="N119" s="17" t="str"/>
      <x:c r="O119" s="17" t="str"/>
      <x:c r="P119" s="17" t="str"/>
      <x:c r="Q119" s="17" t="str"/>
    </x:row>
    <x:row r="120" ht="23" customHeight="1">
      <x:c r="A120" s="18" t="str">
        <x:v>P0-119</x:v>
      </x:c>
      <x:c r="B120" s="18" t="str">
        <x:v>119</x:v>
      </x:c>
      <x:c r="C120" s="18" t="str">
        <x:v>M4</x:v>
      </x:c>
      <x:c r="D120" s="18" t="str">
        <x:v>企业签收、对客同步与审计</x:v>
      </x:c>
      <x:c r="E120" s="18" t="str">
        <x:v>企业门户只显示统一配送时间线、批次和签收结果；签收数量、签名/回单/照片、拒收和差异完整留痕。任务、节点、派车、异常和配送指标可审计且不泄露个人隐私或内部结算数据。</x:v>
      </x:c>
      <x:c r="F120" s="18" t="str">
        <x:v>§10个人跑腿与企业统一配送</x:v>
      </x:c>
      <x:c r="G120" s="18" t="str">
        <x:v>M4-P119</x:v>
      </x:c>
      <x:c r="H120" s="18" t="str">
        <x:v>STAGING_PASS</x:v>
      </x:c>
      <x:c r="I120" s="18" t="str">
        <x:v>NOT_EXECUTED</x:v>
      </x:c>
      <x:c r="J120" s="18" t="str">
        <x:v>TO_BE_CREATED</x:v>
      </x:c>
      <x:c r="K120" s="18" t="str">
        <x:v>MANUAL-119</x:v>
      </x:c>
      <x:c r="L120" s="18" t="str">
        <x:v>越权；重复请求；非法状态；敏感字段泄露；失败恢复（按适用性执行）</x:v>
      </x:c>
      <x:c r="M120" s="18" t="str"/>
      <x:c r="N120" s="18" t="str"/>
      <x:c r="O120" s="18" t="str"/>
      <x:c r="P120" s="18" t="str"/>
      <x:c r="Q120" s="18" t="str"/>
    </x:row>
  </x:sheetData>
  <x:conditionalFormatting sqref="I2:I120">
    <x:cfRule type="cellIs" dxfId="60" priority="1" operator="equal">
      <x:formula>"READY"</x:formula>
    </x:cfRule>
    <x:cfRule type="cellIs" dxfId="61" priority="2" operator="equal">
      <x:formula>"DONE"</x:formula>
    </x:cfRule>
    <x:cfRule type="cellIs" dxfId="62" priority="3" operator="equal">
      <x:formula>"LOCAL_PASS"</x:formula>
    </x:cfRule>
    <x:cfRule type="cellIs" dxfId="63" priority="4" operator="equal">
      <x:formula>"CI_PASS"</x:formula>
    </x:cfRule>
    <x:cfRule type="cellIs" dxfId="64" priority="5" operator="equal">
      <x:formula>"STAGING_PASS"</x:formula>
    </x:cfRule>
    <x:cfRule type="cellIs" dxfId="65" priority="6" operator="equal">
      <x:formula>"DEVICE_PASS"</x:formula>
    </x:cfRule>
    <x:cfRule type="cellIs" dxfId="66" priority="7" operator="equal">
      <x:formula>"PRODUCTION_PASS"</x:formula>
    </x:cfRule>
    <x:cfRule type="cellIs" dxfId="67" priority="8" operator="equal">
      <x:formula>"FAIL"</x:formula>
    </x:cfRule>
    <x:cfRule type="cellIs" dxfId="68" priority="9" operator="equal">
      <x:formula>"BLOCKED_EXTERNAL"</x:formula>
    </x:cfRule>
    <x:cfRule type="cellIs" dxfId="69" priority="10" operator="equal">
      <x:formula>"NOT_PROVIDED"</x:formula>
    </x:cfRule>
    <x:cfRule type="cellIs" dxfId="70" priority="11" operator="equal">
      <x:formula>"LOCKED"</x:formula>
    </x:cfRule>
    <x:cfRule type="cellIs" dxfId="71" priority="12" operator="equal">
      <x:formula>"NOT_STARTED"</x:formula>
    </x:cfRule>
    <x:cfRule type="cellIs" dxfId="72" priority="13" operator="equal">
      <x:formula>"NOT_EXECUTED"</x:formula>
    </x:cfRule>
    <x:cfRule type="cellIs" dxfId="73" priority="14" operator="equal">
      <x:formula>"IN_PROGRESS"</x:formula>
    </x:cfRule>
    <x:cfRule type="cellIs" dxfId="74" priority="15" operator="equal">
      <x:formula>"PLANNED"</x:formula>
    </x:cfRule>
  </x:conditionalFormatting>
  <x:dataValidations count="1">
    <x:dataValidation type="list" sqref="I2:I120">
      <x:formula1>"NOT_STARTED,READY,IN_PROGRESS,DONE,LOCKED,PLANNED,NOT_EXECUTED,LOCAL_PASS,CI_PASS,STAGING_PASS,DEVICE_PASS,PRODUCTION_PASS,BLOCKED_EXTERNAL,FAIL,NOT_PROVIDED"</x:formula1>
    </x:dataValidation>
  </x:dataValidations>
  <x:pageMargins left="0.7" right="0.7" top="0.75" bottom="0.75" header="0.3" footer="0.3"/>
  <x:tableParts count="1">
    <x:tablePart xmlns:r="http://schemas.openxmlformats.org/officeDocument/2006/relationships" r:id="R2ffe5ce4e7d149c1"/>
  </x:tableParts>
</x:worksheet>
</file>

<file path=xl/worksheets/sheet5.xml><?xml version="1.0" encoding="utf-8"?>
<x:worksheet xmlns:x="http://schemas.openxmlformats.org/spreadsheetml/2006/main">
  <x:sheetViews>
    <x:sheetView showGridLines="0" workbookViewId="0"/>
  </x:sheetViews>
  <x:sheetFormatPr defaultRowHeight="15"/>
  <x:cols>
    <x:col min="1" max="1" width="25" hidden="0" customWidth="1"/>
    <x:col min="2" max="2" width="24" hidden="0" customWidth="1"/>
    <x:col min="3" max="3" width="32" hidden="0" customWidth="1"/>
    <x:col min="4" max="4" width="10" hidden="0" customWidth="1"/>
    <x:col min="5" max="5" width="18" hidden="0" customWidth="1"/>
    <x:col min="6" max="6" width="11" hidden="0" customWidth="1"/>
    <x:col min="7" max="7" width="18" hidden="0" customWidth="1"/>
    <x:col min="8" max="8" width="30" hidden="0" customWidth="1"/>
    <x:col min="9" max="9" width="42" hidden="0" customWidth="1"/>
    <x:col min="10" max="10" width="42" hidden="0" customWidth="1"/>
    <x:col min="11" max="11" width="42" hidden="0" customWidth="1"/>
    <x:col min="12" max="12" width="34" hidden="0" customWidth="1"/>
    <x:col min="13" max="13" width="10" hidden="0" customWidth="1"/>
    <x:col min="14" max="14" width="24" hidden="0" customWidth="1"/>
    <x:col min="15" max="15" width="24" hidden="0" customWidth="1"/>
    <x:col min="16" max="16" width="22" hidden="0" customWidth="1"/>
  </x:cols>
  <x:sheetData>
    <x:row r="1" ht="34" customHeight="1">
      <x:c r="A1" s="14" t="str">
        <x:v>Entity</x:v>
      </x:c>
      <x:c r="B1" s="15" t="str">
        <x:v>Field</x:v>
      </x:c>
      <x:c r="C1" s="15" t="str">
        <x:v>RawDefinition</x:v>
      </x:c>
      <x:c r="D1" s="15" t="str">
        <x:v>Position</x:v>
      </x:c>
      <x:c r="E1" s="15" t="str">
        <x:v>SuggestedType</x:v>
      </x:c>
      <x:c r="F1" s="15" t="str">
        <x:v>Required</x:v>
      </x:c>
      <x:c r="G1" s="15" t="str">
        <x:v>UnitOrFormat</x:v>
      </x:c>
      <x:c r="H1" s="15" t="str">
        <x:v>Sensitivity</x:v>
      </x:c>
      <x:c r="I1" s="15" t="str">
        <x:v>Visibility</x:v>
      </x:c>
      <x:c r="J1" s="15" t="str">
        <x:v>ForbiddenExposure</x:v>
      </x:c>
      <x:c r="K1" s="15" t="str">
        <x:v>Validation</x:v>
      </x:c>
      <x:c r="L1" s="15" t="str">
        <x:v>HistoryRule</x:v>
      </x:c>
      <x:c r="M1" s="15" t="str">
        <x:v>Stage</x:v>
      </x:c>
      <x:c r="N1" s="15" t="str">
        <x:v>P0</x:v>
      </x:c>
      <x:c r="O1" s="15" t="str">
        <x:v>Source</x:v>
      </x:c>
      <x:c r="P1" s="16" t="str">
        <x:v>Status</x:v>
      </x:c>
    </x:row>
    <x:row r="2" ht="23" customHeight="1">
      <x:c r="A2" s="4" t="str">
        <x:v>Company</x:v>
      </x:c>
      <x:c r="B2" s="4" t="str">
        <x:v>id</x:v>
      </x:c>
      <x:c r="C2" s="17" t="str">
        <x:v>id</x:v>
      </x:c>
      <x:c r="D2" s="4" t="str">
        <x:v>1</x:v>
      </x:c>
      <x:c r="E2" s="4" t="str">
        <x:v>UUID</x:v>
      </x:c>
      <x:c r="F2" s="4" t="str">
        <x:v>YES</x:v>
      </x:c>
      <x:c r="G2" s="4" t="str">
        <x:v>UUID v4 canonical lowercase text</x:v>
      </x:c>
      <x:c r="H2" s="17" t="str">
        <x:v>INTERNAL</x:v>
      </x:c>
      <x:c r="I2" s="17" t="str">
        <x:v>按资源权限与数据域访问；公开DTO另行白名单</x:v>
      </x:c>
      <x:c r="J2" s="17" t="str">
        <x:v>数据库实体不得直接序列化为响应</x:v>
      </x:c>
      <x:c r="K2" s="17" t="str">
        <x:v>exactly one Company row may exist; id is server-generated</x:v>
      </x:c>
      <x:c r="L2" s="17" t="str">
        <x:v>按实体version或审计日志保留变更证据</x:v>
      </x:c>
      <x:c r="M2" s="4" t="str">
        <x:v>M1</x:v>
      </x:c>
      <x:c r="N2" s="4" t="str">
        <x:v>P0-001,P0-002</x:v>
      </x:c>
      <x:c r="O2" s="4" t="str">
        <x:v>综合方案§13核心数据模型</x:v>
      </x:c>
      <x:c r="P2" s="4" t="str">
        <x:v>FROZEN_M1_000</x:v>
      </x:c>
    </x:row>
    <x:row r="3" ht="23" customHeight="1">
      <x:c r="A3" s="4" t="str">
        <x:v>Company</x:v>
      </x:c>
      <x:c r="B3" s="4" t="str">
        <x:v>legalName</x:v>
      </x:c>
      <x:c r="C3" s="17" t="str">
        <x:v>legalName</x:v>
      </x:c>
      <x:c r="D3" s="4" t="str">
        <x:v>2</x:v>
      </x:c>
      <x:c r="E3" s="4" t="str">
        <x:v>String</x:v>
      </x:c>
      <x:c r="F3" s="4" t="str">
        <x:v>YES</x:v>
      </x:c>
      <x:c r="G3" s="4" t="str">
        <x:v>fixed value: 江苏福礼团供应链科技有限公司</x:v>
      </x:c>
      <x:c r="H3" s="17" t="str">
        <x:v>PUBLIC</x:v>
      </x:c>
      <x:c r="I3" s="17" t="str">
        <x:v>按资源权限与数据域访问；公开DTO另行白名单</x:v>
      </x:c>
      <x:c r="J3" s="17" t="str">
        <x:v>数据库实体不得直接序列化为响应</x:v>
      </x:c>
      <x:c r="K3" s="17" t="str">
        <x:v>must equal the frozen legal entity name</x:v>
      </x:c>
      <x:c r="L3" s="17" t="str">
        <x:v>按实体version或审计日志保留变更证据</x:v>
      </x:c>
      <x:c r="M3" s="4" t="str">
        <x:v>M1</x:v>
      </x:c>
      <x:c r="N3" s="4" t="str">
        <x:v>P0-001,P0-002</x:v>
      </x:c>
      <x:c r="O3" s="4" t="str">
        <x:v>综合方案§13核心数据模型</x:v>
      </x:c>
      <x:c r="P3" s="4" t="str">
        <x:v>FROZEN_M1_000</x:v>
      </x:c>
    </x:row>
    <x:row r="4" ht="23" customHeight="1">
      <x:c r="A4" s="4" t="str">
        <x:v>Company</x:v>
      </x:c>
      <x:c r="B4" s="4" t="str">
        <x:v>platformName</x:v>
      </x:c>
      <x:c r="C4" s="17" t="str">
        <x:v>platformName</x:v>
      </x:c>
      <x:c r="D4" s="4" t="str">
        <x:v>3</x:v>
      </x:c>
      <x:c r="E4" s="4" t="str">
        <x:v>String</x:v>
      </x:c>
      <x:c r="F4" s="4" t="str">
        <x:v>YES</x:v>
      </x:c>
      <x:c r="G4" s="4" t="str">
        <x:v>fixed value: 福礼社</x:v>
      </x:c>
      <x:c r="H4" s="17" t="str">
        <x:v>PUBLIC</x:v>
      </x:c>
      <x:c r="I4" s="17" t="str">
        <x:v>按角色、对象归属及配送阶段脱敏/解密</x:v>
      </x:c>
      <x:c r="J4" s="17" t="str">
        <x:v>禁止跨供应商、越阶段或批量无审批导出</x:v>
      </x:c>
      <x:c r="K4" s="17" t="str">
        <x:v>must equal 福礼社</x:v>
      </x:c>
      <x:c r="L4" s="17" t="str">
        <x:v>按实体version或审计日志保留变更证据</x:v>
      </x:c>
      <x:c r="M4" s="4" t="str">
        <x:v>M1</x:v>
      </x:c>
      <x:c r="N4" s="4" t="str">
        <x:v>P0-001,P0-002</x:v>
      </x:c>
      <x:c r="O4" s="4" t="str">
        <x:v>综合方案§13核心数据模型</x:v>
      </x:c>
      <x:c r="P4" s="4" t="str">
        <x:v>FROZEN_M1_000</x:v>
      </x:c>
    </x:row>
    <x:row r="5" ht="23" customHeight="1">
      <x:c r="A5" s="4" t="str">
        <x:v>Company</x:v>
      </x:c>
      <x:c r="B5" s="4" t="str">
        <x:v>wechatPayConfigRef</x:v>
      </x:c>
      <x:c r="C5" s="17" t="str">
        <x:v>wechatPayConfigRef</x:v>
      </x:c>
      <x:c r="D5" s="4" t="str">
        <x:v>4</x:v>
      </x:c>
      <x:c r="E5" s="4" t="str">
        <x:v>String</x:v>
      </x:c>
      <x:c r="F5" s="4" t="str">
        <x:v>YES</x:v>
      </x:c>
      <x:c r="G5" s="4" t="str">
        <x:v>secret-manager reference id; 1..255 chars; never a credential value</x:v>
      </x:c>
      <x:c r="H5" s="17" t="str">
        <x:v>SECRET_OR_CREDENTIAL</x:v>
      </x:c>
      <x:c r="I5" s="17" t="str">
        <x:v>仅后端最小权限读取，响应永不返回</x:v>
      </x:c>
      <x:c r="J5" s="17" t="str">
        <x:v>禁止提交、日志、快照和前端下发</x:v>
      </x:c>
      <x:c r="K5" s="17" t="str">
        <x:v>reference existence is checked server-side; secret value never persists here</x:v>
      </x:c>
      <x:c r="L5" s="17" t="str">
        <x:v>按实体version或审计日志保留变更证据</x:v>
      </x:c>
      <x:c r="M5" s="4" t="str">
        <x:v>M1</x:v>
      </x:c>
      <x:c r="N5" s="4" t="str">
        <x:v>P0-001,P0-002</x:v>
      </x:c>
      <x:c r="O5" s="4" t="str">
        <x:v>综合方案§13核心数据模型</x:v>
      </x:c>
      <x:c r="P5" s="4" t="str">
        <x:v>FROZEN_M1_000</x:v>
      </x:c>
    </x:row>
    <x:row r="6" ht="23" customHeight="1">
      <x:c r="A6" s="4" t="str">
        <x:v>Company</x:v>
      </x:c>
      <x:c r="B6" s="4" t="str">
        <x:v>status</x:v>
      </x:c>
      <x:c r="C6" s="17" t="str">
        <x:v>status</x:v>
      </x:c>
      <x:c r="D6" s="4" t="str">
        <x:v>5</x:v>
      </x:c>
      <x:c r="E6" s="4" t="str">
        <x:v>Enum&lt;ACTIVE|SUSPENDED&gt;</x:v>
      </x:c>
      <x:c r="F6" s="4" t="str">
        <x:v>YES</x:v>
      </x:c>
      <x:c r="G6" s="4" t="str">
        <x:v>ACTIVE|SUSPENDED</x:v>
      </x:c>
      <x:c r="H6" s="17" t="str">
        <x:v>INTERNAL</x:v>
      </x:c>
      <x:c r="I6" s="17" t="str">
        <x:v>按资源权限与数据域访问；公开DTO另行白名单</x:v>
      </x:c>
      <x:c r="J6" s="17" t="str">
        <x:v>数据库实体不得直接序列化为响应</x:v>
      </x:c>
      <x:c r="K6" s="17" t="str">
        <x:v>server validates type, ownership, state and length; client-derived ownership and authorization are never trusted</x:v>
      </x:c>
      <x:c r="L6" s="17" t="str">
        <x:v>按实体version或审计日志保留变更证据</x:v>
      </x:c>
      <x:c r="M6" s="4" t="str">
        <x:v>M1</x:v>
      </x:c>
      <x:c r="N6" s="4" t="str">
        <x:v>P0-001,P0-002</x:v>
      </x:c>
      <x:c r="O6" s="4" t="str">
        <x:v>综合方案§13核心数据模型</x:v>
      </x:c>
      <x:c r="P6" s="4" t="str">
        <x:v>FROZEN_M1_000</x:v>
      </x:c>
    </x:row>
    <x:row r="7" ht="23" customHeight="1">
      <x:c r="A7" s="4" t="str">
        <x:v>PortalContent</x:v>
      </x:c>
      <x:c r="B7" s="4" t="str">
        <x:v>id</x:v>
      </x:c>
      <x:c r="C7" s="17" t="str">
        <x:v>id</x:v>
      </x:c>
      <x:c r="D7" s="4" t="str">
        <x:v>1</x:v>
      </x:c>
      <x:c r="E7" s="4" t="str">
        <x:v>String/UUID</x:v>
      </x:c>
      <x:c r="F7" s="4" t="str">
        <x:v>YES</x:v>
      </x:c>
      <x:c r="G7" s="4" t="str">
        <x:v>待M阶段冻结</x:v>
      </x:c>
      <x:c r="H7" s="17" t="str">
        <x:v>INTERNAL</x:v>
      </x:c>
      <x:c r="I7" s="17" t="str">
        <x:v>按资源权限与数据域访问；公开DTO另行白名单</x:v>
      </x:c>
      <x:c r="J7" s="17" t="str">
        <x:v>数据库实体不得直接序列化为响应</x:v>
      </x:c>
      <x:c r="K7" s="17" t="str">
        <x:v>DTO白名单；长度/枚举/归属/状态校验；禁止信任客户端派生值</x:v>
      </x:c>
      <x:c r="L7" s="17" t="str">
        <x:v>按实体version或审计日志保留变更证据</x:v>
      </x:c>
      <x:c r="M7" s="4" t="str">
        <x:v>M5</x:v>
      </x:c>
      <x:c r="N7" s="4" t="str">
        <x:v>P0-027,P0-073,P0-075,P0-076,P0-082</x:v>
      </x:c>
      <x:c r="O7" s="4" t="str">
        <x:v>综合方案§13核心数据模型</x:v>
      </x:c>
      <x:c r="P7" s="4" t="str">
        <x:v>DRAFT_FROM_SCHEME</x:v>
      </x:c>
    </x:row>
    <x:row r="8" ht="23" customHeight="1">
      <x:c r="A8" s="4" t="str">
        <x:v>PortalContent</x:v>
      </x:c>
      <x:c r="B8" s="4" t="str">
        <x:v>contentType</x:v>
      </x:c>
      <x:c r="C8" s="17" t="str">
        <x:v>contentType</x:v>
      </x:c>
      <x:c r="D8" s="4" t="str">
        <x:v>2</x:v>
      </x:c>
      <x:c r="E8" s="4" t="str">
        <x:v>Enum/String</x:v>
      </x:c>
      <x:c r="F8" s="4" t="str">
        <x:v>YES</x:v>
      </x:c>
      <x:c r="G8" s="4" t="str">
        <x:v>待M阶段冻结</x:v>
      </x:c>
      <x:c r="H8" s="17" t="str">
        <x:v>INTERNAL</x:v>
      </x:c>
      <x:c r="I8" s="17" t="str">
        <x:v>按资源权限与数据域访问；公开DTO另行白名单</x:v>
      </x:c>
      <x:c r="J8" s="17" t="str">
        <x:v>数据库实体不得直接序列化为响应</x:v>
      </x:c>
      <x:c r="K8" s="17" t="str">
        <x:v>DTO白名单；长度/枚举/归属/状态校验；禁止信任客户端派生值</x:v>
      </x:c>
      <x:c r="L8" s="17" t="str">
        <x:v>按实体version或审计日志保留变更证据</x:v>
      </x:c>
      <x:c r="M8" s="4" t="str">
        <x:v>M5</x:v>
      </x:c>
      <x:c r="N8" s="4" t="str">
        <x:v>P0-027,P0-073,P0-075,P0-076,P0-082</x:v>
      </x:c>
      <x:c r="O8" s="4" t="str">
        <x:v>综合方案§13核心数据模型</x:v>
      </x:c>
      <x:c r="P8" s="4" t="str">
        <x:v>DRAFT_FROM_SCHEME</x:v>
      </x:c>
    </x:row>
    <x:row r="9" ht="23" customHeight="1">
      <x:c r="A9" s="4" t="str">
        <x:v>PortalContent</x:v>
      </x:c>
      <x:c r="B9" s="4" t="str">
        <x:v>slug</x:v>
      </x:c>
      <x:c r="C9" s="17" t="str">
        <x:v>slug</x:v>
      </x:c>
      <x:c r="D9" s="4" t="str">
        <x:v>3</x:v>
      </x:c>
      <x:c r="E9" s="4" t="str">
        <x:v>String</x:v>
      </x:c>
      <x:c r="F9" s="4" t="str">
        <x:v>YES</x:v>
      </x:c>
      <x:c r="G9" s="4" t="str">
        <x:v>待M阶段冻结</x:v>
      </x:c>
      <x:c r="H9" s="17" t="str">
        <x:v>INTERNAL</x:v>
      </x:c>
      <x:c r="I9" s="17" t="str">
        <x:v>按资源权限与数据域访问；公开DTO另行白名单</x:v>
      </x:c>
      <x:c r="J9" s="17" t="str">
        <x:v>数据库实体不得直接序列化为响应</x:v>
      </x:c>
      <x:c r="K9" s="17" t="str">
        <x:v>DTO白名单；长度/枚举/归属/状态校验；禁止信任客户端派生值</x:v>
      </x:c>
      <x:c r="L9" s="17" t="str">
        <x:v>按实体version或审计日志保留变更证据</x:v>
      </x:c>
      <x:c r="M9" s="4" t="str">
        <x:v>M5</x:v>
      </x:c>
      <x:c r="N9" s="4" t="str">
        <x:v>P0-027,P0-073,P0-075,P0-076,P0-082</x:v>
      </x:c>
      <x:c r="O9" s="4" t="str">
        <x:v>综合方案§13核心数据模型</x:v>
      </x:c>
      <x:c r="P9" s="4" t="str">
        <x:v>DRAFT_FROM_SCHEME</x:v>
      </x:c>
    </x:row>
    <x:row r="10" ht="23" customHeight="1">
      <x:c r="A10" s="4" t="str">
        <x:v>PortalContent</x:v>
      </x:c>
      <x:c r="B10" s="4" t="str">
        <x:v>title</x:v>
      </x:c>
      <x:c r="C10" s="17" t="str">
        <x:v>title</x:v>
      </x:c>
      <x:c r="D10" s="4" t="str">
        <x:v>4</x:v>
      </x:c>
      <x:c r="E10" s="4" t="str">
        <x:v>String</x:v>
      </x:c>
      <x:c r="F10" s="4" t="str">
        <x:v>YES</x:v>
      </x:c>
      <x:c r="G10" s="4" t="str">
        <x:v>待M阶段冻结</x:v>
      </x:c>
      <x:c r="H10" s="17" t="str">
        <x:v>INTERNAL</x:v>
      </x:c>
      <x:c r="I10" s="17" t="str">
        <x:v>按资源权限与数据域访问；公开DTO另行白名单</x:v>
      </x:c>
      <x:c r="J10" s="17" t="str">
        <x:v>数据库实体不得直接序列化为响应</x:v>
      </x:c>
      <x:c r="K10" s="17" t="str">
        <x:v>DTO白名单；长度/枚举/归属/状态校验；禁止信任客户端派生值</x:v>
      </x:c>
      <x:c r="L10" s="17" t="str">
        <x:v>按实体version或审计日志保留变更证据</x:v>
      </x:c>
      <x:c r="M10" s="4" t="str">
        <x:v>M5</x:v>
      </x:c>
      <x:c r="N10" s="4" t="str">
        <x:v>P0-027,P0-073,P0-075,P0-076,P0-082</x:v>
      </x:c>
      <x:c r="O10" s="4" t="str">
        <x:v>综合方案§13核心数据模型</x:v>
      </x:c>
      <x:c r="P10" s="4" t="str">
        <x:v>DRAFT_FROM_SCHEME</x:v>
      </x:c>
    </x:row>
    <x:row r="11" ht="23" customHeight="1">
      <x:c r="A11" s="4" t="str">
        <x:v>PortalContent</x:v>
      </x:c>
      <x:c r="B11" s="4" t="str">
        <x:v>summary</x:v>
      </x:c>
      <x:c r="C11" s="17" t="str">
        <x:v>summary</x:v>
      </x:c>
      <x:c r="D11" s="4" t="str">
        <x:v>5</x:v>
      </x:c>
      <x:c r="E11" s="4" t="str">
        <x:v>String</x:v>
      </x:c>
      <x:c r="F11" s="4" t="str">
        <x:v>YES</x:v>
      </x:c>
      <x:c r="G11" s="4" t="str">
        <x:v>待M阶段冻结</x:v>
      </x:c>
      <x:c r="H11" s="17" t="str">
        <x:v>INTERNAL</x:v>
      </x:c>
      <x:c r="I11" s="17" t="str">
        <x:v>按资源权限与数据域访问；公开DTO另行白名单</x:v>
      </x:c>
      <x:c r="J11" s="17" t="str">
        <x:v>数据库实体不得直接序列化为响应</x:v>
      </x:c>
      <x:c r="K11" s="17" t="str">
        <x:v>DTO白名单；长度/枚举/归属/状态校验；禁止信任客户端派生值</x:v>
      </x:c>
      <x:c r="L11" s="17" t="str">
        <x:v>按实体version或审计日志保留变更证据</x:v>
      </x:c>
      <x:c r="M11" s="4" t="str">
        <x:v>M5</x:v>
      </x:c>
      <x:c r="N11" s="4" t="str">
        <x:v>P0-027,P0-073,P0-075,P0-076,P0-082</x:v>
      </x:c>
      <x:c r="O11" s="4" t="str">
        <x:v>综合方案§13核心数据模型</x:v>
      </x:c>
      <x:c r="P11" s="4" t="str">
        <x:v>DRAFT_FROM_SCHEME</x:v>
      </x:c>
    </x:row>
    <x:row r="12" ht="23" customHeight="1">
      <x:c r="A12" s="4" t="str">
        <x:v>PortalContent</x:v>
      </x:c>
      <x:c r="B12" s="4" t="str">
        <x:v>coverAssetId</x:v>
      </x:c>
      <x:c r="C12" s="17" t="str">
        <x:v>coverAssetId?</x:v>
      </x:c>
      <x:c r="D12" s="4" t="str">
        <x:v>6</x:v>
      </x:c>
      <x:c r="E12" s="4" t="str">
        <x:v>String/UUID</x:v>
      </x:c>
      <x:c r="F12" s="4" t="str">
        <x:v>NO</x:v>
      </x:c>
      <x:c r="G12" s="4" t="str">
        <x:v>待M阶段冻结</x:v>
      </x:c>
      <x:c r="H12" s="17" t="str">
        <x:v>INTERNAL</x:v>
      </x:c>
      <x:c r="I12" s="17" t="str">
        <x:v>按资源权限与数据域访问；公开DTO另行白名单</x:v>
      </x:c>
      <x:c r="J12" s="17" t="str">
        <x:v>数据库实体不得直接序列化为响应</x:v>
      </x:c>
      <x:c r="K12" s="17" t="str">
        <x:v>DTO白名单；长度/枚举/归属/状态校验；禁止信任客户端派生值</x:v>
      </x:c>
      <x:c r="L12" s="17" t="str">
        <x:v>按实体version或审计日志保留变更证据</x:v>
      </x:c>
      <x:c r="M12" s="4" t="str">
        <x:v>M5</x:v>
      </x:c>
      <x:c r="N12" s="4" t="str">
        <x:v>P0-027,P0-073,P0-075,P0-076,P0-082</x:v>
      </x:c>
      <x:c r="O12" s="4" t="str">
        <x:v>综合方案§13核心数据模型</x:v>
      </x:c>
      <x:c r="P12" s="4" t="str">
        <x:v>DRAFT_FROM_SCHEME</x:v>
      </x:c>
    </x:row>
    <x:row r="13" ht="23" customHeight="1">
      <x:c r="A13" s="4" t="str">
        <x:v>PortalContent</x:v>
      </x:c>
      <x:c r="B13" s="4" t="str">
        <x:v>bodyModules</x:v>
      </x:c>
      <x:c r="C13" s="17" t="str">
        <x:v>bodyModules</x:v>
      </x:c>
      <x:c r="D13" s="4" t="str">
        <x:v>7</x:v>
      </x:c>
      <x:c r="E13" s="4" t="str">
        <x:v>Json</x:v>
      </x:c>
      <x:c r="F13" s="4" t="str">
        <x:v>YES</x:v>
      </x:c>
      <x:c r="G13" s="4" t="str">
        <x:v>待M阶段冻结</x:v>
      </x:c>
      <x:c r="H13" s="17" t="str">
        <x:v>INTERNAL</x:v>
      </x:c>
      <x:c r="I13" s="17" t="str">
        <x:v>按资源权限与数据域访问；公开DTO另行白名单</x:v>
      </x:c>
      <x:c r="J13" s="17" t="str">
        <x:v>数据库实体不得直接序列化为响应</x:v>
      </x:c>
      <x:c r="K13" s="17" t="str">
        <x:v>DTO白名单；长度/枚举/归属/状态校验；禁止信任客户端派生值</x:v>
      </x:c>
      <x:c r="L13" s="17" t="str">
        <x:v>按实体version或审计日志保留变更证据</x:v>
      </x:c>
      <x:c r="M13" s="4" t="str">
        <x:v>M5</x:v>
      </x:c>
      <x:c r="N13" s="4" t="str">
        <x:v>P0-027,P0-073,P0-075,P0-076,P0-082</x:v>
      </x:c>
      <x:c r="O13" s="4" t="str">
        <x:v>综合方案§13核心数据模型</x:v>
      </x:c>
      <x:c r="P13" s="4" t="str">
        <x:v>DRAFT_FROM_SCHEME</x:v>
      </x:c>
    </x:row>
    <x:row r="14" ht="23" customHeight="1">
      <x:c r="A14" s="4" t="str">
        <x:v>PortalContent</x:v>
      </x:c>
      <x:c r="B14" s="4" t="str">
        <x:v>seoTitle</x:v>
      </x:c>
      <x:c r="C14" s="17" t="str">
        <x:v>seoTitle</x:v>
      </x:c>
      <x:c r="D14" s="4" t="str">
        <x:v>8</x:v>
      </x:c>
      <x:c r="E14" s="4" t="str">
        <x:v>String</x:v>
      </x:c>
      <x:c r="F14" s="4" t="str">
        <x:v>YES</x:v>
      </x:c>
      <x:c r="G14" s="4" t="str">
        <x:v>待M阶段冻结</x:v>
      </x:c>
      <x:c r="H14" s="17" t="str">
        <x:v>INTERNAL</x:v>
      </x:c>
      <x:c r="I14" s="17" t="str">
        <x:v>按资源权限与数据域访问；公开DTO另行白名单</x:v>
      </x:c>
      <x:c r="J14" s="17" t="str">
        <x:v>数据库实体不得直接序列化为响应</x:v>
      </x:c>
      <x:c r="K14" s="17" t="str">
        <x:v>DTO白名单；长度/枚举/归属/状态校验；禁止信任客户端派生值</x:v>
      </x:c>
      <x:c r="L14" s="17" t="str">
        <x:v>按实体version或审计日志保留变更证据</x:v>
      </x:c>
      <x:c r="M14" s="4" t="str">
        <x:v>M5</x:v>
      </x:c>
      <x:c r="N14" s="4" t="str">
        <x:v>P0-027,P0-073,P0-075,P0-076,P0-082</x:v>
      </x:c>
      <x:c r="O14" s="4" t="str">
        <x:v>综合方案§13核心数据模型</x:v>
      </x:c>
      <x:c r="P14" s="4" t="str">
        <x:v>DRAFT_FROM_SCHEME</x:v>
      </x:c>
    </x:row>
    <x:row r="15" ht="23" customHeight="1">
      <x:c r="A15" s="4" t="str">
        <x:v>PortalContent</x:v>
      </x:c>
      <x:c r="B15" s="4" t="str">
        <x:v>seoDescription</x:v>
      </x:c>
      <x:c r="C15" s="17" t="str">
        <x:v>seoDescription</x:v>
      </x:c>
      <x:c r="D15" s="4" t="str">
        <x:v>9</x:v>
      </x:c>
      <x:c r="E15" s="4" t="str">
        <x:v>String</x:v>
      </x:c>
      <x:c r="F15" s="4" t="str">
        <x:v>YES</x:v>
      </x:c>
      <x:c r="G15" s="4" t="str">
        <x:v>待M阶段冻结</x:v>
      </x:c>
      <x:c r="H15" s="17" t="str">
        <x:v>PERSONAL_OR_SENSITIVE</x:v>
      </x:c>
      <x:c r="I15" s="17" t="str">
        <x:v>按角色、对象归属及配送阶段脱敏/解密</x:v>
      </x:c>
      <x:c r="J15" s="17" t="str">
        <x:v>禁止跨供应商、越阶段或批量无审批导出</x:v>
      </x:c>
      <x:c r="K15" s="17" t="str">
        <x:v>DTO白名单；长度/枚举/归属/状态校验；禁止信任客户端派生值</x:v>
      </x:c>
      <x:c r="L15" s="17" t="str">
        <x:v>按实体version或审计日志保留变更证据</x:v>
      </x:c>
      <x:c r="M15" s="4" t="str">
        <x:v>M5</x:v>
      </x:c>
      <x:c r="N15" s="4" t="str">
        <x:v>P0-027,P0-073,P0-075,P0-076,P0-082</x:v>
      </x:c>
      <x:c r="O15" s="4" t="str">
        <x:v>综合方案§13核心数据模型</x:v>
      </x:c>
      <x:c r="P15" s="4" t="str">
        <x:v>DRAFT_FROM_SCHEME</x:v>
      </x:c>
    </x:row>
    <x:row r="16" ht="23" customHeight="1">
      <x:c r="A16" s="4" t="str">
        <x:v>PortalContent</x:v>
      </x:c>
      <x:c r="B16" s="4" t="str">
        <x:v>status</x:v>
      </x:c>
      <x:c r="C16" s="17" t="str">
        <x:v>status</x:v>
      </x:c>
      <x:c r="D16" s="4" t="str">
        <x:v>10</x:v>
      </x:c>
      <x:c r="E16" s="4" t="str">
        <x:v>Enum/String</x:v>
      </x:c>
      <x:c r="F16" s="4" t="str">
        <x:v>YES</x:v>
      </x:c>
      <x:c r="G16" s="4" t="str">
        <x:v>待M阶段冻结</x:v>
      </x:c>
      <x:c r="H16" s="17" t="str">
        <x:v>INTERNAL</x:v>
      </x:c>
      <x:c r="I16" s="17" t="str">
        <x:v>按资源权限与数据域访问；公开DTO另行白名单</x:v>
      </x:c>
      <x:c r="J16" s="17" t="str">
        <x:v>数据库实体不得直接序列化为响应</x:v>
      </x:c>
      <x:c r="K16" s="17" t="str">
        <x:v>DTO白名单；长度/枚举/归属/状态校验；禁止信任客户端派生值</x:v>
      </x:c>
      <x:c r="L16" s="17" t="str">
        <x:v>按实体version或审计日志保留变更证据</x:v>
      </x:c>
      <x:c r="M16" s="4" t="str">
        <x:v>M5</x:v>
      </x:c>
      <x:c r="N16" s="4" t="str">
        <x:v>P0-027,P0-073,P0-075,P0-076,P0-082</x:v>
      </x:c>
      <x:c r="O16" s="4" t="str">
        <x:v>综合方案§13核心数据模型</x:v>
      </x:c>
      <x:c r="P16" s="4" t="str">
        <x:v>DRAFT_FROM_SCHEME</x:v>
      </x:c>
    </x:row>
    <x:row r="17" ht="23" customHeight="1">
      <x:c r="A17" s="4" t="str">
        <x:v>PortalContent</x:v>
      </x:c>
      <x:c r="B17" s="4" t="str">
        <x:v>publishedVersionId</x:v>
      </x:c>
      <x:c r="C17" s="17" t="str">
        <x:v>publishedVersionId?</x:v>
      </x:c>
      <x:c r="D17" s="4" t="str">
        <x:v>11</x:v>
      </x:c>
      <x:c r="E17" s="4" t="str">
        <x:v>String/UUID</x:v>
      </x:c>
      <x:c r="F17" s="4" t="str">
        <x:v>NO</x:v>
      </x:c>
      <x:c r="G17" s="4" t="str">
        <x:v>待M阶段冻结</x:v>
      </x:c>
      <x:c r="H17" s="17" t="str">
        <x:v>INTERNAL</x:v>
      </x:c>
      <x:c r="I17" s="17" t="str">
        <x:v>按资源权限与数据域访问；公开DTO另行白名单</x:v>
      </x:c>
      <x:c r="J17" s="17" t="str">
        <x:v>数据库实体不得直接序列化为响应</x:v>
      </x:c>
      <x:c r="K17" s="17" t="str">
        <x:v>DTO白名单；长度/枚举/归属/状态校验；禁止信任客户端派生值</x:v>
      </x:c>
      <x:c r="L17" s="17" t="str">
        <x:v>按实体version或审计日志保留变更证据</x:v>
      </x:c>
      <x:c r="M17" s="4" t="str">
        <x:v>M5</x:v>
      </x:c>
      <x:c r="N17" s="4" t="str">
        <x:v>P0-027,P0-073,P0-075,P0-076,P0-082</x:v>
      </x:c>
      <x:c r="O17" s="4" t="str">
        <x:v>综合方案§13核心数据模型</x:v>
      </x:c>
      <x:c r="P17" s="4" t="str">
        <x:v>DRAFT_FROM_SCHEME</x:v>
      </x:c>
    </x:row>
    <x:row r="18" ht="23" customHeight="1">
      <x:c r="A18" s="4" t="str">
        <x:v>PortalContent</x:v>
      </x:c>
      <x:c r="B18" s="4" t="str">
        <x:v>publishedAt</x:v>
      </x:c>
      <x:c r="C18" s="17" t="str">
        <x:v>publishedAt?</x:v>
      </x:c>
      <x:c r="D18" s="4" t="str">
        <x:v>12</x:v>
      </x:c>
      <x:c r="E18" s="4" t="str">
        <x:v>DateTime</x:v>
      </x:c>
      <x:c r="F18" s="4" t="str">
        <x:v>NO</x:v>
      </x:c>
      <x:c r="G18" s="4" t="str">
        <x:v>ISO-8601+明确时区</x:v>
      </x:c>
      <x:c r="H18" s="17" t="str">
        <x:v>INTERNAL</x:v>
      </x:c>
      <x:c r="I18" s="17" t="str">
        <x:v>按资源权限与数据域访问；公开DTO另行白名单</x:v>
      </x:c>
      <x:c r="J18" s="17" t="str">
        <x:v>数据库实体不得直接序列化为响应</x:v>
      </x:c>
      <x:c r="K18" s="17" t="str">
        <x:v>DTO白名单；长度/枚举/归属/状态校验；禁止信任客户端派生值</x:v>
      </x:c>
      <x:c r="L18" s="17" t="str">
        <x:v>按实体version或审计日志保留变更证据</x:v>
      </x:c>
      <x:c r="M18" s="4" t="str">
        <x:v>M5</x:v>
      </x:c>
      <x:c r="N18" s="4" t="str">
        <x:v>P0-027,P0-073,P0-075,P0-076,P0-082</x:v>
      </x:c>
      <x:c r="O18" s="4" t="str">
        <x:v>综合方案§13核心数据模型</x:v>
      </x:c>
      <x:c r="P18" s="4" t="str">
        <x:v>DRAFT_FROM_SCHEME</x:v>
      </x:c>
    </x:row>
    <x:row r="19" ht="23" customHeight="1">
      <x:c r="A19" s="4" t="str">
        <x:v>PortalContentRevision</x:v>
      </x:c>
      <x:c r="B19" s="4" t="str">
        <x:v>id</x:v>
      </x:c>
      <x:c r="C19" s="17" t="str">
        <x:v>id</x:v>
      </x:c>
      <x:c r="D19" s="4" t="str">
        <x:v>1</x:v>
      </x:c>
      <x:c r="E19" s="4" t="str">
        <x:v>String/UUID</x:v>
      </x:c>
      <x:c r="F19" s="4" t="str">
        <x:v>YES</x:v>
      </x:c>
      <x:c r="G19" s="4" t="str">
        <x:v>待M阶段冻结</x:v>
      </x:c>
      <x:c r="H19" s="17" t="str">
        <x:v>INTERNAL</x:v>
      </x:c>
      <x:c r="I19" s="17" t="str">
        <x:v>按资源权限与数据域访问；公开DTO另行白名单</x:v>
      </x:c>
      <x:c r="J19" s="17" t="str">
        <x:v>数据库实体不得直接序列化为响应</x:v>
      </x:c>
      <x:c r="K19" s="17" t="str">
        <x:v>DTO白名单；长度/枚举/归属/状态校验；禁止信任客户端派生值</x:v>
      </x:c>
      <x:c r="L19" s="17" t="str">
        <x:v>按实体version或审计日志保留变更证据</x:v>
      </x:c>
      <x:c r="M19" s="4" t="str">
        <x:v>M5</x:v>
      </x:c>
      <x:c r="N19" s="4" t="str">
        <x:v>待切片细化</x:v>
      </x:c>
      <x:c r="O19" s="4" t="str">
        <x:v>综合方案§13核心数据模型</x:v>
      </x:c>
      <x:c r="P19" s="4" t="str">
        <x:v>DRAFT_FROM_SCHEME</x:v>
      </x:c>
    </x:row>
    <x:row r="20" ht="23" customHeight="1">
      <x:c r="A20" s="4" t="str">
        <x:v>PortalContentRevision</x:v>
      </x:c>
      <x:c r="B20" s="4" t="str">
        <x:v>portalContentId</x:v>
      </x:c>
      <x:c r="C20" s="17" t="str">
        <x:v>portalContentId</x:v>
      </x:c>
      <x:c r="D20" s="4" t="str">
        <x:v>2</x:v>
      </x:c>
      <x:c r="E20" s="4" t="str">
        <x:v>String/UUID</x:v>
      </x:c>
      <x:c r="F20" s="4" t="str">
        <x:v>YES</x:v>
      </x:c>
      <x:c r="G20" s="4" t="str">
        <x:v>待M阶段冻结</x:v>
      </x:c>
      <x:c r="H20" s="17" t="str">
        <x:v>INTERNAL</x:v>
      </x:c>
      <x:c r="I20" s="17" t="str">
        <x:v>按资源权限与数据域访问；公开DTO另行白名单</x:v>
      </x:c>
      <x:c r="J20" s="17" t="str">
        <x:v>数据库实体不得直接序列化为响应</x:v>
      </x:c>
      <x:c r="K20" s="17" t="str">
        <x:v>DTO白名单；长度/枚举/归属/状态校验；禁止信任客户端派生值</x:v>
      </x:c>
      <x:c r="L20" s="17" t="str">
        <x:v>按实体version或审计日志保留变更证据</x:v>
      </x:c>
      <x:c r="M20" s="4" t="str">
        <x:v>M5</x:v>
      </x:c>
      <x:c r="N20" s="4" t="str">
        <x:v>待切片细化</x:v>
      </x:c>
      <x:c r="O20" s="4" t="str">
        <x:v>综合方案§13核心数据模型</x:v>
      </x:c>
      <x:c r="P20" s="4" t="str">
        <x:v>DRAFT_FROM_SCHEME</x:v>
      </x:c>
    </x:row>
    <x:row r="21" ht="23" customHeight="1">
      <x:c r="A21" s="4" t="str">
        <x:v>PortalContentRevision</x:v>
      </x:c>
      <x:c r="B21" s="4" t="str">
        <x:v>version</x:v>
      </x:c>
      <x:c r="C21" s="17" t="str">
        <x:v>version</x:v>
      </x:c>
      <x:c r="D21" s="4" t="str">
        <x:v>3</x:v>
      </x:c>
      <x:c r="E21" s="4" t="str">
        <x:v>Int</x:v>
      </x:c>
      <x:c r="F21" s="4" t="str">
        <x:v>YES</x:v>
      </x:c>
      <x:c r="G21" s="4" t="str">
        <x:v>待M阶段冻结</x:v>
      </x:c>
      <x:c r="H21" s="17" t="str">
        <x:v>INTERNAL</x:v>
      </x:c>
      <x:c r="I21" s="17" t="str">
        <x:v>按资源权限与数据域访问；公开DTO另行白名单</x:v>
      </x:c>
      <x:c r="J21" s="17" t="str">
        <x:v>数据库实体不得直接序列化为响应</x:v>
      </x:c>
      <x:c r="K21" s="17" t="str">
        <x:v>DTO白名单；长度/枚举/归属/状态校验；禁止信任客户端派生值</x:v>
      </x:c>
      <x:c r="L21" s="17" t="str">
        <x:v>按实体version或审计日志保留变更证据</x:v>
      </x:c>
      <x:c r="M21" s="4" t="str">
        <x:v>M5</x:v>
      </x:c>
      <x:c r="N21" s="4" t="str">
        <x:v>待切片细化</x:v>
      </x:c>
      <x:c r="O21" s="4" t="str">
        <x:v>综合方案§13核心数据模型</x:v>
      </x:c>
      <x:c r="P21" s="4" t="str">
        <x:v>DRAFT_FROM_SCHEME</x:v>
      </x:c>
    </x:row>
    <x:row r="22" ht="23" customHeight="1">
      <x:c r="A22" s="4" t="str">
        <x:v>PortalContentRevision</x:v>
      </x:c>
      <x:c r="B22" s="4" t="str">
        <x:v>contentSnapshot</x:v>
      </x:c>
      <x:c r="C22" s="17" t="str">
        <x:v>contentSnapshot</x:v>
      </x:c>
      <x:c r="D22" s="4" t="str">
        <x:v>4</x:v>
      </x:c>
      <x:c r="E22" s="4" t="str">
        <x:v>Json</x:v>
      </x:c>
      <x:c r="F22" s="4" t="str">
        <x:v>YES</x:v>
      </x:c>
      <x:c r="G22" s="4" t="str">
        <x:v>待M阶段冻结</x:v>
      </x:c>
      <x:c r="H22" s="17" t="str">
        <x:v>INTERNAL</x:v>
      </x:c>
      <x:c r="I22" s="17" t="str">
        <x:v>按资源权限与数据域访问；公开DTO另行白名单</x:v>
      </x:c>
      <x:c r="J22" s="17" t="str">
        <x:v>数据库实体不得直接序列化为响应</x:v>
      </x:c>
      <x:c r="K22" s="17" t="str">
        <x:v>DTO白名单；长度/枚举/归属/状态校验；禁止信任客户端派生值</x:v>
      </x:c>
      <x:c r="L22" s="17" t="str">
        <x:v>按实体version或审计日志保留变更证据</x:v>
      </x:c>
      <x:c r="M22" s="4" t="str">
        <x:v>M5</x:v>
      </x:c>
      <x:c r="N22" s="4" t="str">
        <x:v>待切片细化</x:v>
      </x:c>
      <x:c r="O22" s="4" t="str">
        <x:v>综合方案§13核心数据模型</x:v>
      </x:c>
      <x:c r="P22" s="4" t="str">
        <x:v>DRAFT_FROM_SCHEME</x:v>
      </x:c>
    </x:row>
    <x:row r="23" ht="23" customHeight="1">
      <x:c r="A23" s="4" t="str">
        <x:v>PortalContentRevision</x:v>
      </x:c>
      <x:c r="B23" s="4" t="str">
        <x:v>changeSummary</x:v>
      </x:c>
      <x:c r="C23" s="17" t="str">
        <x:v>changeSummary</x:v>
      </x:c>
      <x:c r="D23" s="4" t="str">
        <x:v>5</x:v>
      </x:c>
      <x:c r="E23" s="4" t="str">
        <x:v>String</x:v>
      </x:c>
      <x:c r="F23" s="4" t="str">
        <x:v>YES</x:v>
      </x:c>
      <x:c r="G23" s="4" t="str">
        <x:v>待M阶段冻结</x:v>
      </x:c>
      <x:c r="H23" s="17" t="str">
        <x:v>INTERNAL</x:v>
      </x:c>
      <x:c r="I23" s="17" t="str">
        <x:v>按资源权限与数据域访问；公开DTO另行白名单</x:v>
      </x:c>
      <x:c r="J23" s="17" t="str">
        <x:v>数据库实体不得直接序列化为响应</x:v>
      </x:c>
      <x:c r="K23" s="17" t="str">
        <x:v>DTO白名单；长度/枚举/归属/状态校验；禁止信任客户端派生值</x:v>
      </x:c>
      <x:c r="L23" s="17" t="str">
        <x:v>按实体version或审计日志保留变更证据</x:v>
      </x:c>
      <x:c r="M23" s="4" t="str">
        <x:v>M5</x:v>
      </x:c>
      <x:c r="N23" s="4" t="str">
        <x:v>待切片细化</x:v>
      </x:c>
      <x:c r="O23" s="4" t="str">
        <x:v>综合方案§13核心数据模型</x:v>
      </x:c>
      <x:c r="P23" s="4" t="str">
        <x:v>DRAFT_FROM_SCHEME</x:v>
      </x:c>
    </x:row>
    <x:row r="24" ht="23" customHeight="1">
      <x:c r="A24" s="4" t="str">
        <x:v>PortalContentRevision</x:v>
      </x:c>
      <x:c r="B24" s="4" t="str">
        <x:v>createdBy</x:v>
      </x:c>
      <x:c r="C24" s="17" t="str">
        <x:v>createdBy</x:v>
      </x:c>
      <x:c r="D24" s="4" t="str">
        <x:v>6</x:v>
      </x:c>
      <x:c r="E24" s="4" t="str">
        <x:v>String</x:v>
      </x:c>
      <x:c r="F24" s="4" t="str">
        <x:v>YES</x:v>
      </x:c>
      <x:c r="G24" s="4" t="str">
        <x:v>待M阶段冻结</x:v>
      </x:c>
      <x:c r="H24" s="17" t="str">
        <x:v>INTERNAL</x:v>
      </x:c>
      <x:c r="I24" s="17" t="str">
        <x:v>按资源权限与数据域访问；公开DTO另行白名单</x:v>
      </x:c>
      <x:c r="J24" s="17" t="str">
        <x:v>数据库实体不得直接序列化为响应</x:v>
      </x:c>
      <x:c r="K24" s="17" t="str">
        <x:v>DTO白名单；长度/枚举/归属/状态校验；禁止信任客户端派生值</x:v>
      </x:c>
      <x:c r="L24" s="17" t="str">
        <x:v>按实体version或审计日志保留变更证据</x:v>
      </x:c>
      <x:c r="M24" s="4" t="str">
        <x:v>M5</x:v>
      </x:c>
      <x:c r="N24" s="4" t="str">
        <x:v>待切片细化</x:v>
      </x:c>
      <x:c r="O24" s="4" t="str">
        <x:v>综合方案§13核心数据模型</x:v>
      </x:c>
      <x:c r="P24" s="4" t="str">
        <x:v>DRAFT_FROM_SCHEME</x:v>
      </x:c>
    </x:row>
    <x:row r="25" ht="23" customHeight="1">
      <x:c r="A25" s="4" t="str">
        <x:v>PortalContentRevision</x:v>
      </x:c>
      <x:c r="B25" s="4" t="str">
        <x:v>createdAt</x:v>
      </x:c>
      <x:c r="C25" s="17" t="str">
        <x:v>createdAt</x:v>
      </x:c>
      <x:c r="D25" s="4" t="str">
        <x:v>7</x:v>
      </x:c>
      <x:c r="E25" s="4" t="str">
        <x:v>DateTime</x:v>
      </x:c>
      <x:c r="F25" s="4" t="str">
        <x:v>YES</x:v>
      </x:c>
      <x:c r="G25" s="4" t="str">
        <x:v>ISO-8601+明确时区</x:v>
      </x:c>
      <x:c r="H25" s="17" t="str">
        <x:v>INTERNAL</x:v>
      </x:c>
      <x:c r="I25" s="17" t="str">
        <x:v>按资源权限与数据域访问；公开DTO另行白名单</x:v>
      </x:c>
      <x:c r="J25" s="17" t="str">
        <x:v>数据库实体不得直接序列化为响应</x:v>
      </x:c>
      <x:c r="K25" s="17" t="str">
        <x:v>DTO白名单；长度/枚举/归属/状态校验；禁止信任客户端派生值</x:v>
      </x:c>
      <x:c r="L25" s="17" t="str">
        <x:v>按实体version或审计日志保留变更证据</x:v>
      </x:c>
      <x:c r="M25" s="4" t="str">
        <x:v>M5</x:v>
      </x:c>
      <x:c r="N25" s="4" t="str">
        <x:v>待切片细化</x:v>
      </x:c>
      <x:c r="O25" s="4" t="str">
        <x:v>综合方案§13核心数据模型</x:v>
      </x:c>
      <x:c r="P25" s="4" t="str">
        <x:v>DRAFT_FROM_SCHEME</x:v>
      </x:c>
    </x:row>
    <x:row r="26" ht="23" customHeight="1">
      <x:c r="A26" s="4" t="str">
        <x:v>PortalNavigationItem</x:v>
      </x:c>
      <x:c r="B26" s="4" t="str">
        <x:v>id</x:v>
      </x:c>
      <x:c r="C26" s="17" t="str">
        <x:v>id</x:v>
      </x:c>
      <x:c r="D26" s="4" t="str">
        <x:v>1</x:v>
      </x:c>
      <x:c r="E26" s="4" t="str">
        <x:v>String/UUID</x:v>
      </x:c>
      <x:c r="F26" s="4" t="str">
        <x:v>YES</x:v>
      </x:c>
      <x:c r="G26" s="4" t="str">
        <x:v>待M阶段冻结</x:v>
      </x:c>
      <x:c r="H26" s="17" t="str">
        <x:v>INTERNAL</x:v>
      </x:c>
      <x:c r="I26" s="17" t="str">
        <x:v>按资源权限与数据域访问；公开DTO另行白名单</x:v>
      </x:c>
      <x:c r="J26" s="17" t="str">
        <x:v>数据库实体不得直接序列化为响应</x:v>
      </x:c>
      <x:c r="K26" s="17" t="str">
        <x:v>DTO白名单；长度/枚举/归属/状态校验；禁止信任客户端派生值</x:v>
      </x:c>
      <x:c r="L26" s="17" t="str">
        <x:v>按实体version或审计日志保留变更证据</x:v>
      </x:c>
      <x:c r="M26" s="4" t="str">
        <x:v>M5</x:v>
      </x:c>
      <x:c r="N26" s="4" t="str">
        <x:v>待切片细化</x:v>
      </x:c>
      <x:c r="O26" s="4" t="str">
        <x:v>综合方案§13核心数据模型</x:v>
      </x:c>
      <x:c r="P26" s="4" t="str">
        <x:v>DRAFT_FROM_SCHEME</x:v>
      </x:c>
    </x:row>
    <x:row r="27" ht="23" customHeight="1">
      <x:c r="A27" s="4" t="str">
        <x:v>PortalNavigationItem</x:v>
      </x:c>
      <x:c r="B27" s="4" t="str">
        <x:v>location</x:v>
      </x:c>
      <x:c r="C27" s="17" t="str">
        <x:v>location</x:v>
      </x:c>
      <x:c r="D27" s="4" t="str">
        <x:v>2</x:v>
      </x:c>
      <x:c r="E27" s="4" t="str">
        <x:v>String</x:v>
      </x:c>
      <x:c r="F27" s="4" t="str">
        <x:v>YES</x:v>
      </x:c>
      <x:c r="G27" s="4" t="str">
        <x:v>待M阶段冻结</x:v>
      </x:c>
      <x:c r="H27" s="17" t="str">
        <x:v>INTERNAL</x:v>
      </x:c>
      <x:c r="I27" s="17" t="str">
        <x:v>按资源权限与数据域访问；公开DTO另行白名单</x:v>
      </x:c>
      <x:c r="J27" s="17" t="str">
        <x:v>数据库实体不得直接序列化为响应</x:v>
      </x:c>
      <x:c r="K27" s="17" t="str">
        <x:v>DTO白名单；长度/枚举/归属/状态校验；禁止信任客户端派生值</x:v>
      </x:c>
      <x:c r="L27" s="17" t="str">
        <x:v>按实体version或审计日志保留变更证据</x:v>
      </x:c>
      <x:c r="M27" s="4" t="str">
        <x:v>M5</x:v>
      </x:c>
      <x:c r="N27" s="4" t="str">
        <x:v>待切片细化</x:v>
      </x:c>
      <x:c r="O27" s="4" t="str">
        <x:v>综合方案§13核心数据模型</x:v>
      </x:c>
      <x:c r="P27" s="4" t="str">
        <x:v>DRAFT_FROM_SCHEME</x:v>
      </x:c>
    </x:row>
    <x:row r="28" ht="23" customHeight="1">
      <x:c r="A28" s="4" t="str">
        <x:v>PortalNavigationItem</x:v>
      </x:c>
      <x:c r="B28" s="4" t="str">
        <x:v>label</x:v>
      </x:c>
      <x:c r="C28" s="17" t="str">
        <x:v>label</x:v>
      </x:c>
      <x:c r="D28" s="4" t="str">
        <x:v>3</x:v>
      </x:c>
      <x:c r="E28" s="4" t="str">
        <x:v>String</x:v>
      </x:c>
      <x:c r="F28" s="4" t="str">
        <x:v>YES</x:v>
      </x:c>
      <x:c r="G28" s="4" t="str">
        <x:v>待M阶段冻结</x:v>
      </x:c>
      <x:c r="H28" s="17" t="str">
        <x:v>INTERNAL</x:v>
      </x:c>
      <x:c r="I28" s="17" t="str">
        <x:v>按资源权限与数据域访问；公开DTO另行白名单</x:v>
      </x:c>
      <x:c r="J28" s="17" t="str">
        <x:v>数据库实体不得直接序列化为响应</x:v>
      </x:c>
      <x:c r="K28" s="17" t="str">
        <x:v>DTO白名单；长度/枚举/归属/状态校验；禁止信任客户端派生值</x:v>
      </x:c>
      <x:c r="L28" s="17" t="str">
        <x:v>按实体version或审计日志保留变更证据</x:v>
      </x:c>
      <x:c r="M28" s="4" t="str">
        <x:v>M5</x:v>
      </x:c>
      <x:c r="N28" s="4" t="str">
        <x:v>待切片细化</x:v>
      </x:c>
      <x:c r="O28" s="4" t="str">
        <x:v>综合方案§13核心数据模型</x:v>
      </x:c>
      <x:c r="P28" s="4" t="str">
        <x:v>DRAFT_FROM_SCHEME</x:v>
      </x:c>
    </x:row>
    <x:row r="29" ht="23" customHeight="1">
      <x:c r="A29" s="4" t="str">
        <x:v>PortalNavigationItem</x:v>
      </x:c>
      <x:c r="B29" s="4" t="str">
        <x:v>linkType</x:v>
      </x:c>
      <x:c r="C29" s="17" t="str">
        <x:v>linkType</x:v>
      </x:c>
      <x:c r="D29" s="4" t="str">
        <x:v>4</x:v>
      </x:c>
      <x:c r="E29" s="4" t="str">
        <x:v>Enum/String</x:v>
      </x:c>
      <x:c r="F29" s="4" t="str">
        <x:v>YES</x:v>
      </x:c>
      <x:c r="G29" s="4" t="str">
        <x:v>待M阶段冻结</x:v>
      </x:c>
      <x:c r="H29" s="17" t="str">
        <x:v>INTERNAL</x:v>
      </x:c>
      <x:c r="I29" s="17" t="str">
        <x:v>按资源权限与数据域访问；公开DTO另行白名单</x:v>
      </x:c>
      <x:c r="J29" s="17" t="str">
        <x:v>数据库实体不得直接序列化为响应</x:v>
      </x:c>
      <x:c r="K29" s="17" t="str">
        <x:v>DTO白名单；长度/枚举/归属/状态校验；禁止信任客户端派生值</x:v>
      </x:c>
      <x:c r="L29" s="17" t="str">
        <x:v>按实体version或审计日志保留变更证据</x:v>
      </x:c>
      <x:c r="M29" s="4" t="str">
        <x:v>M5</x:v>
      </x:c>
      <x:c r="N29" s="4" t="str">
        <x:v>待切片细化</x:v>
      </x:c>
      <x:c r="O29" s="4" t="str">
        <x:v>综合方案§13核心数据模型</x:v>
      </x:c>
      <x:c r="P29" s="4" t="str">
        <x:v>DRAFT_FROM_SCHEME</x:v>
      </x:c>
    </x:row>
    <x:row r="30" ht="23" customHeight="1">
      <x:c r="A30" s="4" t="str">
        <x:v>PortalNavigationItem</x:v>
      </x:c>
      <x:c r="B30" s="4" t="str">
        <x:v>linkTarget</x:v>
      </x:c>
      <x:c r="C30" s="17" t="str">
        <x:v>linkTarget</x:v>
      </x:c>
      <x:c r="D30" s="4" t="str">
        <x:v>5</x:v>
      </x:c>
      <x:c r="E30" s="4" t="str">
        <x:v>String</x:v>
      </x:c>
      <x:c r="F30" s="4" t="str">
        <x:v>YES</x:v>
      </x:c>
      <x:c r="G30" s="4" t="str">
        <x:v>待M阶段冻结</x:v>
      </x:c>
      <x:c r="H30" s="17" t="str">
        <x:v>INTERNAL</x:v>
      </x:c>
      <x:c r="I30" s="17" t="str">
        <x:v>按资源权限与数据域访问；公开DTO另行白名单</x:v>
      </x:c>
      <x:c r="J30" s="17" t="str">
        <x:v>数据库实体不得直接序列化为响应</x:v>
      </x:c>
      <x:c r="K30" s="17" t="str">
        <x:v>DTO白名单；长度/枚举/归属/状态校验；禁止信任客户端派生值</x:v>
      </x:c>
      <x:c r="L30" s="17" t="str">
        <x:v>按实体version或审计日志保留变更证据</x:v>
      </x:c>
      <x:c r="M30" s="4" t="str">
        <x:v>M5</x:v>
      </x:c>
      <x:c r="N30" s="4" t="str">
        <x:v>待切片细化</x:v>
      </x:c>
      <x:c r="O30" s="4" t="str">
        <x:v>综合方案§13核心数据模型</x:v>
      </x:c>
      <x:c r="P30" s="4" t="str">
        <x:v>DRAFT_FROM_SCHEME</x:v>
      </x:c>
    </x:row>
    <x:row r="31" ht="23" customHeight="1">
      <x:c r="A31" s="4" t="str">
        <x:v>PortalNavigationItem</x:v>
      </x:c>
      <x:c r="B31" s="4" t="str">
        <x:v>parentId</x:v>
      </x:c>
      <x:c r="C31" s="17" t="str">
        <x:v>parentId?</x:v>
      </x:c>
      <x:c r="D31" s="4" t="str">
        <x:v>6</x:v>
      </x:c>
      <x:c r="E31" s="4" t="str">
        <x:v>String/UUID</x:v>
      </x:c>
      <x:c r="F31" s="4" t="str">
        <x:v>NO</x:v>
      </x:c>
      <x:c r="G31" s="4" t="str">
        <x:v>待M阶段冻结</x:v>
      </x:c>
      <x:c r="H31" s="17" t="str">
        <x:v>INTERNAL</x:v>
      </x:c>
      <x:c r="I31" s="17" t="str">
        <x:v>按资源权限与数据域访问；公开DTO另行白名单</x:v>
      </x:c>
      <x:c r="J31" s="17" t="str">
        <x:v>数据库实体不得直接序列化为响应</x:v>
      </x:c>
      <x:c r="K31" s="17" t="str">
        <x:v>DTO白名单；长度/枚举/归属/状态校验；禁止信任客户端派生值</x:v>
      </x:c>
      <x:c r="L31" s="17" t="str">
        <x:v>按实体version或审计日志保留变更证据</x:v>
      </x:c>
      <x:c r="M31" s="4" t="str">
        <x:v>M5</x:v>
      </x:c>
      <x:c r="N31" s="4" t="str">
        <x:v>待切片细化</x:v>
      </x:c>
      <x:c r="O31" s="4" t="str">
        <x:v>综合方案§13核心数据模型</x:v>
      </x:c>
      <x:c r="P31" s="4" t="str">
        <x:v>DRAFT_FROM_SCHEME</x:v>
      </x:c>
    </x:row>
    <x:row r="32" ht="23" customHeight="1">
      <x:c r="A32" s="4" t="str">
        <x:v>PortalNavigationItem</x:v>
      </x:c>
      <x:c r="B32" s="4" t="str">
        <x:v>sortWeight</x:v>
      </x:c>
      <x:c r="C32" s="17" t="str">
        <x:v>sortWeight</x:v>
      </x:c>
      <x:c r="D32" s="4" t="str">
        <x:v>7</x:v>
      </x:c>
      <x:c r="E32" s="4" t="str">
        <x:v>Int</x:v>
      </x:c>
      <x:c r="F32" s="4" t="str">
        <x:v>YES</x:v>
      </x:c>
      <x:c r="G32" s="4" t="str">
        <x:v>待M阶段冻结</x:v>
      </x:c>
      <x:c r="H32" s="17" t="str">
        <x:v>INTERNAL</x:v>
      </x:c>
      <x:c r="I32" s="17" t="str">
        <x:v>按资源权限与数据域访问；公开DTO另行白名单</x:v>
      </x:c>
      <x:c r="J32" s="17" t="str">
        <x:v>数据库实体不得直接序列化为响应</x:v>
      </x:c>
      <x:c r="K32" s="17" t="str">
        <x:v>DTO白名单；长度/枚举/归属/状态校验；禁止信任客户端派生值</x:v>
      </x:c>
      <x:c r="L32" s="17" t="str">
        <x:v>按实体version或审计日志保留变更证据</x:v>
      </x:c>
      <x:c r="M32" s="4" t="str">
        <x:v>M5</x:v>
      </x:c>
      <x:c r="N32" s="4" t="str">
        <x:v>待切片细化</x:v>
      </x:c>
      <x:c r="O32" s="4" t="str">
        <x:v>综合方案§13核心数据模型</x:v>
      </x:c>
      <x:c r="P32" s="4" t="str">
        <x:v>DRAFT_FROM_SCHEME</x:v>
      </x:c>
    </x:row>
    <x:row r="33" ht="23" customHeight="1">
      <x:c r="A33" s="4" t="str">
        <x:v>PortalNavigationItem</x:v>
      </x:c>
      <x:c r="B33" s="4" t="str">
        <x:v>visibilityRule</x:v>
      </x:c>
      <x:c r="C33" s="17" t="str">
        <x:v>visibilityRule</x:v>
      </x:c>
      <x:c r="D33" s="4" t="str">
        <x:v>8</x:v>
      </x:c>
      <x:c r="E33" s="4" t="str">
        <x:v>String</x:v>
      </x:c>
      <x:c r="F33" s="4" t="str">
        <x:v>YES</x:v>
      </x:c>
      <x:c r="G33" s="4" t="str">
        <x:v>待M阶段冻结</x:v>
      </x:c>
      <x:c r="H33" s="17" t="str">
        <x:v>INTERNAL</x:v>
      </x:c>
      <x:c r="I33" s="17" t="str">
        <x:v>按资源权限与数据域访问；公开DTO另行白名单</x:v>
      </x:c>
      <x:c r="J33" s="17" t="str">
        <x:v>数据库实体不得直接序列化为响应</x:v>
      </x:c>
      <x:c r="K33" s="17" t="str">
        <x:v>DTO白名单；长度/枚举/归属/状态校验；禁止信任客户端派生值</x:v>
      </x:c>
      <x:c r="L33" s="17" t="str">
        <x:v>按实体version或审计日志保留变更证据</x:v>
      </x:c>
      <x:c r="M33" s="4" t="str">
        <x:v>M5</x:v>
      </x:c>
      <x:c r="N33" s="4" t="str">
        <x:v>待切片细化</x:v>
      </x:c>
      <x:c r="O33" s="4" t="str">
        <x:v>综合方案§13核心数据模型</x:v>
      </x:c>
      <x:c r="P33" s="4" t="str">
        <x:v>DRAFT_FROM_SCHEME</x:v>
      </x:c>
    </x:row>
    <x:row r="34" ht="23" customHeight="1">
      <x:c r="A34" s="4" t="str">
        <x:v>PortalNavigationItem</x:v>
      </x:c>
      <x:c r="B34" s="4" t="str">
        <x:v>status</x:v>
      </x:c>
      <x:c r="C34" s="17" t="str">
        <x:v>status</x:v>
      </x:c>
      <x:c r="D34" s="4" t="str">
        <x:v>9</x:v>
      </x:c>
      <x:c r="E34" s="4" t="str">
        <x:v>Enum/String</x:v>
      </x:c>
      <x:c r="F34" s="4" t="str">
        <x:v>YES</x:v>
      </x:c>
      <x:c r="G34" s="4" t="str">
        <x:v>待M阶段冻结</x:v>
      </x:c>
      <x:c r="H34" s="17" t="str">
        <x:v>INTERNAL</x:v>
      </x:c>
      <x:c r="I34" s="17" t="str">
        <x:v>按资源权限与数据域访问；公开DTO另行白名单</x:v>
      </x:c>
      <x:c r="J34" s="17" t="str">
        <x:v>数据库实体不得直接序列化为响应</x:v>
      </x:c>
      <x:c r="K34" s="17" t="str">
        <x:v>DTO白名单；长度/枚举/归属/状态校验；禁止信任客户端派生值</x:v>
      </x:c>
      <x:c r="L34" s="17" t="str">
        <x:v>按实体version或审计日志保留变更证据</x:v>
      </x:c>
      <x:c r="M34" s="4" t="str">
        <x:v>M5</x:v>
      </x:c>
      <x:c r="N34" s="4" t="str">
        <x:v>待切片细化</x:v>
      </x:c>
      <x:c r="O34" s="4" t="str">
        <x:v>综合方案§13核心数据模型</x:v>
      </x:c>
      <x:c r="P34" s="4" t="str">
        <x:v>DRAFT_FROM_SCHEME</x:v>
      </x:c>
    </x:row>
    <x:row r="35" ht="23" customHeight="1">
      <x:c r="A35" s="4" t="str">
        <x:v>PortalMediaAsset</x:v>
      </x:c>
      <x:c r="B35" s="4" t="str">
        <x:v>id</x:v>
      </x:c>
      <x:c r="C35" s="17" t="str">
        <x:v>id</x:v>
      </x:c>
      <x:c r="D35" s="4" t="str">
        <x:v>1</x:v>
      </x:c>
      <x:c r="E35" s="4" t="str">
        <x:v>String/UUID</x:v>
      </x:c>
      <x:c r="F35" s="4" t="str">
        <x:v>YES</x:v>
      </x:c>
      <x:c r="G35" s="4" t="str">
        <x:v>待M阶段冻结</x:v>
      </x:c>
      <x:c r="H35" s="17" t="str">
        <x:v>INTERNAL</x:v>
      </x:c>
      <x:c r="I35" s="17" t="str">
        <x:v>按资源权限与数据域访问；公开DTO另行白名单</x:v>
      </x:c>
      <x:c r="J35" s="17" t="str">
        <x:v>数据库实体不得直接序列化为响应</x:v>
      </x:c>
      <x:c r="K35" s="17" t="str">
        <x:v>DTO白名单；长度/枚举/归属/状态校验；禁止信任客户端派生值</x:v>
      </x:c>
      <x:c r="L35" s="17" t="str">
        <x:v>按实体version或审计日志保留变更证据</x:v>
      </x:c>
      <x:c r="M35" s="4" t="str">
        <x:v>M5</x:v>
      </x:c>
      <x:c r="N35" s="4" t="str">
        <x:v>待切片细化</x:v>
      </x:c>
      <x:c r="O35" s="4" t="str">
        <x:v>综合方案§13核心数据模型</x:v>
      </x:c>
      <x:c r="P35" s="4" t="str">
        <x:v>DRAFT_FROM_SCHEME</x:v>
      </x:c>
    </x:row>
    <x:row r="36" ht="23" customHeight="1">
      <x:c r="A36" s="4" t="str">
        <x:v>PortalMediaAsset</x:v>
      </x:c>
      <x:c r="B36" s="4" t="str">
        <x:v>storageKey</x:v>
      </x:c>
      <x:c r="C36" s="17" t="str">
        <x:v>storageKey</x:v>
      </x:c>
      <x:c r="D36" s="4" t="str">
        <x:v>2</x:v>
      </x:c>
      <x:c r="E36" s="4" t="str">
        <x:v>String</x:v>
      </x:c>
      <x:c r="F36" s="4" t="str">
        <x:v>YES</x:v>
      </x:c>
      <x:c r="G36" s="4" t="str">
        <x:v>待M阶段冻结</x:v>
      </x:c>
      <x:c r="H36" s="17" t="str">
        <x:v>INTERNAL</x:v>
      </x:c>
      <x:c r="I36" s="17" t="str">
        <x:v>按资源权限与数据域访问；公开DTO另行白名单</x:v>
      </x:c>
      <x:c r="J36" s="17" t="str">
        <x:v>数据库实体不得直接序列化为响应</x:v>
      </x:c>
      <x:c r="K36" s="17" t="str">
        <x:v>DTO白名单；长度/枚举/归属/状态校验；禁止信任客户端派生值</x:v>
      </x:c>
      <x:c r="L36" s="17" t="str">
        <x:v>按实体version或审计日志保留变更证据</x:v>
      </x:c>
      <x:c r="M36" s="4" t="str">
        <x:v>M5</x:v>
      </x:c>
      <x:c r="N36" s="4" t="str">
        <x:v>待切片细化</x:v>
      </x:c>
      <x:c r="O36" s="4" t="str">
        <x:v>综合方案§13核心数据模型</x:v>
      </x:c>
      <x:c r="P36" s="4" t="str">
        <x:v>DRAFT_FROM_SCHEME</x:v>
      </x:c>
    </x:row>
    <x:row r="37" ht="23" customHeight="1">
      <x:c r="A37" s="4" t="str">
        <x:v>PortalMediaAsset</x:v>
      </x:c>
      <x:c r="B37" s="4" t="str">
        <x:v>mediaType</x:v>
      </x:c>
      <x:c r="C37" s="17" t="str">
        <x:v>mediaType</x:v>
      </x:c>
      <x:c r="D37" s="4" t="str">
        <x:v>3</x:v>
      </x:c>
      <x:c r="E37" s="4" t="str">
        <x:v>Enum/String</x:v>
      </x:c>
      <x:c r="F37" s="4" t="str">
        <x:v>YES</x:v>
      </x:c>
      <x:c r="G37" s="4" t="str">
        <x:v>待M阶段冻结</x:v>
      </x:c>
      <x:c r="H37" s="17" t="str">
        <x:v>INTERNAL</x:v>
      </x:c>
      <x:c r="I37" s="17" t="str">
        <x:v>按资源权限与数据域访问；公开DTO另行白名单</x:v>
      </x:c>
      <x:c r="J37" s="17" t="str">
        <x:v>数据库实体不得直接序列化为响应</x:v>
      </x:c>
      <x:c r="K37" s="17" t="str">
        <x:v>DTO白名单；长度/枚举/归属/状态校验；禁止信任客户端派生值</x:v>
      </x:c>
      <x:c r="L37" s="17" t="str">
        <x:v>按实体version或审计日志保留变更证据</x:v>
      </x:c>
      <x:c r="M37" s="4" t="str">
        <x:v>M5</x:v>
      </x:c>
      <x:c r="N37" s="4" t="str">
        <x:v>待切片细化</x:v>
      </x:c>
      <x:c r="O37" s="4" t="str">
        <x:v>综合方案§13核心数据模型</x:v>
      </x:c>
      <x:c r="P37" s="4" t="str">
        <x:v>DRAFT_FROM_SCHEME</x:v>
      </x:c>
    </x:row>
    <x:row r="38" ht="23" customHeight="1">
      <x:c r="A38" s="4" t="str">
        <x:v>PortalMediaAsset</x:v>
      </x:c>
      <x:c r="B38" s="4" t="str">
        <x:v>altText</x:v>
      </x:c>
      <x:c r="C38" s="17" t="str">
        <x:v>altText</x:v>
      </x:c>
      <x:c r="D38" s="4" t="str">
        <x:v>4</x:v>
      </x:c>
      <x:c r="E38" s="4" t="str">
        <x:v>String</x:v>
      </x:c>
      <x:c r="F38" s="4" t="str">
        <x:v>YES</x:v>
      </x:c>
      <x:c r="G38" s="4" t="str">
        <x:v>待M阶段冻结</x:v>
      </x:c>
      <x:c r="H38" s="17" t="str">
        <x:v>INTERNAL</x:v>
      </x:c>
      <x:c r="I38" s="17" t="str">
        <x:v>按资源权限与数据域访问；公开DTO另行白名单</x:v>
      </x:c>
      <x:c r="J38" s="17" t="str">
        <x:v>数据库实体不得直接序列化为响应</x:v>
      </x:c>
      <x:c r="K38" s="17" t="str">
        <x:v>DTO白名单；长度/枚举/归属/状态校验；禁止信任客户端派生值</x:v>
      </x:c>
      <x:c r="L38" s="17" t="str">
        <x:v>按实体version或审计日志保留变更证据</x:v>
      </x:c>
      <x:c r="M38" s="4" t="str">
        <x:v>M5</x:v>
      </x:c>
      <x:c r="N38" s="4" t="str">
        <x:v>待切片细化</x:v>
      </x:c>
      <x:c r="O38" s="4" t="str">
        <x:v>综合方案§13核心数据模型</x:v>
      </x:c>
      <x:c r="P38" s="4" t="str">
        <x:v>DRAFT_FROM_SCHEME</x:v>
      </x:c>
    </x:row>
    <x:row r="39" ht="23" customHeight="1">
      <x:c r="A39" s="4" t="str">
        <x:v>PortalMediaAsset</x:v>
      </x:c>
      <x:c r="B39" s="4" t="str">
        <x:v>usageRightsNote</x:v>
      </x:c>
      <x:c r="C39" s="17" t="str">
        <x:v>usageRightsNote</x:v>
      </x:c>
      <x:c r="D39" s="4" t="str">
        <x:v>5</x:v>
      </x:c>
      <x:c r="E39" s="4" t="str">
        <x:v>String</x:v>
      </x:c>
      <x:c r="F39" s="4" t="str">
        <x:v>YES</x:v>
      </x:c>
      <x:c r="G39" s="4" t="str">
        <x:v>待M阶段冻结</x:v>
      </x:c>
      <x:c r="H39" s="17" t="str">
        <x:v>INTERNAL</x:v>
      </x:c>
      <x:c r="I39" s="17" t="str">
        <x:v>按资源权限与数据域访问；公开DTO另行白名单</x:v>
      </x:c>
      <x:c r="J39" s="17" t="str">
        <x:v>数据库实体不得直接序列化为响应</x:v>
      </x:c>
      <x:c r="K39" s="17" t="str">
        <x:v>DTO白名单；长度/枚举/归属/状态校验；禁止信任客户端派生值</x:v>
      </x:c>
      <x:c r="L39" s="17" t="str">
        <x:v>按实体version或审计日志保留变更证据</x:v>
      </x:c>
      <x:c r="M39" s="4" t="str">
        <x:v>M5</x:v>
      </x:c>
      <x:c r="N39" s="4" t="str">
        <x:v>待切片细化</x:v>
      </x:c>
      <x:c r="O39" s="4" t="str">
        <x:v>综合方案§13核心数据模型</x:v>
      </x:c>
      <x:c r="P39" s="4" t="str">
        <x:v>DRAFT_FROM_SCHEME</x:v>
      </x:c>
    </x:row>
    <x:row r="40" ht="23" customHeight="1">
      <x:c r="A40" s="4" t="str">
        <x:v>PortalMediaAsset</x:v>
      </x:c>
      <x:c r="B40" s="4" t="str">
        <x:v>uploadedBy</x:v>
      </x:c>
      <x:c r="C40" s="17" t="str">
        <x:v>uploadedBy</x:v>
      </x:c>
      <x:c r="D40" s="4" t="str">
        <x:v>6</x:v>
      </x:c>
      <x:c r="E40" s="4" t="str">
        <x:v>String</x:v>
      </x:c>
      <x:c r="F40" s="4" t="str">
        <x:v>YES</x:v>
      </x:c>
      <x:c r="G40" s="4" t="str">
        <x:v>待M阶段冻结</x:v>
      </x:c>
      <x:c r="H40" s="17" t="str">
        <x:v>INTERNAL</x:v>
      </x:c>
      <x:c r="I40" s="17" t="str">
        <x:v>按资源权限与数据域访问；公开DTO另行白名单</x:v>
      </x:c>
      <x:c r="J40" s="17" t="str">
        <x:v>数据库实体不得直接序列化为响应</x:v>
      </x:c>
      <x:c r="K40" s="17" t="str">
        <x:v>DTO白名单；长度/枚举/归属/状态校验；禁止信任客户端派生值</x:v>
      </x:c>
      <x:c r="L40" s="17" t="str">
        <x:v>按实体version或审计日志保留变更证据</x:v>
      </x:c>
      <x:c r="M40" s="4" t="str">
        <x:v>M5</x:v>
      </x:c>
      <x:c r="N40" s="4" t="str">
        <x:v>待切片细化</x:v>
      </x:c>
      <x:c r="O40" s="4" t="str">
        <x:v>综合方案§13核心数据模型</x:v>
      </x:c>
      <x:c r="P40" s="4" t="str">
        <x:v>DRAFT_FROM_SCHEME</x:v>
      </x:c>
    </x:row>
    <x:row r="41" ht="23" customHeight="1">
      <x:c r="A41" s="4" t="str">
        <x:v>PortalMediaAsset</x:v>
      </x:c>
      <x:c r="B41" s="4" t="str">
        <x:v>status</x:v>
      </x:c>
      <x:c r="C41" s="17" t="str">
        <x:v>status</x:v>
      </x:c>
      <x:c r="D41" s="4" t="str">
        <x:v>7</x:v>
      </x:c>
      <x:c r="E41" s="4" t="str">
        <x:v>Enum/String</x:v>
      </x:c>
      <x:c r="F41" s="4" t="str">
        <x:v>YES</x:v>
      </x:c>
      <x:c r="G41" s="4" t="str">
        <x:v>待M阶段冻结</x:v>
      </x:c>
      <x:c r="H41" s="17" t="str">
        <x:v>INTERNAL</x:v>
      </x:c>
      <x:c r="I41" s="17" t="str">
        <x:v>按资源权限与数据域访问；公开DTO另行白名单</x:v>
      </x:c>
      <x:c r="J41" s="17" t="str">
        <x:v>数据库实体不得直接序列化为响应</x:v>
      </x:c>
      <x:c r="K41" s="17" t="str">
        <x:v>DTO白名单；长度/枚举/归属/状态校验；禁止信任客户端派生值</x:v>
      </x:c>
      <x:c r="L41" s="17" t="str">
        <x:v>按实体version或审计日志保留变更证据</x:v>
      </x:c>
      <x:c r="M41" s="4" t="str">
        <x:v>M5</x:v>
      </x:c>
      <x:c r="N41" s="4" t="str">
        <x:v>待切片细化</x:v>
      </x:c>
      <x:c r="O41" s="4" t="str">
        <x:v>综合方案§13核心数据模型</x:v>
      </x:c>
      <x:c r="P41" s="4" t="str">
        <x:v>DRAFT_FROM_SCHEME</x:v>
      </x:c>
    </x:row>
    <x:row r="42" ht="23" customHeight="1">
      <x:c r="A42" s="4" t="str">
        <x:v>BusinessInquiry</x:v>
      </x:c>
      <x:c r="B42" s="4" t="str">
        <x:v>id</x:v>
      </x:c>
      <x:c r="C42" s="17" t="str">
        <x:v>id</x:v>
      </x:c>
      <x:c r="D42" s="4" t="str">
        <x:v>1</x:v>
      </x:c>
      <x:c r="E42" s="4" t="str">
        <x:v>String/UUID</x:v>
      </x:c>
      <x:c r="F42" s="4" t="str">
        <x:v>YES</x:v>
      </x:c>
      <x:c r="G42" s="4" t="str">
        <x:v>待M阶段冻结</x:v>
      </x:c>
      <x:c r="H42" s="17" t="str">
        <x:v>INTERNAL</x:v>
      </x:c>
      <x:c r="I42" s="17" t="str">
        <x:v>按资源权限与数据域访问；公开DTO另行白名单</x:v>
      </x:c>
      <x:c r="J42" s="17" t="str">
        <x:v>数据库实体不得直接序列化为响应</x:v>
      </x:c>
      <x:c r="K42" s="17" t="str">
        <x:v>DTO白名单；长度/枚举/归属/状态校验；禁止信任客户端派生值</x:v>
      </x:c>
      <x:c r="L42" s="17" t="str">
        <x:v>按实体version或审计日志保留变更证据</x:v>
      </x:c>
      <x:c r="M42" s="4" t="str">
        <x:v>M5</x:v>
      </x:c>
      <x:c r="N42" s="4" t="str">
        <x:v>P0-074,P0-076</x:v>
      </x:c>
      <x:c r="O42" s="4" t="str">
        <x:v>综合方案§13核心数据模型</x:v>
      </x:c>
      <x:c r="P42" s="4" t="str">
        <x:v>DRAFT_FROM_SCHEME</x:v>
      </x:c>
    </x:row>
    <x:row r="43" ht="23" customHeight="1">
      <x:c r="A43" s="4" t="str">
        <x:v>BusinessInquiry</x:v>
      </x:c>
      <x:c r="B43" s="4" t="str">
        <x:v>inquiryType</x:v>
      </x:c>
      <x:c r="C43" s="17" t="str">
        <x:v>inquiryType</x:v>
      </x:c>
      <x:c r="D43" s="4" t="str">
        <x:v>2</x:v>
      </x:c>
      <x:c r="E43" s="4" t="str">
        <x:v>Enum/String</x:v>
      </x:c>
      <x:c r="F43" s="4" t="str">
        <x:v>YES</x:v>
      </x:c>
      <x:c r="G43" s="4" t="str">
        <x:v>待M阶段冻结</x:v>
      </x:c>
      <x:c r="H43" s="17" t="str">
        <x:v>INTERNAL</x:v>
      </x:c>
      <x:c r="I43" s="17" t="str">
        <x:v>按资源权限与数据域访问；公开DTO另行白名单</x:v>
      </x:c>
      <x:c r="J43" s="17" t="str">
        <x:v>数据库实体不得直接序列化为响应</x:v>
      </x:c>
      <x:c r="K43" s="17" t="str">
        <x:v>DTO白名单；长度/枚举/归属/状态校验；禁止信任客户端派生值</x:v>
      </x:c>
      <x:c r="L43" s="17" t="str">
        <x:v>按实体version或审计日志保留变更证据</x:v>
      </x:c>
      <x:c r="M43" s="4" t="str">
        <x:v>M5</x:v>
      </x:c>
      <x:c r="N43" s="4" t="str">
        <x:v>P0-074,P0-076</x:v>
      </x:c>
      <x:c r="O43" s="4" t="str">
        <x:v>综合方案§13核心数据模型</x:v>
      </x:c>
      <x:c r="P43" s="4" t="str">
        <x:v>DRAFT_FROM_SCHEME</x:v>
      </x:c>
    </x:row>
    <x:row r="44" ht="23" customHeight="1">
      <x:c r="A44" s="4" t="str">
        <x:v>BusinessInquiry</x:v>
      </x:c>
      <x:c r="B44" s="4" t="str">
        <x:v>enterpriseName</x:v>
      </x:c>
      <x:c r="C44" s="17" t="str">
        <x:v>enterpriseName</x:v>
      </x:c>
      <x:c r="D44" s="4" t="str">
        <x:v>3</x:v>
      </x:c>
      <x:c r="E44" s="4" t="str">
        <x:v>String</x:v>
      </x:c>
      <x:c r="F44" s="4" t="str">
        <x:v>YES</x:v>
      </x:c>
      <x:c r="G44" s="4" t="str">
        <x:v>待M阶段冻结</x:v>
      </x:c>
      <x:c r="H44" s="17" t="str">
        <x:v>INTERNAL</x:v>
      </x:c>
      <x:c r="I44" s="17" t="str">
        <x:v>按资源权限与数据域访问；公开DTO另行白名单</x:v>
      </x:c>
      <x:c r="J44" s="17" t="str">
        <x:v>数据库实体不得直接序列化为响应</x:v>
      </x:c>
      <x:c r="K44" s="17" t="str">
        <x:v>DTO白名单；长度/枚举/归属/状态校验；禁止信任客户端派生值</x:v>
      </x:c>
      <x:c r="L44" s="17" t="str">
        <x:v>按实体version或审计日志保留变更证据</x:v>
      </x:c>
      <x:c r="M44" s="4" t="str">
        <x:v>M5</x:v>
      </x:c>
      <x:c r="N44" s="4" t="str">
        <x:v>P0-074,P0-076</x:v>
      </x:c>
      <x:c r="O44" s="4" t="str">
        <x:v>综合方案§13核心数据模型</x:v>
      </x:c>
      <x:c r="P44" s="4" t="str">
        <x:v>DRAFT_FROM_SCHEME</x:v>
      </x:c>
    </x:row>
    <x:row r="45" ht="23" customHeight="1">
      <x:c r="A45" s="4" t="str">
        <x:v>BusinessInquiry</x:v>
      </x:c>
      <x:c r="B45" s="4" t="str">
        <x:v>contactName</x:v>
      </x:c>
      <x:c r="C45" s="17" t="str">
        <x:v>contactName</x:v>
      </x:c>
      <x:c r="D45" s="4" t="str">
        <x:v>4</x:v>
      </x:c>
      <x:c r="E45" s="4" t="str">
        <x:v>String</x:v>
      </x:c>
      <x:c r="F45" s="4" t="str">
        <x:v>YES</x:v>
      </x:c>
      <x:c r="G45" s="4" t="str">
        <x:v>待M阶段冻结</x:v>
      </x:c>
      <x:c r="H45" s="17" t="str">
        <x:v>PERSONAL_OR_SENSITIVE</x:v>
      </x:c>
      <x:c r="I45" s="17" t="str">
        <x:v>按角色、对象归属及配送阶段脱敏/解密</x:v>
      </x:c>
      <x:c r="J45" s="17" t="str">
        <x:v>禁止跨供应商、越阶段或批量无审批导出</x:v>
      </x:c>
      <x:c r="K45" s="17" t="str">
        <x:v>DTO白名单；长度/枚举/归属/状态校验；禁止信任客户端派生值</x:v>
      </x:c>
      <x:c r="L45" s="17" t="str">
        <x:v>按实体version或审计日志保留变更证据</x:v>
      </x:c>
      <x:c r="M45" s="4" t="str">
        <x:v>M5</x:v>
      </x:c>
      <x:c r="N45" s="4" t="str">
        <x:v>P0-074,P0-076</x:v>
      </x:c>
      <x:c r="O45" s="4" t="str">
        <x:v>综合方案§13核心数据模型</x:v>
      </x:c>
      <x:c r="P45" s="4" t="str">
        <x:v>DRAFT_FROM_SCHEME</x:v>
      </x:c>
    </x:row>
    <x:row r="46" ht="23" customHeight="1">
      <x:c r="A46" s="4" t="str">
        <x:v>BusinessInquiry</x:v>
      </x:c>
      <x:c r="B46" s="4" t="str">
        <x:v>contactMobileEncrypted</x:v>
      </x:c>
      <x:c r="C46" s="17" t="str">
        <x:v>contactMobileEncrypted</x:v>
      </x:c>
      <x:c r="D46" s="4" t="str">
        <x:v>5</x:v>
      </x:c>
      <x:c r="E46" s="4" t="str">
        <x:v>String</x:v>
      </x:c>
      <x:c r="F46" s="4" t="str">
        <x:v>YES</x:v>
      </x:c>
      <x:c r="G46" s="4" t="str">
        <x:v>待M阶段冻结</x:v>
      </x:c>
      <x:c r="H46" s="17" t="str">
        <x:v>PERSONAL_OR_SENSITIVE</x:v>
      </x:c>
      <x:c r="I46" s="17" t="str">
        <x:v>按角色、对象归属及配送阶段脱敏/解密</x:v>
      </x:c>
      <x:c r="J46" s="17" t="str">
        <x:v>禁止跨供应商、越阶段或批量无审批导出</x:v>
      </x:c>
      <x:c r="K46" s="17" t="str">
        <x:v>DTO白名单；长度/枚举/归属/状态校验；禁止信任客户端派生值</x:v>
      </x:c>
      <x:c r="L46" s="17" t="str">
        <x:v>按实体version或审计日志保留变更证据</x:v>
      </x:c>
      <x:c r="M46" s="4" t="str">
        <x:v>M5</x:v>
      </x:c>
      <x:c r="N46" s="4" t="str">
        <x:v>P0-074,P0-076</x:v>
      </x:c>
      <x:c r="O46" s="4" t="str">
        <x:v>综合方案§13核心数据模型</x:v>
      </x:c>
      <x:c r="P46" s="4" t="str">
        <x:v>DRAFT_FROM_SCHEME</x:v>
      </x:c>
    </x:row>
    <x:row r="47" ht="23" customHeight="1">
      <x:c r="A47" s="4" t="str">
        <x:v>BusinessInquiry</x:v>
      </x:c>
      <x:c r="B47" s="4" t="str">
        <x:v>demandSummary</x:v>
      </x:c>
      <x:c r="C47" s="17" t="str">
        <x:v>demandSummary</x:v>
      </x:c>
      <x:c r="D47" s="4" t="str">
        <x:v>6</x:v>
      </x:c>
      <x:c r="E47" s="4" t="str">
        <x:v>String</x:v>
      </x:c>
      <x:c r="F47" s="4" t="str">
        <x:v>YES</x:v>
      </x:c>
      <x:c r="G47" s="4" t="str">
        <x:v>待M阶段冻结</x:v>
      </x:c>
      <x:c r="H47" s="17" t="str">
        <x:v>INTERNAL</x:v>
      </x:c>
      <x:c r="I47" s="17" t="str">
        <x:v>按资源权限与数据域访问；公开DTO另行白名单</x:v>
      </x:c>
      <x:c r="J47" s="17" t="str">
        <x:v>数据库实体不得直接序列化为响应</x:v>
      </x:c>
      <x:c r="K47" s="17" t="str">
        <x:v>DTO白名单；长度/枚举/归属/状态校验；禁止信任客户端派生值</x:v>
      </x:c>
      <x:c r="L47" s="17" t="str">
        <x:v>按实体version或审计日志保留变更证据</x:v>
      </x:c>
      <x:c r="M47" s="4" t="str">
        <x:v>M5</x:v>
      </x:c>
      <x:c r="N47" s="4" t="str">
        <x:v>P0-074,P0-076</x:v>
      </x:c>
      <x:c r="O47" s="4" t="str">
        <x:v>综合方案§13核心数据模型</x:v>
      </x:c>
      <x:c r="P47" s="4" t="str">
        <x:v>DRAFT_FROM_SCHEME</x:v>
      </x:c>
    </x:row>
    <x:row r="48" ht="23" customHeight="1">
      <x:c r="A48" s="4" t="str">
        <x:v>BusinessInquiry</x:v>
      </x:c>
      <x:c r="B48" s="4" t="str">
        <x:v>sourcePage</x:v>
      </x:c>
      <x:c r="C48" s="17" t="str">
        <x:v>sourcePage</x:v>
      </x:c>
      <x:c r="D48" s="4" t="str">
        <x:v>7</x:v>
      </x:c>
      <x:c r="E48" s="4" t="str">
        <x:v>String</x:v>
      </x:c>
      <x:c r="F48" s="4" t="str">
        <x:v>YES</x:v>
      </x:c>
      <x:c r="G48" s="4" t="str">
        <x:v>待M阶段冻结</x:v>
      </x:c>
      <x:c r="H48" s="17" t="str">
        <x:v>INTERNAL</x:v>
      </x:c>
      <x:c r="I48" s="17" t="str">
        <x:v>按资源权限与数据域访问；公开DTO另行白名单</x:v>
      </x:c>
      <x:c r="J48" s="17" t="str">
        <x:v>数据库实体不得直接序列化为响应</x:v>
      </x:c>
      <x:c r="K48" s="17" t="str">
        <x:v>DTO白名单；长度/枚举/归属/状态校验；禁止信任客户端派生值</x:v>
      </x:c>
      <x:c r="L48" s="17" t="str">
        <x:v>按实体version或审计日志保留变更证据</x:v>
      </x:c>
      <x:c r="M48" s="4" t="str">
        <x:v>M5</x:v>
      </x:c>
      <x:c r="N48" s="4" t="str">
        <x:v>P0-074,P0-076</x:v>
      </x:c>
      <x:c r="O48" s="4" t="str">
        <x:v>综合方案§13核心数据模型</x:v>
      </x:c>
      <x:c r="P48" s="4" t="str">
        <x:v>DRAFT_FROM_SCHEME</x:v>
      </x:c>
    </x:row>
    <x:row r="49" ht="23" customHeight="1">
      <x:c r="A49" s="4" t="str">
        <x:v>BusinessInquiry</x:v>
      </x:c>
      <x:c r="B49" s="4" t="str">
        <x:v>consentVersion</x:v>
      </x:c>
      <x:c r="C49" s="17" t="str">
        <x:v>consentVersion</x:v>
      </x:c>
      <x:c r="D49" s="4" t="str">
        <x:v>8</x:v>
      </x:c>
      <x:c r="E49" s="4" t="str">
        <x:v>Int</x:v>
      </x:c>
      <x:c r="F49" s="4" t="str">
        <x:v>YES</x:v>
      </x:c>
      <x:c r="G49" s="4" t="str">
        <x:v>待M阶段冻结</x:v>
      </x:c>
      <x:c r="H49" s="17" t="str">
        <x:v>INTERNAL</x:v>
      </x:c>
      <x:c r="I49" s="17" t="str">
        <x:v>按资源权限与数据域访问；公开DTO另行白名单</x:v>
      </x:c>
      <x:c r="J49" s="17" t="str">
        <x:v>数据库实体不得直接序列化为响应</x:v>
      </x:c>
      <x:c r="K49" s="17" t="str">
        <x:v>DTO白名单；长度/枚举/归属/状态校验；禁止信任客户端派生值</x:v>
      </x:c>
      <x:c r="L49" s="17" t="str">
        <x:v>按实体version或审计日志保留变更证据</x:v>
      </x:c>
      <x:c r="M49" s="4" t="str">
        <x:v>M5</x:v>
      </x:c>
      <x:c r="N49" s="4" t="str">
        <x:v>P0-074,P0-076</x:v>
      </x:c>
      <x:c r="O49" s="4" t="str">
        <x:v>综合方案§13核心数据模型</x:v>
      </x:c>
      <x:c r="P49" s="4" t="str">
        <x:v>DRAFT_FROM_SCHEME</x:v>
      </x:c>
    </x:row>
    <x:row r="50" ht="23" customHeight="1">
      <x:c r="A50" s="4" t="str">
        <x:v>BusinessInquiry</x:v>
      </x:c>
      <x:c r="B50" s="4" t="str">
        <x:v>status</x:v>
      </x:c>
      <x:c r="C50" s="17" t="str">
        <x:v>status</x:v>
      </x:c>
      <x:c r="D50" s="4" t="str">
        <x:v>9</x:v>
      </x:c>
      <x:c r="E50" s="4" t="str">
        <x:v>Enum/String</x:v>
      </x:c>
      <x:c r="F50" s="4" t="str">
        <x:v>YES</x:v>
      </x:c>
      <x:c r="G50" s="4" t="str">
        <x:v>待M阶段冻结</x:v>
      </x:c>
      <x:c r="H50" s="17" t="str">
        <x:v>INTERNAL</x:v>
      </x:c>
      <x:c r="I50" s="17" t="str">
        <x:v>按资源权限与数据域访问；公开DTO另行白名单</x:v>
      </x:c>
      <x:c r="J50" s="17" t="str">
        <x:v>数据库实体不得直接序列化为响应</x:v>
      </x:c>
      <x:c r="K50" s="17" t="str">
        <x:v>DTO白名单；长度/枚举/归属/状态校验；禁止信任客户端派生值</x:v>
      </x:c>
      <x:c r="L50" s="17" t="str">
        <x:v>按实体version或审计日志保留变更证据</x:v>
      </x:c>
      <x:c r="M50" s="4" t="str">
        <x:v>M5</x:v>
      </x:c>
      <x:c r="N50" s="4" t="str">
        <x:v>P0-074,P0-076</x:v>
      </x:c>
      <x:c r="O50" s="4" t="str">
        <x:v>综合方案§13核心数据模型</x:v>
      </x:c>
      <x:c r="P50" s="4" t="str">
        <x:v>DRAFT_FROM_SCHEME</x:v>
      </x:c>
    </x:row>
    <x:row r="51" ht="23" customHeight="1">
      <x:c r="A51" s="4" t="str">
        <x:v>BusinessInquiry</x:v>
      </x:c>
      <x:c r="B51" s="4" t="str">
        <x:v>createdAt</x:v>
      </x:c>
      <x:c r="C51" s="17" t="str">
        <x:v>createdAt</x:v>
      </x:c>
      <x:c r="D51" s="4" t="str">
        <x:v>10</x:v>
      </x:c>
      <x:c r="E51" s="4" t="str">
        <x:v>DateTime</x:v>
      </x:c>
      <x:c r="F51" s="4" t="str">
        <x:v>YES</x:v>
      </x:c>
      <x:c r="G51" s="4" t="str">
        <x:v>ISO-8601+明确时区</x:v>
      </x:c>
      <x:c r="H51" s="17" t="str">
        <x:v>INTERNAL</x:v>
      </x:c>
      <x:c r="I51" s="17" t="str">
        <x:v>按资源权限与数据域访问；公开DTO另行白名单</x:v>
      </x:c>
      <x:c r="J51" s="17" t="str">
        <x:v>数据库实体不得直接序列化为响应</x:v>
      </x:c>
      <x:c r="K51" s="17" t="str">
        <x:v>DTO白名单；长度/枚举/归属/状态校验；禁止信任客户端派生值</x:v>
      </x:c>
      <x:c r="L51" s="17" t="str">
        <x:v>按实体version或审计日志保留变更证据</x:v>
      </x:c>
      <x:c r="M51" s="4" t="str">
        <x:v>M5</x:v>
      </x:c>
      <x:c r="N51" s="4" t="str">
        <x:v>P0-074,P0-076</x:v>
      </x:c>
      <x:c r="O51" s="4" t="str">
        <x:v>综合方案§13核心数据模型</x:v>
      </x:c>
      <x:c r="P51" s="4" t="str">
        <x:v>DRAFT_FROM_SCHEME</x:v>
      </x:c>
    </x:row>
    <x:row r="52" ht="23" customHeight="1">
      <x:c r="A52" s="4" t="str">
        <x:v>ConsumerUser</x:v>
      </x:c>
      <x:c r="B52" s="4" t="str">
        <x:v>id</x:v>
      </x:c>
      <x:c r="C52" s="17" t="str">
        <x:v>id</x:v>
      </x:c>
      <x:c r="D52" s="4" t="str">
        <x:v>1</x:v>
      </x:c>
      <x:c r="E52" s="4" t="str">
        <x:v>String/UUID</x:v>
      </x:c>
      <x:c r="F52" s="4" t="str">
        <x:v>YES</x:v>
      </x:c>
      <x:c r="G52" s="4" t="str">
        <x:v>待M阶段冻结</x:v>
      </x:c>
      <x:c r="H52" s="17" t="str">
        <x:v>INTERNAL</x:v>
      </x:c>
      <x:c r="I52" s="17" t="str">
        <x:v>按资源权限与数据域访问；公开DTO另行白名单</x:v>
      </x:c>
      <x:c r="J52" s="17" t="str">
        <x:v>数据库实体不得直接序列化为响应</x:v>
      </x:c>
      <x:c r="K52" s="17" t="str">
        <x:v>DTO白名单；长度/枚举/归属/状态校验；禁止信任客户端派生值</x:v>
      </x:c>
      <x:c r="L52" s="17" t="str">
        <x:v>按实体version或审计日志保留变更证据</x:v>
      </x:c>
      <x:c r="M52" s="4" t="str">
        <x:v>M3</x:v>
      </x:c>
      <x:c r="N52" s="4" t="str">
        <x:v>待切片细化</x:v>
      </x:c>
      <x:c r="O52" s="4" t="str">
        <x:v>综合方案§13核心数据模型</x:v>
      </x:c>
      <x:c r="P52" s="4" t="str">
        <x:v>DRAFT_FROM_SCHEME</x:v>
      </x:c>
    </x:row>
    <x:row r="53" ht="23" customHeight="1">
      <x:c r="A53" s="4" t="str">
        <x:v>ConsumerUser</x:v>
      </x:c>
      <x:c r="B53" s="4" t="str">
        <x:v>companyId</x:v>
      </x:c>
      <x:c r="C53" s="17" t="str">
        <x:v>companyId</x:v>
      </x:c>
      <x:c r="D53" s="4" t="str">
        <x:v>2</x:v>
      </x:c>
      <x:c r="E53" s="4" t="str">
        <x:v>String/UUID</x:v>
      </x:c>
      <x:c r="F53" s="4" t="str">
        <x:v>YES</x:v>
      </x:c>
      <x:c r="G53" s="4" t="str">
        <x:v>待M阶段冻结</x:v>
      </x:c>
      <x:c r="H53" s="17" t="str">
        <x:v>INTERNAL</x:v>
      </x:c>
      <x:c r="I53" s="17" t="str">
        <x:v>按资源权限与数据域访问；公开DTO另行白名单</x:v>
      </x:c>
      <x:c r="J53" s="17" t="str">
        <x:v>数据库实体不得直接序列化为响应</x:v>
      </x:c>
      <x:c r="K53" s="17" t="str">
        <x:v>DTO白名单；长度/枚举/归属/状态校验；禁止信任客户端派生值</x:v>
      </x:c>
      <x:c r="L53" s="17" t="str">
        <x:v>按实体version或审计日志保留变更证据</x:v>
      </x:c>
      <x:c r="M53" s="4" t="str">
        <x:v>M3</x:v>
      </x:c>
      <x:c r="N53" s="4" t="str">
        <x:v>待切片细化</x:v>
      </x:c>
      <x:c r="O53" s="4" t="str">
        <x:v>综合方案§13核心数据模型</x:v>
      </x:c>
      <x:c r="P53" s="4" t="str">
        <x:v>DRAFT_FROM_SCHEME</x:v>
      </x:c>
    </x:row>
    <x:row r="54" ht="23" customHeight="1">
      <x:c r="A54" s="4" t="str">
        <x:v>ConsumerUser</x:v>
      </x:c>
      <x:c r="B54" s="4" t="str">
        <x:v>mobileEncrypted</x:v>
      </x:c>
      <x:c r="C54" s="17" t="str">
        <x:v>mobileEncrypted?</x:v>
      </x:c>
      <x:c r="D54" s="4" t="str">
        <x:v>3</x:v>
      </x:c>
      <x:c r="E54" s="4" t="str">
        <x:v>String</x:v>
      </x:c>
      <x:c r="F54" s="4" t="str">
        <x:v>NO</x:v>
      </x:c>
      <x:c r="G54" s="4" t="str">
        <x:v>待M阶段冻结</x:v>
      </x:c>
      <x:c r="H54" s="17" t="str">
        <x:v>PERSONAL_OR_SENSITIVE</x:v>
      </x:c>
      <x:c r="I54" s="17" t="str">
        <x:v>按角色、对象归属及配送阶段脱敏/解密</x:v>
      </x:c>
      <x:c r="J54" s="17" t="str">
        <x:v>禁止跨供应商、越阶段或批量无审批导出</x:v>
      </x:c>
      <x:c r="K54" s="17" t="str">
        <x:v>DTO白名单；长度/枚举/归属/状态校验；禁止信任客户端派生值</x:v>
      </x:c>
      <x:c r="L54" s="17" t="str">
        <x:v>按实体version或审计日志保留变更证据</x:v>
      </x:c>
      <x:c r="M54" s="4" t="str">
        <x:v>M3</x:v>
      </x:c>
      <x:c r="N54" s="4" t="str">
        <x:v>待切片细化</x:v>
      </x:c>
      <x:c r="O54" s="4" t="str">
        <x:v>综合方案§13核心数据模型</x:v>
      </x:c>
      <x:c r="P54" s="4" t="str">
        <x:v>DRAFT_FROM_SCHEME</x:v>
      </x:c>
    </x:row>
    <x:row r="55" ht="23" customHeight="1">
      <x:c r="A55" s="4" t="str">
        <x:v>ConsumerUser</x:v>
      </x:c>
      <x:c r="B55" s="4" t="str">
        <x:v>nickname</x:v>
      </x:c>
      <x:c r="C55" s="17" t="str">
        <x:v>nickname?</x:v>
      </x:c>
      <x:c r="D55" s="4" t="str">
        <x:v>4</x:v>
      </x:c>
      <x:c r="E55" s="4" t="str">
        <x:v>String</x:v>
      </x:c>
      <x:c r="F55" s="4" t="str">
        <x:v>NO</x:v>
      </x:c>
      <x:c r="G55" s="4" t="str">
        <x:v>待M阶段冻结</x:v>
      </x:c>
      <x:c r="H55" s="17" t="str">
        <x:v>INTERNAL</x:v>
      </x:c>
      <x:c r="I55" s="17" t="str">
        <x:v>按资源权限与数据域访问；公开DTO另行白名单</x:v>
      </x:c>
      <x:c r="J55" s="17" t="str">
        <x:v>数据库实体不得直接序列化为响应</x:v>
      </x:c>
      <x:c r="K55" s="17" t="str">
        <x:v>DTO白名单；长度/枚举/归属/状态校验；禁止信任客户端派生值</x:v>
      </x:c>
      <x:c r="L55" s="17" t="str">
        <x:v>按实体version或审计日志保留变更证据</x:v>
      </x:c>
      <x:c r="M55" s="4" t="str">
        <x:v>M3</x:v>
      </x:c>
      <x:c r="N55" s="4" t="str">
        <x:v>待切片细化</x:v>
      </x:c>
      <x:c r="O55" s="4" t="str">
        <x:v>综合方案§13核心数据模型</x:v>
      </x:c>
      <x:c r="P55" s="4" t="str">
        <x:v>DRAFT_FROM_SCHEME</x:v>
      </x:c>
    </x:row>
    <x:row r="56" ht="23" customHeight="1">
      <x:c r="A56" s="4" t="str">
        <x:v>ConsumerUser</x:v>
      </x:c>
      <x:c r="B56" s="4" t="str">
        <x:v>avatarAssetId</x:v>
      </x:c>
      <x:c r="C56" s="17" t="str">
        <x:v>avatarAssetId?</x:v>
      </x:c>
      <x:c r="D56" s="4" t="str">
        <x:v>5</x:v>
      </x:c>
      <x:c r="E56" s="4" t="str">
        <x:v>String/UUID</x:v>
      </x:c>
      <x:c r="F56" s="4" t="str">
        <x:v>NO</x:v>
      </x:c>
      <x:c r="G56" s="4" t="str">
        <x:v>待M阶段冻结</x:v>
      </x:c>
      <x:c r="H56" s="17" t="str">
        <x:v>INTERNAL</x:v>
      </x:c>
      <x:c r="I56" s="17" t="str">
        <x:v>按资源权限与数据域访问；公开DTO另行白名单</x:v>
      </x:c>
      <x:c r="J56" s="17" t="str">
        <x:v>数据库实体不得直接序列化为响应</x:v>
      </x:c>
      <x:c r="K56" s="17" t="str">
        <x:v>DTO白名单；长度/枚举/归属/状态校验；禁止信任客户端派生值</x:v>
      </x:c>
      <x:c r="L56" s="17" t="str">
        <x:v>按实体version或审计日志保留变更证据</x:v>
      </x:c>
      <x:c r="M56" s="4" t="str">
        <x:v>M3</x:v>
      </x:c>
      <x:c r="N56" s="4" t="str">
        <x:v>待切片细化</x:v>
      </x:c>
      <x:c r="O56" s="4" t="str">
        <x:v>综合方案§13核心数据模型</x:v>
      </x:c>
      <x:c r="P56" s="4" t="str">
        <x:v>DRAFT_FROM_SCHEME</x:v>
      </x:c>
    </x:row>
    <x:row r="57" ht="23" customHeight="1">
      <x:c r="A57" s="4" t="str">
        <x:v>ConsumerUser</x:v>
      </x:c>
      <x:c r="B57" s="4" t="str">
        <x:v>status</x:v>
      </x:c>
      <x:c r="C57" s="17" t="str">
        <x:v>status</x:v>
      </x:c>
      <x:c r="D57" s="4" t="str">
        <x:v>6</x:v>
      </x:c>
      <x:c r="E57" s="4" t="str">
        <x:v>Enum/String</x:v>
      </x:c>
      <x:c r="F57" s="4" t="str">
        <x:v>YES</x:v>
      </x:c>
      <x:c r="G57" s="4" t="str">
        <x:v>待M阶段冻结</x:v>
      </x:c>
      <x:c r="H57" s="17" t="str">
        <x:v>INTERNAL</x:v>
      </x:c>
      <x:c r="I57" s="17" t="str">
        <x:v>按资源权限与数据域访问；公开DTO另行白名单</x:v>
      </x:c>
      <x:c r="J57" s="17" t="str">
        <x:v>数据库实体不得直接序列化为响应</x:v>
      </x:c>
      <x:c r="K57" s="17" t="str">
        <x:v>DTO白名单；长度/枚举/归属/状态校验；禁止信任客户端派生值</x:v>
      </x:c>
      <x:c r="L57" s="17" t="str">
        <x:v>按实体version或审计日志保留变更证据</x:v>
      </x:c>
      <x:c r="M57" s="4" t="str">
        <x:v>M3</x:v>
      </x:c>
      <x:c r="N57" s="4" t="str">
        <x:v>待切片细化</x:v>
      </x:c>
      <x:c r="O57" s="4" t="str">
        <x:v>综合方案§13核心数据模型</x:v>
      </x:c>
      <x:c r="P57" s="4" t="str">
        <x:v>DRAFT_FROM_SCHEME</x:v>
      </x:c>
    </x:row>
    <x:row r="58" ht="23" customHeight="1">
      <x:c r="A58" s="4" t="str">
        <x:v>ConsumerUser</x:v>
      </x:c>
      <x:c r="B58" s="4" t="str">
        <x:v>privacyConsentVersion</x:v>
      </x:c>
      <x:c r="C58" s="17" t="str">
        <x:v>privacyConsentVersion</x:v>
      </x:c>
      <x:c r="D58" s="4" t="str">
        <x:v>7</x:v>
      </x:c>
      <x:c r="E58" s="4" t="str">
        <x:v>Int</x:v>
      </x:c>
      <x:c r="F58" s="4" t="str">
        <x:v>YES</x:v>
      </x:c>
      <x:c r="G58" s="4" t="str">
        <x:v>待M阶段冻结</x:v>
      </x:c>
      <x:c r="H58" s="17" t="str">
        <x:v>INTERNAL</x:v>
      </x:c>
      <x:c r="I58" s="17" t="str">
        <x:v>按资源权限与数据域访问；公开DTO另行白名单</x:v>
      </x:c>
      <x:c r="J58" s="17" t="str">
        <x:v>数据库实体不得直接序列化为响应</x:v>
      </x:c>
      <x:c r="K58" s="17" t="str">
        <x:v>DTO白名单；长度/枚举/归属/状态校验；禁止信任客户端派生值</x:v>
      </x:c>
      <x:c r="L58" s="17" t="str">
        <x:v>按实体version或审计日志保留变更证据</x:v>
      </x:c>
      <x:c r="M58" s="4" t="str">
        <x:v>M3</x:v>
      </x:c>
      <x:c r="N58" s="4" t="str">
        <x:v>待切片细化</x:v>
      </x:c>
      <x:c r="O58" s="4" t="str">
        <x:v>综合方案§13核心数据模型</x:v>
      </x:c>
      <x:c r="P58" s="4" t="str">
        <x:v>DRAFT_FROM_SCHEME</x:v>
      </x:c>
    </x:row>
    <x:row r="59" ht="23" customHeight="1">
      <x:c r="A59" s="4" t="str">
        <x:v>ConsumerUser</x:v>
      </x:c>
      <x:c r="B59" s="4" t="str">
        <x:v>lastLoginAt</x:v>
      </x:c>
      <x:c r="C59" s="17" t="str">
        <x:v>lastLoginAt?</x:v>
      </x:c>
      <x:c r="D59" s="4" t="str">
        <x:v>8</x:v>
      </x:c>
      <x:c r="E59" s="4" t="str">
        <x:v>DateTime</x:v>
      </x:c>
      <x:c r="F59" s="4" t="str">
        <x:v>NO</x:v>
      </x:c>
      <x:c r="G59" s="4" t="str">
        <x:v>ISO-8601+明确时区</x:v>
      </x:c>
      <x:c r="H59" s="17" t="str">
        <x:v>INTERNAL</x:v>
      </x:c>
      <x:c r="I59" s="17" t="str">
        <x:v>按资源权限与数据域访问；公开DTO另行白名单</x:v>
      </x:c>
      <x:c r="J59" s="17" t="str">
        <x:v>数据库实体不得直接序列化为响应</x:v>
      </x:c>
      <x:c r="K59" s="17" t="str">
        <x:v>DTO白名单；长度/枚举/归属/状态校验；禁止信任客户端派生值</x:v>
      </x:c>
      <x:c r="L59" s="17" t="str">
        <x:v>按实体version或审计日志保留变更证据</x:v>
      </x:c>
      <x:c r="M59" s="4" t="str">
        <x:v>M3</x:v>
      </x:c>
      <x:c r="N59" s="4" t="str">
        <x:v>待切片细化</x:v>
      </x:c>
      <x:c r="O59" s="4" t="str">
        <x:v>综合方案§13核心数据模型</x:v>
      </x:c>
      <x:c r="P59" s="4" t="str">
        <x:v>DRAFT_FROM_SCHEME</x:v>
      </x:c>
    </x:row>
    <x:row r="60" ht="23" customHeight="1">
      <x:c r="A60" s="4" t="str">
        <x:v>ConsumerWechatIdentity</x:v>
      </x:c>
      <x:c r="B60" s="4" t="str">
        <x:v>id</x:v>
      </x:c>
      <x:c r="C60" s="17" t="str">
        <x:v>id</x:v>
      </x:c>
      <x:c r="D60" s="4" t="str">
        <x:v>1</x:v>
      </x:c>
      <x:c r="E60" s="4" t="str">
        <x:v>String/UUID</x:v>
      </x:c>
      <x:c r="F60" s="4" t="str">
        <x:v>YES</x:v>
      </x:c>
      <x:c r="G60" s="4" t="str">
        <x:v>待M阶段冻结</x:v>
      </x:c>
      <x:c r="H60" s="17" t="str">
        <x:v>INTERNAL</x:v>
      </x:c>
      <x:c r="I60" s="17" t="str">
        <x:v>按资源权限与数据域访问；公开DTO另行白名单</x:v>
      </x:c>
      <x:c r="J60" s="17" t="str">
        <x:v>数据库实体不得直接序列化为响应</x:v>
      </x:c>
      <x:c r="K60" s="17" t="str">
        <x:v>DTO白名单；长度/枚举/归属/状态校验；禁止信任客户端派生值</x:v>
      </x:c>
      <x:c r="L60" s="17" t="str">
        <x:v>按实体version或审计日志保留变更证据</x:v>
      </x:c>
      <x:c r="M60" s="4" t="str">
        <x:v>M3</x:v>
      </x:c>
      <x:c r="N60" s="4" t="str">
        <x:v>待切片细化</x:v>
      </x:c>
      <x:c r="O60" s="4" t="str">
        <x:v>综合方案§13核心数据模型</x:v>
      </x:c>
      <x:c r="P60" s="4" t="str">
        <x:v>DRAFT_FROM_SCHEME</x:v>
      </x:c>
    </x:row>
    <x:row r="61" ht="23" customHeight="1">
      <x:c r="A61" s="4" t="str">
        <x:v>ConsumerWechatIdentity</x:v>
      </x:c>
      <x:c r="B61" s="4" t="str">
        <x:v>consumerUserId</x:v>
      </x:c>
      <x:c r="C61" s="17" t="str">
        <x:v>consumerUserId</x:v>
      </x:c>
      <x:c r="D61" s="4" t="str">
        <x:v>2</x:v>
      </x:c>
      <x:c r="E61" s="4" t="str">
        <x:v>String/UUID</x:v>
      </x:c>
      <x:c r="F61" s="4" t="str">
        <x:v>YES</x:v>
      </x:c>
      <x:c r="G61" s="4" t="str">
        <x:v>待M阶段冻结</x:v>
      </x:c>
      <x:c r="H61" s="17" t="str">
        <x:v>INTERNAL</x:v>
      </x:c>
      <x:c r="I61" s="17" t="str">
        <x:v>按资源权限与数据域访问；公开DTO另行白名单</x:v>
      </x:c>
      <x:c r="J61" s="17" t="str">
        <x:v>数据库实体不得直接序列化为响应</x:v>
      </x:c>
      <x:c r="K61" s="17" t="str">
        <x:v>DTO白名单；长度/枚举/归属/状态校验；禁止信任客户端派生值</x:v>
      </x:c>
      <x:c r="L61" s="17" t="str">
        <x:v>按实体version或审计日志保留变更证据</x:v>
      </x:c>
      <x:c r="M61" s="4" t="str">
        <x:v>M3</x:v>
      </x:c>
      <x:c r="N61" s="4" t="str">
        <x:v>待切片细化</x:v>
      </x:c>
      <x:c r="O61" s="4" t="str">
        <x:v>综合方案§13核心数据模型</x:v>
      </x:c>
      <x:c r="P61" s="4" t="str">
        <x:v>DRAFT_FROM_SCHEME</x:v>
      </x:c>
    </x:row>
    <x:row r="62" ht="23" customHeight="1">
      <x:c r="A62" s="4" t="str">
        <x:v>ConsumerWechatIdentity</x:v>
      </x:c>
      <x:c r="B62" s="4" t="str">
        <x:v>appId</x:v>
      </x:c>
      <x:c r="C62" s="17" t="str">
        <x:v>appId</x:v>
      </x:c>
      <x:c r="D62" s="4" t="str">
        <x:v>3</x:v>
      </x:c>
      <x:c r="E62" s="4" t="str">
        <x:v>String/UUID</x:v>
      </x:c>
      <x:c r="F62" s="4" t="str">
        <x:v>YES</x:v>
      </x:c>
      <x:c r="G62" s="4" t="str">
        <x:v>待M阶段冻结</x:v>
      </x:c>
      <x:c r="H62" s="17" t="str">
        <x:v>INTERNAL</x:v>
      </x:c>
      <x:c r="I62" s="17" t="str">
        <x:v>按资源权限与数据域访问；公开DTO另行白名单</x:v>
      </x:c>
      <x:c r="J62" s="17" t="str">
        <x:v>数据库实体不得直接序列化为响应</x:v>
      </x:c>
      <x:c r="K62" s="17" t="str">
        <x:v>DTO白名单；长度/枚举/归属/状态校验；禁止信任客户端派生值</x:v>
      </x:c>
      <x:c r="L62" s="17" t="str">
        <x:v>按实体version或审计日志保留变更证据</x:v>
      </x:c>
      <x:c r="M62" s="4" t="str">
        <x:v>M3</x:v>
      </x:c>
      <x:c r="N62" s="4" t="str">
        <x:v>待切片细化</x:v>
      </x:c>
      <x:c r="O62" s="4" t="str">
        <x:v>综合方案§13核心数据模型</x:v>
      </x:c>
      <x:c r="P62" s="4" t="str">
        <x:v>DRAFT_FROM_SCHEME</x:v>
      </x:c>
    </x:row>
    <x:row r="63" ht="23" customHeight="1">
      <x:c r="A63" s="4" t="str">
        <x:v>ConsumerWechatIdentity</x:v>
      </x:c>
      <x:c r="B63" s="4" t="str">
        <x:v>openIdHash</x:v>
      </x:c>
      <x:c r="C63" s="17" t="str">
        <x:v>openIdHash</x:v>
      </x:c>
      <x:c r="D63" s="4" t="str">
        <x:v>4</x:v>
      </x:c>
      <x:c r="E63" s="4" t="str">
        <x:v>String</x:v>
      </x:c>
      <x:c r="F63" s="4" t="str">
        <x:v>YES</x:v>
      </x:c>
      <x:c r="G63" s="4" t="str">
        <x:v>待M阶段冻结</x:v>
      </x:c>
      <x:c r="H63" s="17" t="str">
        <x:v>SECRET_OR_CREDENTIAL</x:v>
      </x:c>
      <x:c r="I63" s="17" t="str">
        <x:v>仅后端最小权限读取，响应永不返回</x:v>
      </x:c>
      <x:c r="J63" s="17" t="str">
        <x:v>禁止提交、日志、快照和前端下发</x:v>
      </x:c>
      <x:c r="K63" s="17" t="str">
        <x:v>DTO白名单；长度/枚举/归属/状态校验；禁止信任客户端派生值</x:v>
      </x:c>
      <x:c r="L63" s="17" t="str">
        <x:v>按实体version或审计日志保留变更证据</x:v>
      </x:c>
      <x:c r="M63" s="4" t="str">
        <x:v>M3</x:v>
      </x:c>
      <x:c r="N63" s="4" t="str">
        <x:v>待切片细化</x:v>
      </x:c>
      <x:c r="O63" s="4" t="str">
        <x:v>综合方案§13核心数据模型</x:v>
      </x:c>
      <x:c r="P63" s="4" t="str">
        <x:v>DRAFT_FROM_SCHEME</x:v>
      </x:c>
    </x:row>
    <x:row r="64" ht="23" customHeight="1">
      <x:c r="A64" s="4" t="str">
        <x:v>ConsumerWechatIdentity</x:v>
      </x:c>
      <x:c r="B64" s="4" t="str">
        <x:v>unionIdHash</x:v>
      </x:c>
      <x:c r="C64" s="17" t="str">
        <x:v>unionIdHash?</x:v>
      </x:c>
      <x:c r="D64" s="4" t="str">
        <x:v>5</x:v>
      </x:c>
      <x:c r="E64" s="4" t="str">
        <x:v>String</x:v>
      </x:c>
      <x:c r="F64" s="4" t="str">
        <x:v>NO</x:v>
      </x:c>
      <x:c r="G64" s="4" t="str">
        <x:v>待M阶段冻结</x:v>
      </x:c>
      <x:c r="H64" s="17" t="str">
        <x:v>SECRET_OR_CREDENTIAL</x:v>
      </x:c>
      <x:c r="I64" s="17" t="str">
        <x:v>仅后端最小权限读取，响应永不返回</x:v>
      </x:c>
      <x:c r="J64" s="17" t="str">
        <x:v>禁止提交、日志、快照和前端下发</x:v>
      </x:c>
      <x:c r="K64" s="17" t="str">
        <x:v>DTO白名单；长度/枚举/归属/状态校验；禁止信任客户端派生值</x:v>
      </x:c>
      <x:c r="L64" s="17" t="str">
        <x:v>按实体version或审计日志保留变更证据</x:v>
      </x:c>
      <x:c r="M64" s="4" t="str">
        <x:v>M3</x:v>
      </x:c>
      <x:c r="N64" s="4" t="str">
        <x:v>待切片细化</x:v>
      </x:c>
      <x:c r="O64" s="4" t="str">
        <x:v>综合方案§13核心数据模型</x:v>
      </x:c>
      <x:c r="P64" s="4" t="str">
        <x:v>DRAFT_FROM_SCHEME</x:v>
      </x:c>
    </x:row>
    <x:row r="65" ht="23" customHeight="1">
      <x:c r="A65" s="4" t="str">
        <x:v>ConsumerWechatIdentity</x:v>
      </x:c>
      <x:c r="B65" s="4" t="str">
        <x:v>status</x:v>
      </x:c>
      <x:c r="C65" s="17" t="str">
        <x:v>status</x:v>
      </x:c>
      <x:c r="D65" s="4" t="str">
        <x:v>6</x:v>
      </x:c>
      <x:c r="E65" s="4" t="str">
        <x:v>Enum/String</x:v>
      </x:c>
      <x:c r="F65" s="4" t="str">
        <x:v>YES</x:v>
      </x:c>
      <x:c r="G65" s="4" t="str">
        <x:v>待M阶段冻结</x:v>
      </x:c>
      <x:c r="H65" s="17" t="str">
        <x:v>INTERNAL</x:v>
      </x:c>
      <x:c r="I65" s="17" t="str">
        <x:v>按资源权限与数据域访问；公开DTO另行白名单</x:v>
      </x:c>
      <x:c r="J65" s="17" t="str">
        <x:v>数据库实体不得直接序列化为响应</x:v>
      </x:c>
      <x:c r="K65" s="17" t="str">
        <x:v>DTO白名单；长度/枚举/归属/状态校验；禁止信任客户端派生值</x:v>
      </x:c>
      <x:c r="L65" s="17" t="str">
        <x:v>按实体version或审计日志保留变更证据</x:v>
      </x:c>
      <x:c r="M65" s="4" t="str">
        <x:v>M3</x:v>
      </x:c>
      <x:c r="N65" s="4" t="str">
        <x:v>待切片细化</x:v>
      </x:c>
      <x:c r="O65" s="4" t="str">
        <x:v>综合方案§13核心数据模型</x:v>
      </x:c>
      <x:c r="P65" s="4" t="str">
        <x:v>DRAFT_FROM_SCHEME</x:v>
      </x:c>
    </x:row>
    <x:row r="66" ht="23" customHeight="1">
      <x:c r="A66" s="4" t="str">
        <x:v>ConsumerWechatIdentity</x:v>
      </x:c>
      <x:c r="B66" s="4" t="str">
        <x:v>boundAt</x:v>
      </x:c>
      <x:c r="C66" s="17" t="str">
        <x:v>boundAt</x:v>
      </x:c>
      <x:c r="D66" s="4" t="str">
        <x:v>7</x:v>
      </x:c>
      <x:c r="E66" s="4" t="str">
        <x:v>DateTime</x:v>
      </x:c>
      <x:c r="F66" s="4" t="str">
        <x:v>YES</x:v>
      </x:c>
      <x:c r="G66" s="4" t="str">
        <x:v>ISO-8601+明确时区</x:v>
      </x:c>
      <x:c r="H66" s="17" t="str">
        <x:v>INTERNAL</x:v>
      </x:c>
      <x:c r="I66" s="17" t="str">
        <x:v>按资源权限与数据域访问；公开DTO另行白名单</x:v>
      </x:c>
      <x:c r="J66" s="17" t="str">
        <x:v>数据库实体不得直接序列化为响应</x:v>
      </x:c>
      <x:c r="K66" s="17" t="str">
        <x:v>DTO白名单；长度/枚举/归属/状态校验；禁止信任客户端派生值</x:v>
      </x:c>
      <x:c r="L66" s="17" t="str">
        <x:v>按实体version或审计日志保留变更证据</x:v>
      </x:c>
      <x:c r="M66" s="4" t="str">
        <x:v>M3</x:v>
      </x:c>
      <x:c r="N66" s="4" t="str">
        <x:v>待切片细化</x:v>
      </x:c>
      <x:c r="O66" s="4" t="str">
        <x:v>综合方案§13核心数据模型</x:v>
      </x:c>
      <x:c r="P66" s="4" t="str">
        <x:v>DRAFT_FROM_SCHEME</x:v>
      </x:c>
    </x:row>
    <x:row r="67" ht="23" customHeight="1">
      <x:c r="A67" s="4" t="str">
        <x:v>ConsumerSession</x:v>
      </x:c>
      <x:c r="B67" s="4" t="str">
        <x:v>id</x:v>
      </x:c>
      <x:c r="C67" s="17" t="str">
        <x:v>id</x:v>
      </x:c>
      <x:c r="D67" s="4" t="str">
        <x:v>1</x:v>
      </x:c>
      <x:c r="E67" s="4" t="str">
        <x:v>String/UUID</x:v>
      </x:c>
      <x:c r="F67" s="4" t="str">
        <x:v>YES</x:v>
      </x:c>
      <x:c r="G67" s="4" t="str">
        <x:v>待M阶段冻结</x:v>
      </x:c>
      <x:c r="H67" s="17" t="str">
        <x:v>INTERNAL</x:v>
      </x:c>
      <x:c r="I67" s="17" t="str">
        <x:v>按资源权限与数据域访问；公开DTO另行白名单</x:v>
      </x:c>
      <x:c r="J67" s="17" t="str">
        <x:v>数据库实体不得直接序列化为响应</x:v>
      </x:c>
      <x:c r="K67" s="17" t="str">
        <x:v>DTO白名单；长度/枚举/归属/状态校验；禁止信任客户端派生值</x:v>
      </x:c>
      <x:c r="L67" s="17" t="str">
        <x:v>按实体version或审计日志保留变更证据</x:v>
      </x:c>
      <x:c r="M67" s="4" t="str">
        <x:v>M3</x:v>
      </x:c>
      <x:c r="N67" s="4" t="str">
        <x:v>待切片细化</x:v>
      </x:c>
      <x:c r="O67" s="4" t="str">
        <x:v>综合方案§13核心数据模型</x:v>
      </x:c>
      <x:c r="P67" s="4" t="str">
        <x:v>DRAFT_FROM_SCHEME</x:v>
      </x:c>
    </x:row>
    <x:row r="68" ht="23" customHeight="1">
      <x:c r="A68" s="4" t="str">
        <x:v>ConsumerSession</x:v>
      </x:c>
      <x:c r="B68" s="4" t="str">
        <x:v>consumerUserId</x:v>
      </x:c>
      <x:c r="C68" s="17" t="str">
        <x:v>consumerUserId</x:v>
      </x:c>
      <x:c r="D68" s="4" t="str">
        <x:v>2</x:v>
      </x:c>
      <x:c r="E68" s="4" t="str">
        <x:v>String/UUID</x:v>
      </x:c>
      <x:c r="F68" s="4" t="str">
        <x:v>YES</x:v>
      </x:c>
      <x:c r="G68" s="4" t="str">
        <x:v>待M阶段冻结</x:v>
      </x:c>
      <x:c r="H68" s="17" t="str">
        <x:v>INTERNAL</x:v>
      </x:c>
      <x:c r="I68" s="17" t="str">
        <x:v>按资源权限与数据域访问；公开DTO另行白名单</x:v>
      </x:c>
      <x:c r="J68" s="17" t="str">
        <x:v>数据库实体不得直接序列化为响应</x:v>
      </x:c>
      <x:c r="K68" s="17" t="str">
        <x:v>DTO白名单；长度/枚举/归属/状态校验；禁止信任客户端派生值</x:v>
      </x:c>
      <x:c r="L68" s="17" t="str">
        <x:v>按实体version或审计日志保留变更证据</x:v>
      </x:c>
      <x:c r="M68" s="4" t="str">
        <x:v>M3</x:v>
      </x:c>
      <x:c r="N68" s="4" t="str">
        <x:v>待切片细化</x:v>
      </x:c>
      <x:c r="O68" s="4" t="str">
        <x:v>综合方案§13核心数据模型</x:v>
      </x:c>
      <x:c r="P68" s="4" t="str">
        <x:v>DRAFT_FROM_SCHEME</x:v>
      </x:c>
    </x:row>
    <x:row r="69" ht="23" customHeight="1">
      <x:c r="A69" s="4" t="str">
        <x:v>ConsumerSession</x:v>
      </x:c>
      <x:c r="B69" s="4" t="str">
        <x:v>sessionHash</x:v>
      </x:c>
      <x:c r="C69" s="17" t="str">
        <x:v>sessionHash</x:v>
      </x:c>
      <x:c r="D69" s="4" t="str">
        <x:v>3</x:v>
      </x:c>
      <x:c r="E69" s="4" t="str">
        <x:v>String</x:v>
      </x:c>
      <x:c r="F69" s="4" t="str">
        <x:v>YES</x:v>
      </x:c>
      <x:c r="G69" s="4" t="str">
        <x:v>待M阶段冻结</x:v>
      </x:c>
      <x:c r="H69" s="17" t="str">
        <x:v>SECRET_OR_CREDENTIAL</x:v>
      </x:c>
      <x:c r="I69" s="17" t="str">
        <x:v>仅后端最小权限读取，响应永不返回</x:v>
      </x:c>
      <x:c r="J69" s="17" t="str">
        <x:v>禁止提交、日志、快照和前端下发</x:v>
      </x:c>
      <x:c r="K69" s="17" t="str">
        <x:v>DTO白名单；长度/枚举/归属/状态校验；禁止信任客户端派生值</x:v>
      </x:c>
      <x:c r="L69" s="17" t="str">
        <x:v>按实体version或审计日志保留变更证据</x:v>
      </x:c>
      <x:c r="M69" s="4" t="str">
        <x:v>M3</x:v>
      </x:c>
      <x:c r="N69" s="4" t="str">
        <x:v>待切片细化</x:v>
      </x:c>
      <x:c r="O69" s="4" t="str">
        <x:v>综合方案§13核心数据模型</x:v>
      </x:c>
      <x:c r="P69" s="4" t="str">
        <x:v>DRAFT_FROM_SCHEME</x:v>
      </x:c>
    </x:row>
    <x:row r="70" ht="23" customHeight="1">
      <x:c r="A70" s="4" t="str">
        <x:v>ConsumerSession</x:v>
      </x:c>
      <x:c r="B70" s="4" t="str">
        <x:v>deviceInfo</x:v>
      </x:c>
      <x:c r="C70" s="17" t="str">
        <x:v>deviceInfo</x:v>
      </x:c>
      <x:c r="D70" s="4" t="str">
        <x:v>4</x:v>
      </x:c>
      <x:c r="E70" s="4" t="str">
        <x:v>Json</x:v>
      </x:c>
      <x:c r="F70" s="4" t="str">
        <x:v>YES</x:v>
      </x:c>
      <x:c r="G70" s="4" t="str">
        <x:v>待M阶段冻结</x:v>
      </x:c>
      <x:c r="H70" s="17" t="str">
        <x:v>INTERNAL</x:v>
      </x:c>
      <x:c r="I70" s="17" t="str">
        <x:v>按资源权限与数据域访问；公开DTO另行白名单</x:v>
      </x:c>
      <x:c r="J70" s="17" t="str">
        <x:v>数据库实体不得直接序列化为响应</x:v>
      </x:c>
      <x:c r="K70" s="17" t="str">
        <x:v>DTO白名单；长度/枚举/归属/状态校验；禁止信任客户端派生值</x:v>
      </x:c>
      <x:c r="L70" s="17" t="str">
        <x:v>按实体version或审计日志保留变更证据</x:v>
      </x:c>
      <x:c r="M70" s="4" t="str">
        <x:v>M3</x:v>
      </x:c>
      <x:c r="N70" s="4" t="str">
        <x:v>待切片细化</x:v>
      </x:c>
      <x:c r="O70" s="4" t="str">
        <x:v>综合方案§13核心数据模型</x:v>
      </x:c>
      <x:c r="P70" s="4" t="str">
        <x:v>DRAFT_FROM_SCHEME</x:v>
      </x:c>
    </x:row>
    <x:row r="71" ht="23" customHeight="1">
      <x:c r="A71" s="4" t="str">
        <x:v>ConsumerSession</x:v>
      </x:c>
      <x:c r="B71" s="4" t="str">
        <x:v>ip</x:v>
      </x:c>
      <x:c r="C71" s="17" t="str">
        <x:v>ip</x:v>
      </x:c>
      <x:c r="D71" s="4" t="str">
        <x:v>5</x:v>
      </x:c>
      <x:c r="E71" s="4" t="str">
        <x:v>String</x:v>
      </x:c>
      <x:c r="F71" s="4" t="str">
        <x:v>YES</x:v>
      </x:c>
      <x:c r="G71" s="4" t="str">
        <x:v>待M阶段冻结</x:v>
      </x:c>
      <x:c r="H71" s="17" t="str">
        <x:v>PERSONAL_OR_SENSITIVE</x:v>
      </x:c>
      <x:c r="I71" s="17" t="str">
        <x:v>按角色、对象归属及配送阶段脱敏/解密</x:v>
      </x:c>
      <x:c r="J71" s="17" t="str">
        <x:v>禁止跨供应商、越阶段或批量无审批导出</x:v>
      </x:c>
      <x:c r="K71" s="17" t="str">
        <x:v>DTO白名单；长度/枚举/归属/状态校验；禁止信任客户端派生值</x:v>
      </x:c>
      <x:c r="L71" s="17" t="str">
        <x:v>按实体version或审计日志保留变更证据</x:v>
      </x:c>
      <x:c r="M71" s="4" t="str">
        <x:v>M3</x:v>
      </x:c>
      <x:c r="N71" s="4" t="str">
        <x:v>待切片细化</x:v>
      </x:c>
      <x:c r="O71" s="4" t="str">
        <x:v>综合方案§13核心数据模型</x:v>
      </x:c>
      <x:c r="P71" s="4" t="str">
        <x:v>DRAFT_FROM_SCHEME</x:v>
      </x:c>
    </x:row>
    <x:row r="72" ht="23" customHeight="1">
      <x:c r="A72" s="4" t="str">
        <x:v>ConsumerSession</x:v>
      </x:c>
      <x:c r="B72" s="4" t="str">
        <x:v>expiresAt</x:v>
      </x:c>
      <x:c r="C72" s="17" t="str">
        <x:v>expiresAt</x:v>
      </x:c>
      <x:c r="D72" s="4" t="str">
        <x:v>6</x:v>
      </x:c>
      <x:c r="E72" s="4" t="str">
        <x:v>DateTime</x:v>
      </x:c>
      <x:c r="F72" s="4" t="str">
        <x:v>YES</x:v>
      </x:c>
      <x:c r="G72" s="4" t="str">
        <x:v>ISO-8601+明确时区</x:v>
      </x:c>
      <x:c r="H72" s="17" t="str">
        <x:v>INTERNAL</x:v>
      </x:c>
      <x:c r="I72" s="17" t="str">
        <x:v>按资源权限与数据域访问；公开DTO另行白名单</x:v>
      </x:c>
      <x:c r="J72" s="17" t="str">
        <x:v>数据库实体不得直接序列化为响应</x:v>
      </x:c>
      <x:c r="K72" s="17" t="str">
        <x:v>DTO白名单；长度/枚举/归属/状态校验；禁止信任客户端派生值</x:v>
      </x:c>
      <x:c r="L72" s="17" t="str">
        <x:v>按实体version或审计日志保留变更证据</x:v>
      </x:c>
      <x:c r="M72" s="4" t="str">
        <x:v>M3</x:v>
      </x:c>
      <x:c r="N72" s="4" t="str">
        <x:v>待切片细化</x:v>
      </x:c>
      <x:c r="O72" s="4" t="str">
        <x:v>综合方案§13核心数据模型</x:v>
      </x:c>
      <x:c r="P72" s="4" t="str">
        <x:v>DRAFT_FROM_SCHEME</x:v>
      </x:c>
    </x:row>
    <x:row r="73" ht="23" customHeight="1">
      <x:c r="A73" s="4" t="str">
        <x:v>ConsumerSession</x:v>
      </x:c>
      <x:c r="B73" s="4" t="str">
        <x:v>revokedAt</x:v>
      </x:c>
      <x:c r="C73" s="17" t="str">
        <x:v>revokedAt?</x:v>
      </x:c>
      <x:c r="D73" s="4" t="str">
        <x:v>7</x:v>
      </x:c>
      <x:c r="E73" s="4" t="str">
        <x:v>DateTime</x:v>
      </x:c>
      <x:c r="F73" s="4" t="str">
        <x:v>NO</x:v>
      </x:c>
      <x:c r="G73" s="4" t="str">
        <x:v>ISO-8601+明确时区</x:v>
      </x:c>
      <x:c r="H73" s="17" t="str">
        <x:v>INTERNAL</x:v>
      </x:c>
      <x:c r="I73" s="17" t="str">
        <x:v>按资源权限与数据域访问；公开DTO另行白名单</x:v>
      </x:c>
      <x:c r="J73" s="17" t="str">
        <x:v>数据库实体不得直接序列化为响应</x:v>
      </x:c>
      <x:c r="K73" s="17" t="str">
        <x:v>DTO白名单；长度/枚举/归属/状态校验；禁止信任客户端派生值</x:v>
      </x:c>
      <x:c r="L73" s="17" t="str">
        <x:v>按实体version或审计日志保留变更证据</x:v>
      </x:c>
      <x:c r="M73" s="4" t="str">
        <x:v>M3</x:v>
      </x:c>
      <x:c r="N73" s="4" t="str">
        <x:v>待切片细化</x:v>
      </x:c>
      <x:c r="O73" s="4" t="str">
        <x:v>综合方案§13核心数据模型</x:v>
      </x:c>
      <x:c r="P73" s="4" t="str">
        <x:v>DRAFT_FROM_SCHEME</x:v>
      </x:c>
    </x:row>
    <x:row r="74" ht="23" customHeight="1">
      <x:c r="A74" s="4" t="str">
        <x:v>ConsumerAddress</x:v>
      </x:c>
      <x:c r="B74" s="4" t="str">
        <x:v>id</x:v>
      </x:c>
      <x:c r="C74" s="17" t="str">
        <x:v>id</x:v>
      </x:c>
      <x:c r="D74" s="4" t="str">
        <x:v>1</x:v>
      </x:c>
      <x:c r="E74" s="4" t="str">
        <x:v>String/UUID</x:v>
      </x:c>
      <x:c r="F74" s="4" t="str">
        <x:v>YES</x:v>
      </x:c>
      <x:c r="G74" s="4" t="str">
        <x:v>待M阶段冻结</x:v>
      </x:c>
      <x:c r="H74" s="17" t="str">
        <x:v>PERSONAL_OR_SENSITIVE</x:v>
      </x:c>
      <x:c r="I74" s="17" t="str">
        <x:v>按角色、对象归属及配送阶段脱敏/解密</x:v>
      </x:c>
      <x:c r="J74" s="17" t="str">
        <x:v>禁止跨供应商、越阶段或批量无审批导出</x:v>
      </x:c>
      <x:c r="K74" s="17" t="str">
        <x:v>DTO白名单；长度/枚举/归属/状态校验；禁止信任客户端派生值</x:v>
      </x:c>
      <x:c r="L74" s="17" t="str">
        <x:v>按实体version或审计日志保留变更证据</x:v>
      </x:c>
      <x:c r="M74" s="4" t="str">
        <x:v>M3</x:v>
      </x:c>
      <x:c r="N74" s="4" t="str">
        <x:v>待切片细化</x:v>
      </x:c>
      <x:c r="O74" s="4" t="str">
        <x:v>综合方案§13核心数据模型</x:v>
      </x:c>
      <x:c r="P74" s="4" t="str">
        <x:v>DRAFT_FROM_SCHEME</x:v>
      </x:c>
    </x:row>
    <x:row r="75" ht="23" customHeight="1">
      <x:c r="A75" s="4" t="str">
        <x:v>ConsumerAddress</x:v>
      </x:c>
      <x:c r="B75" s="4" t="str">
        <x:v>consumerUserId</x:v>
      </x:c>
      <x:c r="C75" s="17" t="str">
        <x:v>consumerUserId</x:v>
      </x:c>
      <x:c r="D75" s="4" t="str">
        <x:v>2</x:v>
      </x:c>
      <x:c r="E75" s="4" t="str">
        <x:v>String/UUID</x:v>
      </x:c>
      <x:c r="F75" s="4" t="str">
        <x:v>YES</x:v>
      </x:c>
      <x:c r="G75" s="4" t="str">
        <x:v>待M阶段冻结</x:v>
      </x:c>
      <x:c r="H75" s="17" t="str">
        <x:v>PERSONAL_OR_SENSITIVE</x:v>
      </x:c>
      <x:c r="I75" s="17" t="str">
        <x:v>按角色、对象归属及配送阶段脱敏/解密</x:v>
      </x:c>
      <x:c r="J75" s="17" t="str">
        <x:v>禁止跨供应商、越阶段或批量无审批导出</x:v>
      </x:c>
      <x:c r="K75" s="17" t="str">
        <x:v>DTO白名单；长度/枚举/归属/状态校验；禁止信任客户端派生值</x:v>
      </x:c>
      <x:c r="L75" s="17" t="str">
        <x:v>按实体version或审计日志保留变更证据</x:v>
      </x:c>
      <x:c r="M75" s="4" t="str">
        <x:v>M3</x:v>
      </x:c>
      <x:c r="N75" s="4" t="str">
        <x:v>待切片细化</x:v>
      </x:c>
      <x:c r="O75" s="4" t="str">
        <x:v>综合方案§13核心数据模型</x:v>
      </x:c>
      <x:c r="P75" s="4" t="str">
        <x:v>DRAFT_FROM_SCHEME</x:v>
      </x:c>
    </x:row>
    <x:row r="76" ht="23" customHeight="1">
      <x:c r="A76" s="4" t="str">
        <x:v>ConsumerAddress</x:v>
      </x:c>
      <x:c r="B76" s="4" t="str">
        <x:v>consignee</x:v>
      </x:c>
      <x:c r="C76" s="17" t="str">
        <x:v>consignee</x:v>
      </x:c>
      <x:c r="D76" s="4" t="str">
        <x:v>3</x:v>
      </x:c>
      <x:c r="E76" s="4" t="str">
        <x:v>String</x:v>
      </x:c>
      <x:c r="F76" s="4" t="str">
        <x:v>YES</x:v>
      </x:c>
      <x:c r="G76" s="4" t="str">
        <x:v>待M阶段冻结</x:v>
      </x:c>
      <x:c r="H76" s="17" t="str">
        <x:v>PERSONAL_OR_SENSITIVE</x:v>
      </x:c>
      <x:c r="I76" s="17" t="str">
        <x:v>按角色、对象归属及配送阶段脱敏/解密</x:v>
      </x:c>
      <x:c r="J76" s="17" t="str">
        <x:v>禁止跨供应商、越阶段或批量无审批导出</x:v>
      </x:c>
      <x:c r="K76" s="17" t="str">
        <x:v>DTO白名单；长度/枚举/归属/状态校验；禁止信任客户端派生值</x:v>
      </x:c>
      <x:c r="L76" s="17" t="str">
        <x:v>按实体version或审计日志保留变更证据</x:v>
      </x:c>
      <x:c r="M76" s="4" t="str">
        <x:v>M3</x:v>
      </x:c>
      <x:c r="N76" s="4" t="str">
        <x:v>待切片细化</x:v>
      </x:c>
      <x:c r="O76" s="4" t="str">
        <x:v>综合方案§13核心数据模型</x:v>
      </x:c>
      <x:c r="P76" s="4" t="str">
        <x:v>DRAFT_FROM_SCHEME</x:v>
      </x:c>
    </x:row>
    <x:row r="77" ht="23" customHeight="1">
      <x:c r="A77" s="4" t="str">
        <x:v>ConsumerAddress</x:v>
      </x:c>
      <x:c r="B77" s="4" t="str">
        <x:v>mobileEncrypted</x:v>
      </x:c>
      <x:c r="C77" s="17" t="str">
        <x:v>mobileEncrypted</x:v>
      </x:c>
      <x:c r="D77" s="4" t="str">
        <x:v>4</x:v>
      </x:c>
      <x:c r="E77" s="4" t="str">
        <x:v>String</x:v>
      </x:c>
      <x:c r="F77" s="4" t="str">
        <x:v>YES</x:v>
      </x:c>
      <x:c r="G77" s="4" t="str">
        <x:v>待M阶段冻结</x:v>
      </x:c>
      <x:c r="H77" s="17" t="str">
        <x:v>PERSONAL_OR_SENSITIVE</x:v>
      </x:c>
      <x:c r="I77" s="17" t="str">
        <x:v>按角色、对象归属及配送阶段脱敏/解密</x:v>
      </x:c>
      <x:c r="J77" s="17" t="str">
        <x:v>禁止跨供应商、越阶段或批量无审批导出</x:v>
      </x:c>
      <x:c r="K77" s="17" t="str">
        <x:v>DTO白名单；长度/枚举/归属/状态校验；禁止信任客户端派生值</x:v>
      </x:c>
      <x:c r="L77" s="17" t="str">
        <x:v>按实体version或审计日志保留变更证据</x:v>
      </x:c>
      <x:c r="M77" s="4" t="str">
        <x:v>M3</x:v>
      </x:c>
      <x:c r="N77" s="4" t="str">
        <x:v>待切片细化</x:v>
      </x:c>
      <x:c r="O77" s="4" t="str">
        <x:v>综合方案§13核心数据模型</x:v>
      </x:c>
      <x:c r="P77" s="4" t="str">
        <x:v>DRAFT_FROM_SCHEME</x:v>
      </x:c>
    </x:row>
    <x:row r="78" ht="23" customHeight="1">
      <x:c r="A78" s="4" t="str">
        <x:v>ConsumerAddress</x:v>
      </x:c>
      <x:c r="B78" s="4" t="str">
        <x:v>provinceCode</x:v>
      </x:c>
      <x:c r="C78" s="17" t="str">
        <x:v>provinceCode</x:v>
      </x:c>
      <x:c r="D78" s="4" t="str">
        <x:v>5</x:v>
      </x:c>
      <x:c r="E78" s="4" t="str">
        <x:v>String</x:v>
      </x:c>
      <x:c r="F78" s="4" t="str">
        <x:v>YES</x:v>
      </x:c>
      <x:c r="G78" s="4" t="str">
        <x:v>待M阶段冻结</x:v>
      </x:c>
      <x:c r="H78" s="17" t="str">
        <x:v>PERSONAL_OR_SENSITIVE</x:v>
      </x:c>
      <x:c r="I78" s="17" t="str">
        <x:v>按角色、对象归属及配送阶段脱敏/解密</x:v>
      </x:c>
      <x:c r="J78" s="17" t="str">
        <x:v>禁止跨供应商、越阶段或批量无审批导出</x:v>
      </x:c>
      <x:c r="K78" s="17" t="str">
        <x:v>DTO白名单；长度/枚举/归属/状态校验；禁止信任客户端派生值</x:v>
      </x:c>
      <x:c r="L78" s="17" t="str">
        <x:v>按实体version或审计日志保留变更证据</x:v>
      </x:c>
      <x:c r="M78" s="4" t="str">
        <x:v>M3</x:v>
      </x:c>
      <x:c r="N78" s="4" t="str">
        <x:v>待切片细化</x:v>
      </x:c>
      <x:c r="O78" s="4" t="str">
        <x:v>综合方案§13核心数据模型</x:v>
      </x:c>
      <x:c r="P78" s="4" t="str">
        <x:v>DRAFT_FROM_SCHEME</x:v>
      </x:c>
    </x:row>
    <x:row r="79" ht="23" customHeight="1">
      <x:c r="A79" s="4" t="str">
        <x:v>ConsumerAddress</x:v>
      </x:c>
      <x:c r="B79" s="4" t="str">
        <x:v>cityCode</x:v>
      </x:c>
      <x:c r="C79" s="17" t="str">
        <x:v>cityCode</x:v>
      </x:c>
      <x:c r="D79" s="4" t="str">
        <x:v>6</x:v>
      </x:c>
      <x:c r="E79" s="4" t="str">
        <x:v>String</x:v>
      </x:c>
      <x:c r="F79" s="4" t="str">
        <x:v>YES</x:v>
      </x:c>
      <x:c r="G79" s="4" t="str">
        <x:v>待M阶段冻结</x:v>
      </x:c>
      <x:c r="H79" s="17" t="str">
        <x:v>PERSONAL_OR_SENSITIVE</x:v>
      </x:c>
      <x:c r="I79" s="17" t="str">
        <x:v>按角色、对象归属及配送阶段脱敏/解密</x:v>
      </x:c>
      <x:c r="J79" s="17" t="str">
        <x:v>禁止跨供应商、越阶段或批量无审批导出</x:v>
      </x:c>
      <x:c r="K79" s="17" t="str">
        <x:v>DTO白名单；长度/枚举/归属/状态校验；禁止信任客户端派生值</x:v>
      </x:c>
      <x:c r="L79" s="17" t="str">
        <x:v>按实体version或审计日志保留变更证据</x:v>
      </x:c>
      <x:c r="M79" s="4" t="str">
        <x:v>M3</x:v>
      </x:c>
      <x:c r="N79" s="4" t="str">
        <x:v>待切片细化</x:v>
      </x:c>
      <x:c r="O79" s="4" t="str">
        <x:v>综合方案§13核心数据模型</x:v>
      </x:c>
      <x:c r="P79" s="4" t="str">
        <x:v>DRAFT_FROM_SCHEME</x:v>
      </x:c>
    </x:row>
    <x:row r="80" ht="23" customHeight="1">
      <x:c r="A80" s="4" t="str">
        <x:v>ConsumerAddress</x:v>
      </x:c>
      <x:c r="B80" s="4" t="str">
        <x:v>districtCode</x:v>
      </x:c>
      <x:c r="C80" s="17" t="str">
        <x:v>districtCode</x:v>
      </x:c>
      <x:c r="D80" s="4" t="str">
        <x:v>7</x:v>
      </x:c>
      <x:c r="E80" s="4" t="str">
        <x:v>String</x:v>
      </x:c>
      <x:c r="F80" s="4" t="str">
        <x:v>YES</x:v>
      </x:c>
      <x:c r="G80" s="4" t="str">
        <x:v>待M阶段冻结</x:v>
      </x:c>
      <x:c r="H80" s="17" t="str">
        <x:v>PERSONAL_OR_SENSITIVE</x:v>
      </x:c>
      <x:c r="I80" s="17" t="str">
        <x:v>按角色、对象归属及配送阶段脱敏/解密</x:v>
      </x:c>
      <x:c r="J80" s="17" t="str">
        <x:v>禁止跨供应商、越阶段或批量无审批导出</x:v>
      </x:c>
      <x:c r="K80" s="17" t="str">
        <x:v>DTO白名单；长度/枚举/归属/状态校验；禁止信任客户端派生值</x:v>
      </x:c>
      <x:c r="L80" s="17" t="str">
        <x:v>按实体version或审计日志保留变更证据</x:v>
      </x:c>
      <x:c r="M80" s="4" t="str">
        <x:v>M3</x:v>
      </x:c>
      <x:c r="N80" s="4" t="str">
        <x:v>待切片细化</x:v>
      </x:c>
      <x:c r="O80" s="4" t="str">
        <x:v>综合方案§13核心数据模型</x:v>
      </x:c>
      <x:c r="P80" s="4" t="str">
        <x:v>DRAFT_FROM_SCHEME</x:v>
      </x:c>
    </x:row>
    <x:row r="81" ht="23" customHeight="1">
      <x:c r="A81" s="4" t="str">
        <x:v>ConsumerAddress</x:v>
      </x:c>
      <x:c r="B81" s="4" t="str">
        <x:v>detail</x:v>
      </x:c>
      <x:c r="C81" s="17" t="str">
        <x:v>detail</x:v>
      </x:c>
      <x:c r="D81" s="4" t="str">
        <x:v>8</x:v>
      </x:c>
      <x:c r="E81" s="4" t="str">
        <x:v>String</x:v>
      </x:c>
      <x:c r="F81" s="4" t="str">
        <x:v>YES</x:v>
      </x:c>
      <x:c r="G81" s="4" t="str">
        <x:v>待M阶段冻结</x:v>
      </x:c>
      <x:c r="H81" s="17" t="str">
        <x:v>PERSONAL_OR_SENSITIVE</x:v>
      </x:c>
      <x:c r="I81" s="17" t="str">
        <x:v>按角色、对象归属及配送阶段脱敏/解密</x:v>
      </x:c>
      <x:c r="J81" s="17" t="str">
        <x:v>禁止跨供应商、越阶段或批量无审批导出</x:v>
      </x:c>
      <x:c r="K81" s="17" t="str">
        <x:v>DTO白名单；长度/枚举/归属/状态校验；禁止信任客户端派生值</x:v>
      </x:c>
      <x:c r="L81" s="17" t="str">
        <x:v>按实体version或审计日志保留变更证据</x:v>
      </x:c>
      <x:c r="M81" s="4" t="str">
        <x:v>M3</x:v>
      </x:c>
      <x:c r="N81" s="4" t="str">
        <x:v>待切片细化</x:v>
      </x:c>
      <x:c r="O81" s="4" t="str">
        <x:v>综合方案§13核心数据模型</x:v>
      </x:c>
      <x:c r="P81" s="4" t="str">
        <x:v>DRAFT_FROM_SCHEME</x:v>
      </x:c>
    </x:row>
    <x:row r="82" ht="23" customHeight="1">
      <x:c r="A82" s="4" t="str">
        <x:v>ConsumerAddress</x:v>
      </x:c>
      <x:c r="B82" s="4" t="str">
        <x:v>lat</x:v>
      </x:c>
      <x:c r="C82" s="17" t="str">
        <x:v>lat?</x:v>
      </x:c>
      <x:c r="D82" s="4" t="str">
        <x:v>9</x:v>
      </x:c>
      <x:c r="E82" s="4" t="str">
        <x:v>DateTime</x:v>
      </x:c>
      <x:c r="F82" s="4" t="str">
        <x:v>NO</x:v>
      </x:c>
      <x:c r="G82" s="4" t="str">
        <x:v>ISO-8601+明确时区</x:v>
      </x:c>
      <x:c r="H82" s="17" t="str">
        <x:v>PERSONAL_OR_SENSITIVE</x:v>
      </x:c>
      <x:c r="I82" s="17" t="str">
        <x:v>按角色、对象归属及配送阶段脱敏/解密</x:v>
      </x:c>
      <x:c r="J82" s="17" t="str">
        <x:v>禁止跨供应商、越阶段或批量无审批导出</x:v>
      </x:c>
      <x:c r="K82" s="17" t="str">
        <x:v>DTO白名单；长度/枚举/归属/状态校验；禁止信任客户端派生值</x:v>
      </x:c>
      <x:c r="L82" s="17" t="str">
        <x:v>按实体version或审计日志保留变更证据</x:v>
      </x:c>
      <x:c r="M82" s="4" t="str">
        <x:v>M3</x:v>
      </x:c>
      <x:c r="N82" s="4" t="str">
        <x:v>待切片细化</x:v>
      </x:c>
      <x:c r="O82" s="4" t="str">
        <x:v>综合方案§13核心数据模型</x:v>
      </x:c>
      <x:c r="P82" s="4" t="str">
        <x:v>DRAFT_FROM_SCHEME</x:v>
      </x:c>
    </x:row>
    <x:row r="83" ht="23" customHeight="1">
      <x:c r="A83" s="4" t="str">
        <x:v>ConsumerAddress</x:v>
      </x:c>
      <x:c r="B83" s="4" t="str">
        <x:v>lng</x:v>
      </x:c>
      <x:c r="C83" s="17" t="str">
        <x:v>lng?</x:v>
      </x:c>
      <x:c r="D83" s="4" t="str">
        <x:v>10</x:v>
      </x:c>
      <x:c r="E83" s="4" t="str">
        <x:v>Decimal</x:v>
      </x:c>
      <x:c r="F83" s="4" t="str">
        <x:v>NO</x:v>
      </x:c>
      <x:c r="G83" s="4" t="str">
        <x:v>待M阶段冻结</x:v>
      </x:c>
      <x:c r="H83" s="17" t="str">
        <x:v>PERSONAL_OR_SENSITIVE</x:v>
      </x:c>
      <x:c r="I83" s="17" t="str">
        <x:v>按角色、对象归属及配送阶段脱敏/解密</x:v>
      </x:c>
      <x:c r="J83" s="17" t="str">
        <x:v>禁止跨供应商、越阶段或批量无审批导出</x:v>
      </x:c>
      <x:c r="K83" s="17" t="str">
        <x:v>DTO白名单；长度/枚举/归属/状态校验；禁止信任客户端派生值</x:v>
      </x:c>
      <x:c r="L83" s="17" t="str">
        <x:v>按实体version或审计日志保留变更证据</x:v>
      </x:c>
      <x:c r="M83" s="4" t="str">
        <x:v>M3</x:v>
      </x:c>
      <x:c r="N83" s="4" t="str">
        <x:v>待切片细化</x:v>
      </x:c>
      <x:c r="O83" s="4" t="str">
        <x:v>综合方案§13核心数据模型</x:v>
      </x:c>
      <x:c r="P83" s="4" t="str">
        <x:v>DRAFT_FROM_SCHEME</x:v>
      </x:c>
    </x:row>
    <x:row r="84" ht="23" customHeight="1">
      <x:c r="A84" s="4" t="str">
        <x:v>ConsumerAddress</x:v>
      </x:c>
      <x:c r="B84" s="4" t="str">
        <x:v>tag</x:v>
      </x:c>
      <x:c r="C84" s="17" t="str">
        <x:v>tag?</x:v>
      </x:c>
      <x:c r="D84" s="4" t="str">
        <x:v>11</x:v>
      </x:c>
      <x:c r="E84" s="4" t="str">
        <x:v>String</x:v>
      </x:c>
      <x:c r="F84" s="4" t="str">
        <x:v>NO</x:v>
      </x:c>
      <x:c r="G84" s="4" t="str">
        <x:v>待M阶段冻结</x:v>
      </x:c>
      <x:c r="H84" s="17" t="str">
        <x:v>PERSONAL_OR_SENSITIVE</x:v>
      </x:c>
      <x:c r="I84" s="17" t="str">
        <x:v>按角色、对象归属及配送阶段脱敏/解密</x:v>
      </x:c>
      <x:c r="J84" s="17" t="str">
        <x:v>禁止跨供应商、越阶段或批量无审批导出</x:v>
      </x:c>
      <x:c r="K84" s="17" t="str">
        <x:v>DTO白名单；长度/枚举/归属/状态校验；禁止信任客户端派生值</x:v>
      </x:c>
      <x:c r="L84" s="17" t="str">
        <x:v>按实体version或审计日志保留变更证据</x:v>
      </x:c>
      <x:c r="M84" s="4" t="str">
        <x:v>M3</x:v>
      </x:c>
      <x:c r="N84" s="4" t="str">
        <x:v>待切片细化</x:v>
      </x:c>
      <x:c r="O84" s="4" t="str">
        <x:v>综合方案§13核心数据模型</x:v>
      </x:c>
      <x:c r="P84" s="4" t="str">
        <x:v>DRAFT_FROM_SCHEME</x:v>
      </x:c>
    </x:row>
    <x:row r="85" ht="23" customHeight="1">
      <x:c r="A85" s="4" t="str">
        <x:v>ConsumerAddress</x:v>
      </x:c>
      <x:c r="B85" s="4" t="str">
        <x:v>isDefault</x:v>
      </x:c>
      <x:c r="C85" s="17" t="str">
        <x:v>isDefault</x:v>
      </x:c>
      <x:c r="D85" s="4" t="str">
        <x:v>12</x:v>
      </x:c>
      <x:c r="E85" s="4" t="str">
        <x:v>Boolean</x:v>
      </x:c>
      <x:c r="F85" s="4" t="str">
        <x:v>YES</x:v>
      </x:c>
      <x:c r="G85" s="4" t="str">
        <x:v>待M阶段冻结</x:v>
      </x:c>
      <x:c r="H85" s="17" t="str">
        <x:v>PERSONAL_OR_SENSITIVE</x:v>
      </x:c>
      <x:c r="I85" s="17" t="str">
        <x:v>按角色、对象归属及配送阶段脱敏/解密</x:v>
      </x:c>
      <x:c r="J85" s="17" t="str">
        <x:v>禁止跨供应商、越阶段或批量无审批导出</x:v>
      </x:c>
      <x:c r="K85" s="17" t="str">
        <x:v>DTO白名单；长度/枚举/归属/状态校验；禁止信任客户端派生值</x:v>
      </x:c>
      <x:c r="L85" s="17" t="str">
        <x:v>按实体version或审计日志保留变更证据</x:v>
      </x:c>
      <x:c r="M85" s="4" t="str">
        <x:v>M3</x:v>
      </x:c>
      <x:c r="N85" s="4" t="str">
        <x:v>待切片细化</x:v>
      </x:c>
      <x:c r="O85" s="4" t="str">
        <x:v>综合方案§13核心数据模型</x:v>
      </x:c>
      <x:c r="P85" s="4" t="str">
        <x:v>DRAFT_FROM_SCHEME</x:v>
      </x:c>
    </x:row>
    <x:row r="86" ht="23" customHeight="1">
      <x:c r="A86" s="4" t="str">
        <x:v>ConsumerInvoiceProfile</x:v>
      </x:c>
      <x:c r="B86" s="4" t="str">
        <x:v>id</x:v>
      </x:c>
      <x:c r="C86" s="17" t="str">
        <x:v>id</x:v>
      </x:c>
      <x:c r="D86" s="4" t="str">
        <x:v>1</x:v>
      </x:c>
      <x:c r="E86" s="4" t="str">
        <x:v>String/UUID</x:v>
      </x:c>
      <x:c r="F86" s="4" t="str">
        <x:v>YES</x:v>
      </x:c>
      <x:c r="G86" s="4" t="str">
        <x:v>待M阶段冻结</x:v>
      </x:c>
      <x:c r="H86" s="17" t="str">
        <x:v>INTERNAL</x:v>
      </x:c>
      <x:c r="I86" s="17" t="str">
        <x:v>按资源权限与数据域访问；公开DTO另行白名单</x:v>
      </x:c>
      <x:c r="J86" s="17" t="str">
        <x:v>数据库实体不得直接序列化为响应</x:v>
      </x:c>
      <x:c r="K86" s="17" t="str">
        <x:v>DTO白名单；长度/枚举/归属/状态校验；禁止信任客户端派生值</x:v>
      </x:c>
      <x:c r="L86" s="17" t="str">
        <x:v>按实体version或审计日志保留变更证据</x:v>
      </x:c>
      <x:c r="M86" s="4" t="str">
        <x:v>M3</x:v>
      </x:c>
      <x:c r="N86" s="4" t="str">
        <x:v>待切片细化</x:v>
      </x:c>
      <x:c r="O86" s="4" t="str">
        <x:v>综合方案§13核心数据模型</x:v>
      </x:c>
      <x:c r="P86" s="4" t="str">
        <x:v>DRAFT_FROM_SCHEME</x:v>
      </x:c>
    </x:row>
    <x:row r="87" ht="23" customHeight="1">
      <x:c r="A87" s="4" t="str">
        <x:v>ConsumerInvoiceProfile</x:v>
      </x:c>
      <x:c r="B87" s="4" t="str">
        <x:v>consumerUserId</x:v>
      </x:c>
      <x:c r="C87" s="17" t="str">
        <x:v>consumerUserId</x:v>
      </x:c>
      <x:c r="D87" s="4" t="str">
        <x:v>2</x:v>
      </x:c>
      <x:c r="E87" s="4" t="str">
        <x:v>String/UUID</x:v>
      </x:c>
      <x:c r="F87" s="4" t="str">
        <x:v>YES</x:v>
      </x:c>
      <x:c r="G87" s="4" t="str">
        <x:v>待M阶段冻结</x:v>
      </x:c>
      <x:c r="H87" s="17" t="str">
        <x:v>INTERNAL</x:v>
      </x:c>
      <x:c r="I87" s="17" t="str">
        <x:v>按资源权限与数据域访问；公开DTO另行白名单</x:v>
      </x:c>
      <x:c r="J87" s="17" t="str">
        <x:v>数据库实体不得直接序列化为响应</x:v>
      </x:c>
      <x:c r="K87" s="17" t="str">
        <x:v>DTO白名单；长度/枚举/归属/状态校验；禁止信任客户端派生值</x:v>
      </x:c>
      <x:c r="L87" s="17" t="str">
        <x:v>按实体version或审计日志保留变更证据</x:v>
      </x:c>
      <x:c r="M87" s="4" t="str">
        <x:v>M3</x:v>
      </x:c>
      <x:c r="N87" s="4" t="str">
        <x:v>待切片细化</x:v>
      </x:c>
      <x:c r="O87" s="4" t="str">
        <x:v>综合方案§13核心数据模型</x:v>
      </x:c>
      <x:c r="P87" s="4" t="str">
        <x:v>DRAFT_FROM_SCHEME</x:v>
      </x:c>
    </x:row>
    <x:row r="88" ht="23" customHeight="1">
      <x:c r="A88" s="4" t="str">
        <x:v>ConsumerInvoiceProfile</x:v>
      </x:c>
      <x:c r="B88" s="4" t="str">
        <x:v>profileType</x:v>
      </x:c>
      <x:c r="C88" s="17" t="str">
        <x:v>profileType</x:v>
      </x:c>
      <x:c r="D88" s="4" t="str">
        <x:v>3</x:v>
      </x:c>
      <x:c r="E88" s="4" t="str">
        <x:v>Enum/String</x:v>
      </x:c>
      <x:c r="F88" s="4" t="str">
        <x:v>YES</x:v>
      </x:c>
      <x:c r="G88" s="4" t="str">
        <x:v>待M阶段冻结</x:v>
      </x:c>
      <x:c r="H88" s="17" t="str">
        <x:v>INTERNAL</x:v>
      </x:c>
      <x:c r="I88" s="17" t="str">
        <x:v>按资源权限与数据域访问；公开DTO另行白名单</x:v>
      </x:c>
      <x:c r="J88" s="17" t="str">
        <x:v>数据库实体不得直接序列化为响应</x:v>
      </x:c>
      <x:c r="K88" s="17" t="str">
        <x:v>DTO白名单；长度/枚举/归属/状态校验；禁止信任客户端派生值</x:v>
      </x:c>
      <x:c r="L88" s="17" t="str">
        <x:v>按实体version或审计日志保留变更证据</x:v>
      </x:c>
      <x:c r="M88" s="4" t="str">
        <x:v>M3</x:v>
      </x:c>
      <x:c r="N88" s="4" t="str">
        <x:v>待切片细化</x:v>
      </x:c>
      <x:c r="O88" s="4" t="str">
        <x:v>综合方案§13核心数据模型</x:v>
      </x:c>
      <x:c r="P88" s="4" t="str">
        <x:v>DRAFT_FROM_SCHEME</x:v>
      </x:c>
    </x:row>
    <x:row r="89" ht="23" customHeight="1">
      <x:c r="A89" s="4" t="str">
        <x:v>ConsumerInvoiceProfile</x:v>
      </x:c>
      <x:c r="B89" s="4" t="str">
        <x:v>title</x:v>
      </x:c>
      <x:c r="C89" s="17" t="str">
        <x:v>title</x:v>
      </x:c>
      <x:c r="D89" s="4" t="str">
        <x:v>4</x:v>
      </x:c>
      <x:c r="E89" s="4" t="str">
        <x:v>String</x:v>
      </x:c>
      <x:c r="F89" s="4" t="str">
        <x:v>YES</x:v>
      </x:c>
      <x:c r="G89" s="4" t="str">
        <x:v>待M阶段冻结</x:v>
      </x:c>
      <x:c r="H89" s="17" t="str">
        <x:v>INTERNAL</x:v>
      </x:c>
      <x:c r="I89" s="17" t="str">
        <x:v>按资源权限与数据域访问；公开DTO另行白名单</x:v>
      </x:c>
      <x:c r="J89" s="17" t="str">
        <x:v>数据库实体不得直接序列化为响应</x:v>
      </x:c>
      <x:c r="K89" s="17" t="str">
        <x:v>DTO白名单；长度/枚举/归属/状态校验；禁止信任客户端派生值</x:v>
      </x:c>
      <x:c r="L89" s="17" t="str">
        <x:v>按实体version或审计日志保留变更证据</x:v>
      </x:c>
      <x:c r="M89" s="4" t="str">
        <x:v>M3</x:v>
      </x:c>
      <x:c r="N89" s="4" t="str">
        <x:v>待切片细化</x:v>
      </x:c>
      <x:c r="O89" s="4" t="str">
        <x:v>综合方案§13核心数据模型</x:v>
      </x:c>
      <x:c r="P89" s="4" t="str">
        <x:v>DRAFT_FROM_SCHEME</x:v>
      </x:c>
    </x:row>
    <x:row r="90" ht="23" customHeight="1">
      <x:c r="A90" s="4" t="str">
        <x:v>ConsumerInvoiceProfile</x:v>
      </x:c>
      <x:c r="B90" s="4" t="str">
        <x:v>taxNoEncrypted</x:v>
      </x:c>
      <x:c r="C90" s="17" t="str">
        <x:v>taxNoEncrypted?</x:v>
      </x:c>
      <x:c r="D90" s="4" t="str">
        <x:v>5</x:v>
      </x:c>
      <x:c r="E90" s="4" t="str">
        <x:v>String</x:v>
      </x:c>
      <x:c r="F90" s="4" t="str">
        <x:v>NO</x:v>
      </x:c>
      <x:c r="G90" s="4" t="str">
        <x:v>待M阶段冻结</x:v>
      </x:c>
      <x:c r="H90" s="17" t="str">
        <x:v>PERSONAL_OR_SENSITIVE</x:v>
      </x:c>
      <x:c r="I90" s="17" t="str">
        <x:v>按角色、对象归属及配送阶段脱敏/解密</x:v>
      </x:c>
      <x:c r="J90" s="17" t="str">
        <x:v>禁止跨供应商、越阶段或批量无审批导出</x:v>
      </x:c>
      <x:c r="K90" s="17" t="str">
        <x:v>DTO白名单；长度/枚举/归属/状态校验；禁止信任客户端派生值</x:v>
      </x:c>
      <x:c r="L90" s="17" t="str">
        <x:v>按实体version或审计日志保留变更证据</x:v>
      </x:c>
      <x:c r="M90" s="4" t="str">
        <x:v>M3</x:v>
      </x:c>
      <x:c r="N90" s="4" t="str">
        <x:v>待切片细化</x:v>
      </x:c>
      <x:c r="O90" s="4" t="str">
        <x:v>综合方案§13核心数据模型</x:v>
      </x:c>
      <x:c r="P90" s="4" t="str">
        <x:v>DRAFT_FROM_SCHEME</x:v>
      </x:c>
    </x:row>
    <x:row r="91" ht="23" customHeight="1">
      <x:c r="A91" s="4" t="str">
        <x:v>ConsumerInvoiceProfile</x:v>
      </x:c>
      <x:c r="B91" s="4" t="str">
        <x:v>receiveEmailEncrypted</x:v>
      </x:c>
      <x:c r="C91" s="17" t="str">
        <x:v>receiveEmailEncrypted?</x:v>
      </x:c>
      <x:c r="D91" s="4" t="str">
        <x:v>6</x:v>
      </x:c>
      <x:c r="E91" s="4" t="str">
        <x:v>String</x:v>
      </x:c>
      <x:c r="F91" s="4" t="str">
        <x:v>NO</x:v>
      </x:c>
      <x:c r="G91" s="4" t="str">
        <x:v>待M阶段冻结</x:v>
      </x:c>
      <x:c r="H91" s="17" t="str">
        <x:v>PERSONAL_OR_SENSITIVE</x:v>
      </x:c>
      <x:c r="I91" s="17" t="str">
        <x:v>按角色、对象归属及配送阶段脱敏/解密</x:v>
      </x:c>
      <x:c r="J91" s="17" t="str">
        <x:v>禁止跨供应商、越阶段或批量无审批导出</x:v>
      </x:c>
      <x:c r="K91" s="17" t="str">
        <x:v>DTO白名单；长度/枚举/归属/状态校验；禁止信任客户端派生值</x:v>
      </x:c>
      <x:c r="L91" s="17" t="str">
        <x:v>按实体version或审计日志保留变更证据</x:v>
      </x:c>
      <x:c r="M91" s="4" t="str">
        <x:v>M3</x:v>
      </x:c>
      <x:c r="N91" s="4" t="str">
        <x:v>待切片细化</x:v>
      </x:c>
      <x:c r="O91" s="4" t="str">
        <x:v>综合方案§13核心数据模型</x:v>
      </x:c>
      <x:c r="P91" s="4" t="str">
        <x:v>DRAFT_FROM_SCHEME</x:v>
      </x:c>
    </x:row>
    <x:row r="92" ht="23" customHeight="1">
      <x:c r="A92" s="4" t="str">
        <x:v>ConsumerInvoiceProfile</x:v>
      </x:c>
      <x:c r="B92" s="4" t="str">
        <x:v>isDefault</x:v>
      </x:c>
      <x:c r="C92" s="17" t="str">
        <x:v>isDefault</x:v>
      </x:c>
      <x:c r="D92" s="4" t="str">
        <x:v>7</x:v>
      </x:c>
      <x:c r="E92" s="4" t="str">
        <x:v>Boolean</x:v>
      </x:c>
      <x:c r="F92" s="4" t="str">
        <x:v>YES</x:v>
      </x:c>
      <x:c r="G92" s="4" t="str">
        <x:v>待M阶段冻结</x:v>
      </x:c>
      <x:c r="H92" s="17" t="str">
        <x:v>INTERNAL</x:v>
      </x:c>
      <x:c r="I92" s="17" t="str">
        <x:v>按资源权限与数据域访问；公开DTO另行白名单</x:v>
      </x:c>
      <x:c r="J92" s="17" t="str">
        <x:v>数据库实体不得直接序列化为响应</x:v>
      </x:c>
      <x:c r="K92" s="17" t="str">
        <x:v>DTO白名单；长度/枚举/归属/状态校验；禁止信任客户端派生值</x:v>
      </x:c>
      <x:c r="L92" s="17" t="str">
        <x:v>按实体version或审计日志保留变更证据</x:v>
      </x:c>
      <x:c r="M92" s="4" t="str">
        <x:v>M3</x:v>
      </x:c>
      <x:c r="N92" s="4" t="str">
        <x:v>待切片细化</x:v>
      </x:c>
      <x:c r="O92" s="4" t="str">
        <x:v>综合方案§13核心数据模型</x:v>
      </x:c>
      <x:c r="P92" s="4" t="str">
        <x:v>DRAFT_FROM_SCHEME</x:v>
      </x:c>
    </x:row>
    <x:row r="93" ht="23" customHeight="1">
      <x:c r="A93" s="4" t="str">
        <x:v>ShoppingCart</x:v>
      </x:c>
      <x:c r="B93" s="4" t="str">
        <x:v>id</x:v>
      </x:c>
      <x:c r="C93" s="17" t="str">
        <x:v>id</x:v>
      </x:c>
      <x:c r="D93" s="4" t="str">
        <x:v>1</x:v>
      </x:c>
      <x:c r="E93" s="4" t="str">
        <x:v>String/UUID</x:v>
      </x:c>
      <x:c r="F93" s="4" t="str">
        <x:v>YES</x:v>
      </x:c>
      <x:c r="G93" s="4" t="str">
        <x:v>待M阶段冻结</x:v>
      </x:c>
      <x:c r="H93" s="17" t="str">
        <x:v>INTERNAL</x:v>
      </x:c>
      <x:c r="I93" s="17" t="str">
        <x:v>按资源权限与数据域访问；公开DTO另行白名单</x:v>
      </x:c>
      <x:c r="J93" s="17" t="str">
        <x:v>数据库实体不得直接序列化为响应</x:v>
      </x:c>
      <x:c r="K93" s="17" t="str">
        <x:v>DTO白名单；长度/枚举/归属/状态校验；禁止信任客户端派生值</x:v>
      </x:c>
      <x:c r="L93" s="17" t="str">
        <x:v>按实体version或审计日志保留变更证据</x:v>
      </x:c>
      <x:c r="M93" s="4" t="str">
        <x:v>M3</x:v>
      </x:c>
      <x:c r="N93" s="4" t="str">
        <x:v>待切片细化</x:v>
      </x:c>
      <x:c r="O93" s="4" t="str">
        <x:v>综合方案§13核心数据模型</x:v>
      </x:c>
      <x:c r="P93" s="4" t="str">
        <x:v>DRAFT_FROM_SCHEME</x:v>
      </x:c>
    </x:row>
    <x:row r="94" ht="23" customHeight="1">
      <x:c r="A94" s="4" t="str">
        <x:v>ShoppingCart</x:v>
      </x:c>
      <x:c r="B94" s="4" t="str">
        <x:v>consumerUserId</x:v>
      </x:c>
      <x:c r="C94" s="17" t="str">
        <x:v>consumerUserId</x:v>
      </x:c>
      <x:c r="D94" s="4" t="str">
        <x:v>2</x:v>
      </x:c>
      <x:c r="E94" s="4" t="str">
        <x:v>String/UUID</x:v>
      </x:c>
      <x:c r="F94" s="4" t="str">
        <x:v>YES</x:v>
      </x:c>
      <x:c r="G94" s="4" t="str">
        <x:v>待M阶段冻结</x:v>
      </x:c>
      <x:c r="H94" s="17" t="str">
        <x:v>INTERNAL</x:v>
      </x:c>
      <x:c r="I94" s="17" t="str">
        <x:v>按资源权限与数据域访问；公开DTO另行白名单</x:v>
      </x:c>
      <x:c r="J94" s="17" t="str">
        <x:v>数据库实体不得直接序列化为响应</x:v>
      </x:c>
      <x:c r="K94" s="17" t="str">
        <x:v>DTO白名单；长度/枚举/归属/状态校验；禁止信任客户端派生值</x:v>
      </x:c>
      <x:c r="L94" s="17" t="str">
        <x:v>按实体version或审计日志保留变更证据</x:v>
      </x:c>
      <x:c r="M94" s="4" t="str">
        <x:v>M3</x:v>
      </x:c>
      <x:c r="N94" s="4" t="str">
        <x:v>待切片细化</x:v>
      </x:c>
      <x:c r="O94" s="4" t="str">
        <x:v>综合方案§13核心数据模型</x:v>
      </x:c>
      <x:c r="P94" s="4" t="str">
        <x:v>DRAFT_FROM_SCHEME</x:v>
      </x:c>
    </x:row>
    <x:row r="95" ht="23" customHeight="1">
      <x:c r="A95" s="4" t="str">
        <x:v>ShoppingCart</x:v>
      </x:c>
      <x:c r="B95" s="4" t="str">
        <x:v>regionCode</x:v>
      </x:c>
      <x:c r="C95" s="17" t="str">
        <x:v>regionCode</x:v>
      </x:c>
      <x:c r="D95" s="4" t="str">
        <x:v>3</x:v>
      </x:c>
      <x:c r="E95" s="4" t="str">
        <x:v>String</x:v>
      </x:c>
      <x:c r="F95" s="4" t="str">
        <x:v>YES</x:v>
      </x:c>
      <x:c r="G95" s="4" t="str">
        <x:v>待M阶段冻结</x:v>
      </x:c>
      <x:c r="H95" s="17" t="str">
        <x:v>INTERNAL</x:v>
      </x:c>
      <x:c r="I95" s="17" t="str">
        <x:v>按资源权限与数据域访问；公开DTO另行白名单</x:v>
      </x:c>
      <x:c r="J95" s="17" t="str">
        <x:v>数据库实体不得直接序列化为响应</x:v>
      </x:c>
      <x:c r="K95" s="17" t="str">
        <x:v>DTO白名单；长度/枚举/归属/状态校验；禁止信任客户端派生值</x:v>
      </x:c>
      <x:c r="L95" s="17" t="str">
        <x:v>按实体version或审计日志保留变更证据</x:v>
      </x:c>
      <x:c r="M95" s="4" t="str">
        <x:v>M3</x:v>
      </x:c>
      <x:c r="N95" s="4" t="str">
        <x:v>待切片细化</x:v>
      </x:c>
      <x:c r="O95" s="4" t="str">
        <x:v>综合方案§13核心数据模型</x:v>
      </x:c>
      <x:c r="P95" s="4" t="str">
        <x:v>DRAFT_FROM_SCHEME</x:v>
      </x:c>
    </x:row>
    <x:row r="96" ht="23" customHeight="1">
      <x:c r="A96" s="4" t="str">
        <x:v>ShoppingCart</x:v>
      </x:c>
      <x:c r="B96" s="4" t="str">
        <x:v>version</x:v>
      </x:c>
      <x:c r="C96" s="17" t="str">
        <x:v>version</x:v>
      </x:c>
      <x:c r="D96" s="4" t="str">
        <x:v>4</x:v>
      </x:c>
      <x:c r="E96" s="4" t="str">
        <x:v>Int</x:v>
      </x:c>
      <x:c r="F96" s="4" t="str">
        <x:v>YES</x:v>
      </x:c>
      <x:c r="G96" s="4" t="str">
        <x:v>待M阶段冻结</x:v>
      </x:c>
      <x:c r="H96" s="17" t="str">
        <x:v>INTERNAL</x:v>
      </x:c>
      <x:c r="I96" s="17" t="str">
        <x:v>按资源权限与数据域访问；公开DTO另行白名单</x:v>
      </x:c>
      <x:c r="J96" s="17" t="str">
        <x:v>数据库实体不得直接序列化为响应</x:v>
      </x:c>
      <x:c r="K96" s="17" t="str">
        <x:v>DTO白名单；长度/枚举/归属/状态校验；禁止信任客户端派生值</x:v>
      </x:c>
      <x:c r="L96" s="17" t="str">
        <x:v>按实体version或审计日志保留变更证据</x:v>
      </x:c>
      <x:c r="M96" s="4" t="str">
        <x:v>M3</x:v>
      </x:c>
      <x:c r="N96" s="4" t="str">
        <x:v>待切片细化</x:v>
      </x:c>
      <x:c r="O96" s="4" t="str">
        <x:v>综合方案§13核心数据模型</x:v>
      </x:c>
      <x:c r="P96" s="4" t="str">
        <x:v>DRAFT_FROM_SCHEME</x:v>
      </x:c>
    </x:row>
    <x:row r="97" ht="23" customHeight="1">
      <x:c r="A97" s="4" t="str">
        <x:v>ShoppingCartItem</x:v>
      </x:c>
      <x:c r="B97" s="4" t="str">
        <x:v>id</x:v>
      </x:c>
      <x:c r="C97" s="17" t="str">
        <x:v>id</x:v>
      </x:c>
      <x:c r="D97" s="4" t="str">
        <x:v>1</x:v>
      </x:c>
      <x:c r="E97" s="4" t="str">
        <x:v>String/UUID</x:v>
      </x:c>
      <x:c r="F97" s="4" t="str">
        <x:v>YES</x:v>
      </x:c>
      <x:c r="G97" s="4" t="str">
        <x:v>待M阶段冻结</x:v>
      </x:c>
      <x:c r="H97" s="17" t="str">
        <x:v>INTERNAL</x:v>
      </x:c>
      <x:c r="I97" s="17" t="str">
        <x:v>按资源权限与数据域访问；公开DTO另行白名单</x:v>
      </x:c>
      <x:c r="J97" s="17" t="str">
        <x:v>数据库实体不得直接序列化为响应</x:v>
      </x:c>
      <x:c r="K97" s="17" t="str">
        <x:v>DTO白名单；长度/枚举/归属/状态校验；禁止信任客户端派生值</x:v>
      </x:c>
      <x:c r="L97" s="17" t="str">
        <x:v>按实体version或审计日志保留变更证据</x:v>
      </x:c>
      <x:c r="M97" s="4" t="str">
        <x:v>M3</x:v>
      </x:c>
      <x:c r="N97" s="4" t="str">
        <x:v>待切片细化</x:v>
      </x:c>
      <x:c r="O97" s="4" t="str">
        <x:v>综合方案§13核心数据模型</x:v>
      </x:c>
      <x:c r="P97" s="4" t="str">
        <x:v>DRAFT_FROM_SCHEME</x:v>
      </x:c>
    </x:row>
    <x:row r="98" ht="23" customHeight="1">
      <x:c r="A98" s="4" t="str">
        <x:v>ShoppingCartItem</x:v>
      </x:c>
      <x:c r="B98" s="4" t="str">
        <x:v>shoppingCartId</x:v>
      </x:c>
      <x:c r="C98" s="17" t="str">
        <x:v>shoppingCartId</x:v>
      </x:c>
      <x:c r="D98" s="4" t="str">
        <x:v>2</x:v>
      </x:c>
      <x:c r="E98" s="4" t="str">
        <x:v>String/UUID</x:v>
      </x:c>
      <x:c r="F98" s="4" t="str">
        <x:v>YES</x:v>
      </x:c>
      <x:c r="G98" s="4" t="str">
        <x:v>待M阶段冻结</x:v>
      </x:c>
      <x:c r="H98" s="17" t="str">
        <x:v>INTERNAL</x:v>
      </x:c>
      <x:c r="I98" s="17" t="str">
        <x:v>按资源权限与数据域访问；公开DTO另行白名单</x:v>
      </x:c>
      <x:c r="J98" s="17" t="str">
        <x:v>数据库实体不得直接序列化为响应</x:v>
      </x:c>
      <x:c r="K98" s="17" t="str">
        <x:v>DTO白名单；长度/枚举/归属/状态校验；禁止信任客户端派生值</x:v>
      </x:c>
      <x:c r="L98" s="17" t="str">
        <x:v>按实体version或审计日志保留变更证据</x:v>
      </x:c>
      <x:c r="M98" s="4" t="str">
        <x:v>M3</x:v>
      </x:c>
      <x:c r="N98" s="4" t="str">
        <x:v>待切片细化</x:v>
      </x:c>
      <x:c r="O98" s="4" t="str">
        <x:v>综合方案§13核心数据模型</x:v>
      </x:c>
      <x:c r="P98" s="4" t="str">
        <x:v>DRAFT_FROM_SCHEME</x:v>
      </x:c>
    </x:row>
    <x:row r="99" ht="23" customHeight="1">
      <x:c r="A99" s="4" t="str">
        <x:v>ShoppingCartItem</x:v>
      </x:c>
      <x:c r="B99" s="4" t="str">
        <x:v>productId</x:v>
      </x:c>
      <x:c r="C99" s="17" t="str">
        <x:v>productId</x:v>
      </x:c>
      <x:c r="D99" s="4" t="str">
        <x:v>3</x:v>
      </x:c>
      <x:c r="E99" s="4" t="str">
        <x:v>String/UUID</x:v>
      </x:c>
      <x:c r="F99" s="4" t="str">
        <x:v>YES</x:v>
      </x:c>
      <x:c r="G99" s="4" t="str">
        <x:v>待M阶段冻结</x:v>
      </x:c>
      <x:c r="H99" s="17" t="str">
        <x:v>INTERNAL</x:v>
      </x:c>
      <x:c r="I99" s="17" t="str">
        <x:v>按资源权限与数据域访问；公开DTO另行白名单</x:v>
      </x:c>
      <x:c r="J99" s="17" t="str">
        <x:v>数据库实体不得直接序列化为响应</x:v>
      </x:c>
      <x:c r="K99" s="17" t="str">
        <x:v>DTO白名单；长度/枚举/归属/状态校验；禁止信任客户端派生值</x:v>
      </x:c>
      <x:c r="L99" s="17" t="str">
        <x:v>按实体version或审计日志保留变更证据</x:v>
      </x:c>
      <x:c r="M99" s="4" t="str">
        <x:v>M3</x:v>
      </x:c>
      <x:c r="N99" s="4" t="str">
        <x:v>待切片细化</x:v>
      </x:c>
      <x:c r="O99" s="4" t="str">
        <x:v>综合方案§13核心数据模型</x:v>
      </x:c>
      <x:c r="P99" s="4" t="str">
        <x:v>DRAFT_FROM_SCHEME</x:v>
      </x:c>
    </x:row>
    <x:row r="100" ht="23" customHeight="1">
      <x:c r="A100" s="4" t="str">
        <x:v>ShoppingCartItem</x:v>
      </x:c>
      <x:c r="B100" s="4" t="str">
        <x:v>skuId</x:v>
      </x:c>
      <x:c r="C100" s="17" t="str">
        <x:v>skuId</x:v>
      </x:c>
      <x:c r="D100" s="4" t="str">
        <x:v>4</x:v>
      </x:c>
      <x:c r="E100" s="4" t="str">
        <x:v>String/UUID</x:v>
      </x:c>
      <x:c r="F100" s="4" t="str">
        <x:v>YES</x:v>
      </x:c>
      <x:c r="G100" s="4" t="str">
        <x:v>待M阶段冻结</x:v>
      </x:c>
      <x:c r="H100" s="17" t="str">
        <x:v>INTERNAL</x:v>
      </x:c>
      <x:c r="I100" s="17" t="str">
        <x:v>按资源权限与数据域访问；公开DTO另行白名单</x:v>
      </x:c>
      <x:c r="J100" s="17" t="str">
        <x:v>数据库实体不得直接序列化为响应</x:v>
      </x:c>
      <x:c r="K100" s="17" t="str">
        <x:v>DTO白名单；长度/枚举/归属/状态校验；禁止信任客户端派生值</x:v>
      </x:c>
      <x:c r="L100" s="17" t="str">
        <x:v>按实体version或审计日志保留变更证据</x:v>
      </x:c>
      <x:c r="M100" s="4" t="str">
        <x:v>M3</x:v>
      </x:c>
      <x:c r="N100" s="4" t="str">
        <x:v>待切片细化</x:v>
      </x:c>
      <x:c r="O100" s="4" t="str">
        <x:v>综合方案§13核心数据模型</x:v>
      </x:c>
      <x:c r="P100" s="4" t="str">
        <x:v>DRAFT_FROM_SCHEME</x:v>
      </x:c>
    </x:row>
    <x:row r="101" ht="23" customHeight="1">
      <x:c r="A101" s="4" t="str">
        <x:v>ShoppingCartItem</x:v>
      </x:c>
      <x:c r="B101" s="4" t="str">
        <x:v>quantity</x:v>
      </x:c>
      <x:c r="C101" s="17" t="str">
        <x:v>quantity</x:v>
      </x:c>
      <x:c r="D101" s="4" t="str">
        <x:v>5</x:v>
      </x:c>
      <x:c r="E101" s="4" t="str">
        <x:v>Int</x:v>
      </x:c>
      <x:c r="F101" s="4" t="str">
        <x:v>YES</x:v>
      </x:c>
      <x:c r="G101" s="4" t="str">
        <x:v>待M阶段冻结</x:v>
      </x:c>
      <x:c r="H101" s="17" t="str">
        <x:v>INTERNAL</x:v>
      </x:c>
      <x:c r="I101" s="17" t="str">
        <x:v>按资源权限与数据域访问；公开DTO另行白名单</x:v>
      </x:c>
      <x:c r="J101" s="17" t="str">
        <x:v>数据库实体不得直接序列化为响应</x:v>
      </x:c>
      <x:c r="K101" s="17" t="str">
        <x:v>DTO白名单；长度/枚举/归属/状态校验；禁止信任客户端派生值</x:v>
      </x:c>
      <x:c r="L101" s="17" t="str">
        <x:v>按实体version或审计日志保留变更证据</x:v>
      </x:c>
      <x:c r="M101" s="4" t="str">
        <x:v>M3</x:v>
      </x:c>
      <x:c r="N101" s="4" t="str">
        <x:v>待切片细化</x:v>
      </x:c>
      <x:c r="O101" s="4" t="str">
        <x:v>综合方案§13核心数据模型</x:v>
      </x:c>
      <x:c r="P101" s="4" t="str">
        <x:v>DRAFT_FROM_SCHEME</x:v>
      </x:c>
    </x:row>
    <x:row r="102" ht="23" customHeight="1">
      <x:c r="A102" s="4" t="str">
        <x:v>ShoppingCartItem</x:v>
      </x:c>
      <x:c r="B102" s="4" t="str">
        <x:v>selected</x:v>
      </x:c>
      <x:c r="C102" s="17" t="str">
        <x:v>selected</x:v>
      </x:c>
      <x:c r="D102" s="4" t="str">
        <x:v>6</x:v>
      </x:c>
      <x:c r="E102" s="4" t="str">
        <x:v>Boolean</x:v>
      </x:c>
      <x:c r="F102" s="4" t="str">
        <x:v>YES</x:v>
      </x:c>
      <x:c r="G102" s="4" t="str">
        <x:v>待M阶段冻结</x:v>
      </x:c>
      <x:c r="H102" s="17" t="str">
        <x:v>INTERNAL</x:v>
      </x:c>
      <x:c r="I102" s="17" t="str">
        <x:v>按资源权限与数据域访问；公开DTO另行白名单</x:v>
      </x:c>
      <x:c r="J102" s="17" t="str">
        <x:v>数据库实体不得直接序列化为响应</x:v>
      </x:c>
      <x:c r="K102" s="17" t="str">
        <x:v>DTO白名单；长度/枚举/归属/状态校验；禁止信任客户端派生值</x:v>
      </x:c>
      <x:c r="L102" s="17" t="str">
        <x:v>按实体version或审计日志保留变更证据</x:v>
      </x:c>
      <x:c r="M102" s="4" t="str">
        <x:v>M3</x:v>
      </x:c>
      <x:c r="N102" s="4" t="str">
        <x:v>待切片细化</x:v>
      </x:c>
      <x:c r="O102" s="4" t="str">
        <x:v>综合方案§13核心数据模型</x:v>
      </x:c>
      <x:c r="P102" s="4" t="str">
        <x:v>DRAFT_FROM_SCHEME</x:v>
      </x:c>
    </x:row>
    <x:row r="103" ht="23" customHeight="1">
      <x:c r="A103" s="4" t="str">
        <x:v>ShoppingCartItem</x:v>
      </x:c>
      <x:c r="B103" s="4" t="str">
        <x:v>addedAt</x:v>
      </x:c>
      <x:c r="C103" s="17" t="str">
        <x:v>addedAt</x:v>
      </x:c>
      <x:c r="D103" s="4" t="str">
        <x:v>7</x:v>
      </x:c>
      <x:c r="E103" s="4" t="str">
        <x:v>DateTime</x:v>
      </x:c>
      <x:c r="F103" s="4" t="str">
        <x:v>YES</x:v>
      </x:c>
      <x:c r="G103" s="4" t="str">
        <x:v>ISO-8601+明确时区</x:v>
      </x:c>
      <x:c r="H103" s="17" t="str">
        <x:v>INTERNAL</x:v>
      </x:c>
      <x:c r="I103" s="17" t="str">
        <x:v>按资源权限与数据域访问；公开DTO另行白名单</x:v>
      </x:c>
      <x:c r="J103" s="17" t="str">
        <x:v>数据库实体不得直接序列化为响应</x:v>
      </x:c>
      <x:c r="K103" s="17" t="str">
        <x:v>DTO白名单；长度/枚举/归属/状态校验；禁止信任客户端派生值</x:v>
      </x:c>
      <x:c r="L103" s="17" t="str">
        <x:v>按实体version或审计日志保留变更证据</x:v>
      </x:c>
      <x:c r="M103" s="4" t="str">
        <x:v>M3</x:v>
      </x:c>
      <x:c r="N103" s="4" t="str">
        <x:v>待切片细化</x:v>
      </x:c>
      <x:c r="O103" s="4" t="str">
        <x:v>综合方案§13核心数据模型</x:v>
      </x:c>
      <x:c r="P103" s="4" t="str">
        <x:v>DRAFT_FROM_SCHEME</x:v>
      </x:c>
    </x:row>
    <x:row r="104" ht="23" customHeight="1">
      <x:c r="A104" s="4" t="str">
        <x:v>ConsumerMessage</x:v>
      </x:c>
      <x:c r="B104" s="4" t="str">
        <x:v>id</x:v>
      </x:c>
      <x:c r="C104" s="17" t="str">
        <x:v>id</x:v>
      </x:c>
      <x:c r="D104" s="4" t="str">
        <x:v>1</x:v>
      </x:c>
      <x:c r="E104" s="4" t="str">
        <x:v>String/UUID</x:v>
      </x:c>
      <x:c r="F104" s="4" t="str">
        <x:v>YES</x:v>
      </x:c>
      <x:c r="G104" s="4" t="str">
        <x:v>待M阶段冻结</x:v>
      </x:c>
      <x:c r="H104" s="17" t="str">
        <x:v>INTERNAL</x:v>
      </x:c>
      <x:c r="I104" s="17" t="str">
        <x:v>按资源权限与数据域访问；公开DTO另行白名单</x:v>
      </x:c>
      <x:c r="J104" s="17" t="str">
        <x:v>数据库实体不得直接序列化为响应</x:v>
      </x:c>
      <x:c r="K104" s="17" t="str">
        <x:v>DTO白名单；长度/枚举/归属/状态校验；禁止信任客户端派生值</x:v>
      </x:c>
      <x:c r="L104" s="17" t="str">
        <x:v>按实体version或审计日志保留变更证据</x:v>
      </x:c>
      <x:c r="M104" s="4" t="str">
        <x:v>M3</x:v>
      </x:c>
      <x:c r="N104" s="4" t="str">
        <x:v>待切片细化</x:v>
      </x:c>
      <x:c r="O104" s="4" t="str">
        <x:v>综合方案§13核心数据模型</x:v>
      </x:c>
      <x:c r="P104" s="4" t="str">
        <x:v>DRAFT_FROM_SCHEME</x:v>
      </x:c>
    </x:row>
    <x:row r="105" ht="23" customHeight="1">
      <x:c r="A105" s="4" t="str">
        <x:v>ConsumerMessage</x:v>
      </x:c>
      <x:c r="B105" s="4" t="str">
        <x:v>consumerUserId</x:v>
      </x:c>
      <x:c r="C105" s="17" t="str">
        <x:v>consumerUserId</x:v>
      </x:c>
      <x:c r="D105" s="4" t="str">
        <x:v>2</x:v>
      </x:c>
      <x:c r="E105" s="4" t="str">
        <x:v>String/UUID</x:v>
      </x:c>
      <x:c r="F105" s="4" t="str">
        <x:v>YES</x:v>
      </x:c>
      <x:c r="G105" s="4" t="str">
        <x:v>待M阶段冻结</x:v>
      </x:c>
      <x:c r="H105" s="17" t="str">
        <x:v>INTERNAL</x:v>
      </x:c>
      <x:c r="I105" s="17" t="str">
        <x:v>按资源权限与数据域访问；公开DTO另行白名单</x:v>
      </x:c>
      <x:c r="J105" s="17" t="str">
        <x:v>数据库实体不得直接序列化为响应</x:v>
      </x:c>
      <x:c r="K105" s="17" t="str">
        <x:v>DTO白名单；长度/枚举/归属/状态校验；禁止信任客户端派生值</x:v>
      </x:c>
      <x:c r="L105" s="17" t="str">
        <x:v>按实体version或审计日志保留变更证据</x:v>
      </x:c>
      <x:c r="M105" s="4" t="str">
        <x:v>M3</x:v>
      </x:c>
      <x:c r="N105" s="4" t="str">
        <x:v>待切片细化</x:v>
      </x:c>
      <x:c r="O105" s="4" t="str">
        <x:v>综合方案§13核心数据模型</x:v>
      </x:c>
      <x:c r="P105" s="4" t="str">
        <x:v>DRAFT_FROM_SCHEME</x:v>
      </x:c>
    </x:row>
    <x:row r="106" ht="23" customHeight="1">
      <x:c r="A106" s="4" t="str">
        <x:v>ConsumerMessage</x:v>
      </x:c>
      <x:c r="B106" s="4" t="str">
        <x:v>messageType</x:v>
      </x:c>
      <x:c r="C106" s="17" t="str">
        <x:v>messageType</x:v>
      </x:c>
      <x:c r="D106" s="4" t="str">
        <x:v>3</x:v>
      </x:c>
      <x:c r="E106" s="4" t="str">
        <x:v>Enum/String</x:v>
      </x:c>
      <x:c r="F106" s="4" t="str">
        <x:v>YES</x:v>
      </x:c>
      <x:c r="G106" s="4" t="str">
        <x:v>待M阶段冻结</x:v>
      </x:c>
      <x:c r="H106" s="17" t="str">
        <x:v>INTERNAL</x:v>
      </x:c>
      <x:c r="I106" s="17" t="str">
        <x:v>按资源权限与数据域访问；公开DTO另行白名单</x:v>
      </x:c>
      <x:c r="J106" s="17" t="str">
        <x:v>数据库实体不得直接序列化为响应</x:v>
      </x:c>
      <x:c r="K106" s="17" t="str">
        <x:v>DTO白名单；长度/枚举/归属/状态校验；禁止信任客户端派生值</x:v>
      </x:c>
      <x:c r="L106" s="17" t="str">
        <x:v>按实体version或审计日志保留变更证据</x:v>
      </x:c>
      <x:c r="M106" s="4" t="str">
        <x:v>M3</x:v>
      </x:c>
      <x:c r="N106" s="4" t="str">
        <x:v>待切片细化</x:v>
      </x:c>
      <x:c r="O106" s="4" t="str">
        <x:v>综合方案§13核心数据模型</x:v>
      </x:c>
      <x:c r="P106" s="4" t="str">
        <x:v>DRAFT_FROM_SCHEME</x:v>
      </x:c>
    </x:row>
    <x:row r="107" ht="23" customHeight="1">
      <x:c r="A107" s="4" t="str">
        <x:v>ConsumerMessage</x:v>
      </x:c>
      <x:c r="B107" s="4" t="str">
        <x:v>title</x:v>
      </x:c>
      <x:c r="C107" s="17" t="str">
        <x:v>title</x:v>
      </x:c>
      <x:c r="D107" s="4" t="str">
        <x:v>4</x:v>
      </x:c>
      <x:c r="E107" s="4" t="str">
        <x:v>String</x:v>
      </x:c>
      <x:c r="F107" s="4" t="str">
        <x:v>YES</x:v>
      </x:c>
      <x:c r="G107" s="4" t="str">
        <x:v>待M阶段冻结</x:v>
      </x:c>
      <x:c r="H107" s="17" t="str">
        <x:v>INTERNAL</x:v>
      </x:c>
      <x:c r="I107" s="17" t="str">
        <x:v>按资源权限与数据域访问；公开DTO另行白名单</x:v>
      </x:c>
      <x:c r="J107" s="17" t="str">
        <x:v>数据库实体不得直接序列化为响应</x:v>
      </x:c>
      <x:c r="K107" s="17" t="str">
        <x:v>DTO白名单；长度/枚举/归属/状态校验；禁止信任客户端派生值</x:v>
      </x:c>
      <x:c r="L107" s="17" t="str">
        <x:v>按实体version或审计日志保留变更证据</x:v>
      </x:c>
      <x:c r="M107" s="4" t="str">
        <x:v>M3</x:v>
      </x:c>
      <x:c r="N107" s="4" t="str">
        <x:v>待切片细化</x:v>
      </x:c>
      <x:c r="O107" s="4" t="str">
        <x:v>综合方案§13核心数据模型</x:v>
      </x:c>
      <x:c r="P107" s="4" t="str">
        <x:v>DRAFT_FROM_SCHEME</x:v>
      </x:c>
    </x:row>
    <x:row r="108" ht="23" customHeight="1">
      <x:c r="A108" s="4" t="str">
        <x:v>ConsumerMessage</x:v>
      </x:c>
      <x:c r="B108" s="4" t="str">
        <x:v>businessType</x:v>
      </x:c>
      <x:c r="C108" s="17" t="str">
        <x:v>businessType?</x:v>
      </x:c>
      <x:c r="D108" s="4" t="str">
        <x:v>5</x:v>
      </x:c>
      <x:c r="E108" s="4" t="str">
        <x:v>Enum/String</x:v>
      </x:c>
      <x:c r="F108" s="4" t="str">
        <x:v>NO</x:v>
      </x:c>
      <x:c r="G108" s="4" t="str">
        <x:v>待M阶段冻结</x:v>
      </x:c>
      <x:c r="H108" s="17" t="str">
        <x:v>INTERNAL</x:v>
      </x:c>
      <x:c r="I108" s="17" t="str">
        <x:v>按资源权限与数据域访问；公开DTO另行白名单</x:v>
      </x:c>
      <x:c r="J108" s="17" t="str">
        <x:v>数据库实体不得直接序列化为响应</x:v>
      </x:c>
      <x:c r="K108" s="17" t="str">
        <x:v>DTO白名单；长度/枚举/归属/状态校验；禁止信任客户端派生值</x:v>
      </x:c>
      <x:c r="L108" s="17" t="str">
        <x:v>按实体version或审计日志保留变更证据</x:v>
      </x:c>
      <x:c r="M108" s="4" t="str">
        <x:v>M3</x:v>
      </x:c>
      <x:c r="N108" s="4" t="str">
        <x:v>待切片细化</x:v>
      </x:c>
      <x:c r="O108" s="4" t="str">
        <x:v>综合方案§13核心数据模型</x:v>
      </x:c>
      <x:c r="P108" s="4" t="str">
        <x:v>DRAFT_FROM_SCHEME</x:v>
      </x:c>
    </x:row>
    <x:row r="109" ht="23" customHeight="1">
      <x:c r="A109" s="4" t="str">
        <x:v>ConsumerMessage</x:v>
      </x:c>
      <x:c r="B109" s="4" t="str">
        <x:v>businessId</x:v>
      </x:c>
      <x:c r="C109" s="17" t="str">
        <x:v>businessId?</x:v>
      </x:c>
      <x:c r="D109" s="4" t="str">
        <x:v>6</x:v>
      </x:c>
      <x:c r="E109" s="4" t="str">
        <x:v>String/UUID</x:v>
      </x:c>
      <x:c r="F109" s="4" t="str">
        <x:v>NO</x:v>
      </x:c>
      <x:c r="G109" s="4" t="str">
        <x:v>待M阶段冻结</x:v>
      </x:c>
      <x:c r="H109" s="17" t="str">
        <x:v>INTERNAL</x:v>
      </x:c>
      <x:c r="I109" s="17" t="str">
        <x:v>按资源权限与数据域访问；公开DTO另行白名单</x:v>
      </x:c>
      <x:c r="J109" s="17" t="str">
        <x:v>数据库实体不得直接序列化为响应</x:v>
      </x:c>
      <x:c r="K109" s="17" t="str">
        <x:v>DTO白名单；长度/枚举/归属/状态校验；禁止信任客户端派生值</x:v>
      </x:c>
      <x:c r="L109" s="17" t="str">
        <x:v>按实体version或审计日志保留变更证据</x:v>
      </x:c>
      <x:c r="M109" s="4" t="str">
        <x:v>M3</x:v>
      </x:c>
      <x:c r="N109" s="4" t="str">
        <x:v>待切片细化</x:v>
      </x:c>
      <x:c r="O109" s="4" t="str">
        <x:v>综合方案§13核心数据模型</x:v>
      </x:c>
      <x:c r="P109" s="4" t="str">
        <x:v>DRAFT_FROM_SCHEME</x:v>
      </x:c>
    </x:row>
    <x:row r="110" ht="23" customHeight="1">
      <x:c r="A110" s="4" t="str">
        <x:v>ConsumerMessage</x:v>
      </x:c>
      <x:c r="B110" s="4" t="str">
        <x:v>contentSnapshot</x:v>
      </x:c>
      <x:c r="C110" s="17" t="str">
        <x:v>contentSnapshot</x:v>
      </x:c>
      <x:c r="D110" s="4" t="str">
        <x:v>7</x:v>
      </x:c>
      <x:c r="E110" s="4" t="str">
        <x:v>Json</x:v>
      </x:c>
      <x:c r="F110" s="4" t="str">
        <x:v>YES</x:v>
      </x:c>
      <x:c r="G110" s="4" t="str">
        <x:v>待M阶段冻结</x:v>
      </x:c>
      <x:c r="H110" s="17" t="str">
        <x:v>INTERNAL</x:v>
      </x:c>
      <x:c r="I110" s="17" t="str">
        <x:v>按资源权限与数据域访问；公开DTO另行白名单</x:v>
      </x:c>
      <x:c r="J110" s="17" t="str">
        <x:v>数据库实体不得直接序列化为响应</x:v>
      </x:c>
      <x:c r="K110" s="17" t="str">
        <x:v>DTO白名单；长度/枚举/归属/状态校验；禁止信任客户端派生值</x:v>
      </x:c>
      <x:c r="L110" s="17" t="str">
        <x:v>按实体version或审计日志保留变更证据</x:v>
      </x:c>
      <x:c r="M110" s="4" t="str">
        <x:v>M3</x:v>
      </x:c>
      <x:c r="N110" s="4" t="str">
        <x:v>待切片细化</x:v>
      </x:c>
      <x:c r="O110" s="4" t="str">
        <x:v>综合方案§13核心数据模型</x:v>
      </x:c>
      <x:c r="P110" s="4" t="str">
        <x:v>DRAFT_FROM_SCHEME</x:v>
      </x:c>
    </x:row>
    <x:row r="111" ht="23" customHeight="1">
      <x:c r="A111" s="4" t="str">
        <x:v>ConsumerMessage</x:v>
      </x:c>
      <x:c r="B111" s="4" t="str">
        <x:v>readAt</x:v>
      </x:c>
      <x:c r="C111" s="17" t="str">
        <x:v>readAt?</x:v>
      </x:c>
      <x:c r="D111" s="4" t="str">
        <x:v>8</x:v>
      </x:c>
      <x:c r="E111" s="4" t="str">
        <x:v>DateTime</x:v>
      </x:c>
      <x:c r="F111" s="4" t="str">
        <x:v>NO</x:v>
      </x:c>
      <x:c r="G111" s="4" t="str">
        <x:v>ISO-8601+明确时区</x:v>
      </x:c>
      <x:c r="H111" s="17" t="str">
        <x:v>INTERNAL</x:v>
      </x:c>
      <x:c r="I111" s="17" t="str">
        <x:v>按资源权限与数据域访问；公开DTO另行白名单</x:v>
      </x:c>
      <x:c r="J111" s="17" t="str">
        <x:v>数据库实体不得直接序列化为响应</x:v>
      </x:c>
      <x:c r="K111" s="17" t="str">
        <x:v>DTO白名单；长度/枚举/归属/状态校验；禁止信任客户端派生值</x:v>
      </x:c>
      <x:c r="L111" s="17" t="str">
        <x:v>按实体version或审计日志保留变更证据</x:v>
      </x:c>
      <x:c r="M111" s="4" t="str">
        <x:v>M3</x:v>
      </x:c>
      <x:c r="N111" s="4" t="str">
        <x:v>待切片细化</x:v>
      </x:c>
      <x:c r="O111" s="4" t="str">
        <x:v>综合方案§13核心数据模型</x:v>
      </x:c>
      <x:c r="P111" s="4" t="str">
        <x:v>DRAFT_FROM_SCHEME</x:v>
      </x:c>
    </x:row>
    <x:row r="112" ht="23" customHeight="1">
      <x:c r="A112" s="4" t="str">
        <x:v>ConsumerMessage</x:v>
      </x:c>
      <x:c r="B112" s="4" t="str">
        <x:v>expiresAt</x:v>
      </x:c>
      <x:c r="C112" s="17" t="str">
        <x:v>expiresAt?</x:v>
      </x:c>
      <x:c r="D112" s="4" t="str">
        <x:v>9</x:v>
      </x:c>
      <x:c r="E112" s="4" t="str">
        <x:v>DateTime</x:v>
      </x:c>
      <x:c r="F112" s="4" t="str">
        <x:v>NO</x:v>
      </x:c>
      <x:c r="G112" s="4" t="str">
        <x:v>ISO-8601+明确时区</x:v>
      </x:c>
      <x:c r="H112" s="17" t="str">
        <x:v>INTERNAL</x:v>
      </x:c>
      <x:c r="I112" s="17" t="str">
        <x:v>按资源权限与数据域访问；公开DTO另行白名单</x:v>
      </x:c>
      <x:c r="J112" s="17" t="str">
        <x:v>数据库实体不得直接序列化为响应</x:v>
      </x:c>
      <x:c r="K112" s="17" t="str">
        <x:v>DTO白名单；长度/枚举/归属/状态校验；禁止信任客户端派生值</x:v>
      </x:c>
      <x:c r="L112" s="17" t="str">
        <x:v>按实体version或审计日志保留变更证据</x:v>
      </x:c>
      <x:c r="M112" s="4" t="str">
        <x:v>M3</x:v>
      </x:c>
      <x:c r="N112" s="4" t="str">
        <x:v>待切片细化</x:v>
      </x:c>
      <x:c r="O112" s="4" t="str">
        <x:v>综合方案§13核心数据模型</x:v>
      </x:c>
      <x:c r="P112" s="4" t="str">
        <x:v>DRAFT_FROM_SCHEME</x:v>
      </x:c>
    </x:row>
    <x:row r="113" ht="23" customHeight="1">
      <x:c r="A113" s="4" t="str">
        <x:v>CompanyUser</x:v>
      </x:c>
      <x:c r="B113" s="4" t="str">
        <x:v>id</x:v>
      </x:c>
      <x:c r="C113" s="17" t="str">
        <x:v>id</x:v>
      </x:c>
      <x:c r="D113" s="4" t="str">
        <x:v>1</x:v>
      </x:c>
      <x:c r="E113" s="4" t="str">
        <x:v>UUID</x:v>
      </x:c>
      <x:c r="F113" s="4" t="str">
        <x:v>YES</x:v>
      </x:c>
      <x:c r="G113" s="4" t="str">
        <x:v>UUID v4 canonical lowercase text</x:v>
      </x:c>
      <x:c r="H113" s="17" t="str">
        <x:v>INTERNAL</x:v>
      </x:c>
      <x:c r="I113" s="17" t="str">
        <x:v>按资源权限与数据域访问；公开DTO另行白名单</x:v>
      </x:c>
      <x:c r="J113" s="17" t="str">
        <x:v>数据库实体不得直接序列化为响应</x:v>
      </x:c>
      <x:c r="K113" s="17" t="str">
        <x:v>server validates type, ownership, state and length; client-derived ownership and authorization are never trusted</x:v>
      </x:c>
      <x:c r="L113" s="17" t="str">
        <x:v>按实体version或审计日志保留变更证据</x:v>
      </x:c>
      <x:c r="M113" s="4" t="str">
        <x:v>M1</x:v>
      </x:c>
      <x:c r="N113" s="4" t="str">
        <x:v>P0-066,P0-067,P0-068,P0-072</x:v>
      </x:c>
      <x:c r="O113" s="4" t="str">
        <x:v>综合方案§13核心数据模型</x:v>
      </x:c>
      <x:c r="P113" s="4" t="str">
        <x:v>FROZEN_M1_000</x:v>
      </x:c>
    </x:row>
    <x:row r="114" ht="23" customHeight="1">
      <x:c r="A114" s="4" t="str">
        <x:v>CompanyUser</x:v>
      </x:c>
      <x:c r="B114" s="4" t="str">
        <x:v>companyId</x:v>
      </x:c>
      <x:c r="C114" s="17" t="str">
        <x:v>companyId</x:v>
      </x:c>
      <x:c r="D114" s="4" t="str">
        <x:v>2</x:v>
      </x:c>
      <x:c r="E114" s="4" t="str">
        <x:v>UUID</x:v>
      </x:c>
      <x:c r="F114" s="4" t="str">
        <x:v>YES</x:v>
      </x:c>
      <x:c r="G114" s="4" t="str">
        <x:v>UUID v4 canonical lowercase text</x:v>
      </x:c>
      <x:c r="H114" s="17" t="str">
        <x:v>INTERNAL</x:v>
      </x:c>
      <x:c r="I114" s="17" t="str">
        <x:v>按资源权限与数据域访问；公开DTO另行白名单</x:v>
      </x:c>
      <x:c r="J114" s="17" t="str">
        <x:v>数据库实体不得直接序列化为响应</x:v>
      </x:c>
      <x:c r="K114" s="17" t="str">
        <x:v>server binds the unique Company; request body cannot override it</x:v>
      </x:c>
      <x:c r="L114" s="17" t="str">
        <x:v>按实体version或审计日志保留变更证据</x:v>
      </x:c>
      <x:c r="M114" s="4" t="str">
        <x:v>M1</x:v>
      </x:c>
      <x:c r="N114" s="4" t="str">
        <x:v>P0-066,P0-067,P0-068,P0-072</x:v>
      </x:c>
      <x:c r="O114" s="4" t="str">
        <x:v>综合方案§13核心数据模型</x:v>
      </x:c>
      <x:c r="P114" s="4" t="str">
        <x:v>FROZEN_M1_000</x:v>
      </x:c>
    </x:row>
    <x:row r="115" ht="23" customHeight="1">
      <x:c r="A115" s="4" t="str">
        <x:v>CompanyUser</x:v>
      </x:c>
      <x:c r="B115" s="4" t="str">
        <x:v>name</x:v>
      </x:c>
      <x:c r="C115" s="17" t="str">
        <x:v>name</x:v>
      </x:c>
      <x:c r="D115" s="4" t="str">
        <x:v>3</x:v>
      </x:c>
      <x:c r="E115" s="4" t="str">
        <x:v>String</x:v>
      </x:c>
      <x:c r="F115" s="4" t="str">
        <x:v>YES</x:v>
      </x:c>
      <x:c r="G115" s="4" t="str">
        <x:v>UTF-8; 1..128 chars unless a narrower rule applies</x:v>
      </x:c>
      <x:c r="H115" s="17" t="str">
        <x:v>INTERNAL</x:v>
      </x:c>
      <x:c r="I115" s="17" t="str">
        <x:v>按资源权限与数据域访问；公开DTO另行白名单</x:v>
      </x:c>
      <x:c r="J115" s="17" t="str">
        <x:v>数据库实体不得直接序列化为响应</x:v>
      </x:c>
      <x:c r="K115" s="17" t="str">
        <x:v>server validates type, ownership, state and length; client-derived ownership and authorization are never trusted</x:v>
      </x:c>
      <x:c r="L115" s="17" t="str">
        <x:v>按实体version或审计日志保留变更证据</x:v>
      </x:c>
      <x:c r="M115" s="4" t="str">
        <x:v>M1</x:v>
      </x:c>
      <x:c r="N115" s="4" t="str">
        <x:v>P0-066,P0-067,P0-068,P0-072</x:v>
      </x:c>
      <x:c r="O115" s="4" t="str">
        <x:v>综合方案§13核心数据模型</x:v>
      </x:c>
      <x:c r="P115" s="4" t="str">
        <x:v>FROZEN_M1_000</x:v>
      </x:c>
    </x:row>
    <x:row r="116" ht="23" customHeight="1">
      <x:c r="A116" s="4" t="str">
        <x:v>CompanyUser</x:v>
      </x:c>
      <x:c r="B116" s="4" t="str">
        <x:v>mobile</x:v>
      </x:c>
      <x:c r="C116" s="17" t="str">
        <x:v>mobile</x:v>
      </x:c>
      <x:c r="D116" s="4" t="str">
        <x:v>4</x:v>
      </x:c>
      <x:c r="E116" s="4" t="str">
        <x:v>String</x:v>
      </x:c>
      <x:c r="F116" s="4" t="str">
        <x:v>YES</x:v>
      </x:c>
      <x:c r="G116" s="4" t="str">
        <x:v>E.164; 8..15 digits after optional leading +</x:v>
      </x:c>
      <x:c r="H116" s="17" t="str">
        <x:v>PERSONAL_OR_SENSITIVE</x:v>
      </x:c>
      <x:c r="I116" s="17" t="str">
        <x:v>按角色、对象归属及配送阶段脱敏/解密</x:v>
      </x:c>
      <x:c r="J116" s="17" t="str">
        <x:v>禁止跨供应商、越阶段或批量无审批导出</x:v>
      </x:c>
      <x:c r="K116" s="17" t="str">
        <x:v>server validates type, ownership, state and length; client-derived ownership and authorization are never trusted</x:v>
      </x:c>
      <x:c r="L116" s="17" t="str">
        <x:v>按实体version或审计日志保留变更证据</x:v>
      </x:c>
      <x:c r="M116" s="4" t="str">
        <x:v>M1</x:v>
      </x:c>
      <x:c r="N116" s="4" t="str">
        <x:v>P0-066,P0-067,P0-068,P0-072</x:v>
      </x:c>
      <x:c r="O116" s="4" t="str">
        <x:v>综合方案§13核心数据模型</x:v>
      </x:c>
      <x:c r="P116" s="4" t="str">
        <x:v>FROZEN_M1_000</x:v>
      </x:c>
    </x:row>
    <x:row r="117" ht="23" customHeight="1">
      <x:c r="A117" s="4" t="str">
        <x:v>CompanyUser</x:v>
      </x:c>
      <x:c r="B117" s="4" t="str">
        <x:v>email</x:v>
      </x:c>
      <x:c r="C117" s="17" t="str">
        <x:v>email</x:v>
      </x:c>
      <x:c r="D117" s="4" t="str">
        <x:v>5</x:v>
      </x:c>
      <x:c r="E117" s="4" t="str">
        <x:v>String</x:v>
      </x:c>
      <x:c r="F117" s="4" t="str">
        <x:v>YES</x:v>
      </x:c>
      <x:c r="G117" s="4" t="str">
        <x:v>RFC 5322-compatible address; max 254 chars</x:v>
      </x:c>
      <x:c r="H117" s="17" t="str">
        <x:v>PERSONAL_OR_SENSITIVE</x:v>
      </x:c>
      <x:c r="I117" s="17" t="str">
        <x:v>按角色、对象归属及配送阶段脱敏/解密</x:v>
      </x:c>
      <x:c r="J117" s="17" t="str">
        <x:v>禁止跨供应商、越阶段或批量无审批导出</x:v>
      </x:c>
      <x:c r="K117" s="17" t="str">
        <x:v>server validates type, ownership, state and length; client-derived ownership and authorization are never trusted</x:v>
      </x:c>
      <x:c r="L117" s="17" t="str">
        <x:v>按实体version或审计日志保留变更证据</x:v>
      </x:c>
      <x:c r="M117" s="4" t="str">
        <x:v>M1</x:v>
      </x:c>
      <x:c r="N117" s="4" t="str">
        <x:v>P0-066,P0-067,P0-068,P0-072</x:v>
      </x:c>
      <x:c r="O117" s="4" t="str">
        <x:v>综合方案§13核心数据模型</x:v>
      </x:c>
      <x:c r="P117" s="4" t="str">
        <x:v>FROZEN_M1_000</x:v>
      </x:c>
    </x:row>
    <x:row r="118" ht="23" customHeight="1">
      <x:c r="A118" s="4" t="str">
        <x:v>CompanyUser</x:v>
      </x:c>
      <x:c r="B118" s="4" t="str">
        <x:v>status</x:v>
      </x:c>
      <x:c r="C118" s="17" t="str">
        <x:v>status</x:v>
      </x:c>
      <x:c r="D118" s="4" t="str">
        <x:v>6</x:v>
      </x:c>
      <x:c r="E118" s="4" t="str">
        <x:v>Enum&lt;INVITED|ACTIVE|LOCKED|SUSPENDED|REVOKED&gt;</x:v>
      </x:c>
      <x:c r="F118" s="4" t="str">
        <x:v>YES</x:v>
      </x:c>
      <x:c r="G118" s="4" t="str">
        <x:v>INVITED|ACTIVE|LOCKED|SUSPENDED|REVOKED</x:v>
      </x:c>
      <x:c r="H118" s="17" t="str">
        <x:v>INTERNAL</x:v>
      </x:c>
      <x:c r="I118" s="17" t="str">
        <x:v>按资源权限与数据域访问；公开DTO另行白名单</x:v>
      </x:c>
      <x:c r="J118" s="17" t="str">
        <x:v>数据库实体不得直接序列化为响应</x:v>
      </x:c>
      <x:c r="K118" s="17" t="str">
        <x:v>server validates type, ownership, state and length; client-derived ownership and authorization are never trusted</x:v>
      </x:c>
      <x:c r="L118" s="17" t="str">
        <x:v>按实体version或审计日志保留变更证据</x:v>
      </x:c>
      <x:c r="M118" s="4" t="str">
        <x:v>M1</x:v>
      </x:c>
      <x:c r="N118" s="4" t="str">
        <x:v>P0-066,P0-067,P0-068,P0-072</x:v>
      </x:c>
      <x:c r="O118" s="4" t="str">
        <x:v>综合方案§13核心数据模型</x:v>
      </x:c>
      <x:c r="P118" s="4" t="str">
        <x:v>FROZEN_M1_000</x:v>
      </x:c>
    </x:row>
    <x:row r="119" ht="23" customHeight="1">
      <x:c r="A119" s="4" t="str">
        <x:v>CompanyUser</x:v>
      </x:c>
      <x:c r="B119" s="4" t="str">
        <x:v>lastLoginAt</x:v>
      </x:c>
      <x:c r="C119" s="17" t="str">
        <x:v>lastLoginAt</x:v>
      </x:c>
      <x:c r="D119" s="4" t="str">
        <x:v>7</x:v>
      </x:c>
      <x:c r="E119" s="4" t="str">
        <x:v>DateTime</x:v>
      </x:c>
      <x:c r="F119" s="4" t="str">
        <x:v>YES</x:v>
      </x:c>
      <x:c r="G119" s="4" t="str">
        <x:v>ISO-8601 UTC timestamp</x:v>
      </x:c>
      <x:c r="H119" s="17" t="str">
        <x:v>INTERNAL</x:v>
      </x:c>
      <x:c r="I119" s="17" t="str">
        <x:v>按资源权限与数据域访问；公开DTO另行白名单</x:v>
      </x:c>
      <x:c r="J119" s="17" t="str">
        <x:v>数据库实体不得直接序列化为响应</x:v>
      </x:c>
      <x:c r="K119" s="17" t="str">
        <x:v>server validates type, ownership, state and length; client-derived ownership and authorization are never trusted</x:v>
      </x:c>
      <x:c r="L119" s="17" t="str">
        <x:v>按实体version或审计日志保留变更证据</x:v>
      </x:c>
      <x:c r="M119" s="4" t="str">
        <x:v>M1</x:v>
      </x:c>
      <x:c r="N119" s="4" t="str">
        <x:v>P0-066,P0-067,P0-068,P0-072</x:v>
      </x:c>
      <x:c r="O119" s="4" t="str">
        <x:v>综合方案§13核心数据模型</x:v>
      </x:c>
      <x:c r="P119" s="4" t="str">
        <x:v>FROZEN_M1_000</x:v>
      </x:c>
    </x:row>
    <x:row r="120" ht="23" customHeight="1">
      <x:c r="A120" s="4" t="str">
        <x:v>CompanyUser</x:v>
      </x:c>
      <x:c r="B120" s="4" t="str">
        <x:v>version</x:v>
      </x:c>
      <x:c r="C120" s="17" t="str">
        <x:v>version</x:v>
      </x:c>
      <x:c r="D120" s="4" t="str">
        <x:v>8</x:v>
      </x:c>
      <x:c r="E120" s="4" t="str">
        <x:v>Int</x:v>
      </x:c>
      <x:c r="F120" s="4" t="str">
        <x:v>YES</x:v>
      </x:c>
      <x:c r="G120" s="4" t="str">
        <x:v>integer &gt;= 0; optimistic-lock token</x:v>
      </x:c>
      <x:c r="H120" s="17" t="str">
        <x:v>INTERNAL</x:v>
      </x:c>
      <x:c r="I120" s="17" t="str">
        <x:v>按资源权限与数据域访问；公开DTO另行白名单</x:v>
      </x:c>
      <x:c r="J120" s="17" t="str">
        <x:v>数据库实体不得直接序列化为响应</x:v>
      </x:c>
      <x:c r="K120" s="17" t="str">
        <x:v>server validates type, ownership, state and length; client-derived ownership and authorization are never trusted</x:v>
      </x:c>
      <x:c r="L120" s="17" t="str">
        <x:v>按实体version或审计日志保留变更证据</x:v>
      </x:c>
      <x:c r="M120" s="4" t="str">
        <x:v>M1</x:v>
      </x:c>
      <x:c r="N120" s="4" t="str">
        <x:v>P0-066,P0-067,P0-068,P0-072</x:v>
      </x:c>
      <x:c r="O120" s="4" t="str">
        <x:v>综合方案§13核心数据模型</x:v>
      </x:c>
      <x:c r="P120" s="4" t="str">
        <x:v>FROZEN_M1_000</x:v>
      </x:c>
    </x:row>
    <x:row r="121" ht="23" customHeight="1">
      <x:c r="A121" s="4" t="str">
        <x:v>FunctionalAccountType</x:v>
      </x:c>
      <x:c r="B121" s="4" t="str">
        <x:v>id</x:v>
      </x:c>
      <x:c r="C121" s="17" t="str">
        <x:v>id</x:v>
      </x:c>
      <x:c r="D121" s="4" t="str">
        <x:v>1</x:v>
      </x:c>
      <x:c r="E121" s="4" t="str">
        <x:v>UUID</x:v>
      </x:c>
      <x:c r="F121" s="4" t="str">
        <x:v>YES</x:v>
      </x:c>
      <x:c r="G121" s="4" t="str">
        <x:v>UUID v4 canonical lowercase text</x:v>
      </x:c>
      <x:c r="H121" s="17" t="str">
        <x:v>INTERNAL</x:v>
      </x:c>
      <x:c r="I121" s="17" t="str">
        <x:v>按资源权限与数据域访问；公开DTO另行白名单</x:v>
      </x:c>
      <x:c r="J121" s="17" t="str">
        <x:v>数据库实体不得直接序列化为响应</x:v>
      </x:c>
      <x:c r="K121" s="17" t="str">
        <x:v>server validates type, ownership, state and length; client-derived ownership and authorization are never trusted</x:v>
      </x:c>
      <x:c r="L121" s="17" t="str">
        <x:v>按实体version或审计日志保留变更证据</x:v>
      </x:c>
      <x:c r="M121" s="4" t="str">
        <x:v>M1</x:v>
      </x:c>
      <x:c r="N121" s="4" t="str">
        <x:v>P0-005,P0-067,P0-070</x:v>
      </x:c>
      <x:c r="O121" s="4" t="str">
        <x:v>综合方案§13核心数据模型</x:v>
      </x:c>
      <x:c r="P121" s="4" t="str">
        <x:v>FROZEN_M1_000</x:v>
      </x:c>
    </x:row>
    <x:row r="122" ht="23" customHeight="1">
      <x:c r="A122" s="4" t="str">
        <x:v>FunctionalAccountType</x:v>
      </x:c>
      <x:c r="B122" s="4" t="str">
        <x:v>ownerType</x:v>
      </x:c>
      <x:c r="C122" s="17" t="str">
        <x:v>ownerType</x:v>
      </x:c>
      <x:c r="D122" s="4" t="str">
        <x:v>2</x:v>
      </x:c>
      <x:c r="E122" s="4" t="str">
        <x:v>Enum&lt;COMPANY|SUPPLIER&gt;</x:v>
      </x:c>
      <x:c r="F122" s="4" t="str">
        <x:v>YES</x:v>
      </x:c>
      <x:c r="G122" s="4" t="str">
        <x:v>COMPANY|SUPPLIER</x:v>
      </x:c>
      <x:c r="H122" s="17" t="str">
        <x:v>INTERNAL</x:v>
      </x:c>
      <x:c r="I122" s="17" t="str">
        <x:v>按资源权限与数据域访问；公开DTO另行白名单</x:v>
      </x:c>
      <x:c r="J122" s="17" t="str">
        <x:v>数据库实体不得直接序列化为响应</x:v>
      </x:c>
      <x:c r="K122" s="17" t="str">
        <x:v>server validates type, ownership, state and length; client-derived ownership and authorization are never trusted</x:v>
      </x:c>
      <x:c r="L122" s="17" t="str">
        <x:v>按实体version或审计日志保留变更证据</x:v>
      </x:c>
      <x:c r="M122" s="4" t="str">
        <x:v>M1</x:v>
      </x:c>
      <x:c r="N122" s="4" t="str">
        <x:v>P0-005,P0-067,P0-070</x:v>
      </x:c>
      <x:c r="O122" s="4" t="str">
        <x:v>综合方案§13核心数据模型</x:v>
      </x:c>
      <x:c r="P122" s="4" t="str">
        <x:v>FROZEN_M1_000</x:v>
      </x:c>
    </x:row>
    <x:row r="123" ht="23" customHeight="1">
      <x:c r="A123" s="4" t="str">
        <x:v>FunctionalAccountType</x:v>
      </x:c>
      <x:c r="B123" s="4" t="str">
        <x:v>code</x:v>
      </x:c>
      <x:c r="C123" s="17" t="str">
        <x:v>code</x:v>
      </x:c>
      <x:c r="D123" s="4" t="str">
        <x:v>3</x:v>
      </x:c>
      <x:c r="E123" s="4" t="str">
        <x:v>String</x:v>
      </x:c>
      <x:c r="F123" s="4" t="str">
        <x:v>YES</x:v>
      </x:c>
      <x:c r="G123" s="4" t="str">
        <x:v>uppercase stable code; ^[A-Z][A-Z0-9_]{1,63}$</x:v>
      </x:c>
      <x:c r="H123" s="17" t="str">
        <x:v>INTERNAL</x:v>
      </x:c>
      <x:c r="I123" s="17" t="str">
        <x:v>按资源权限与数据域访问；公开DTO另行白名单</x:v>
      </x:c>
      <x:c r="J123" s="17" t="str">
        <x:v>数据库实体不得直接序列化为响应</x:v>
      </x:c>
      <x:c r="K123" s="17" t="str">
        <x:v>server validates type, ownership, state and length; client-derived ownership and authorization are never trusted</x:v>
      </x:c>
      <x:c r="L123" s="17" t="str">
        <x:v>按实体version或审计日志保留变更证据</x:v>
      </x:c>
      <x:c r="M123" s="4" t="str">
        <x:v>M1</x:v>
      </x:c>
      <x:c r="N123" s="4" t="str">
        <x:v>P0-005,P0-067,P0-070</x:v>
      </x:c>
      <x:c r="O123" s="4" t="str">
        <x:v>综合方案§13核心数据模型</x:v>
      </x:c>
      <x:c r="P123" s="4" t="str">
        <x:v>FROZEN_M1_000</x:v>
      </x:c>
    </x:row>
    <x:row r="124" ht="23" customHeight="1">
      <x:c r="A124" s="4" t="str">
        <x:v>FunctionalAccountType</x:v>
      </x:c>
      <x:c r="B124" s="4" t="str">
        <x:v>name</x:v>
      </x:c>
      <x:c r="C124" s="17" t="str">
        <x:v>name</x:v>
      </x:c>
      <x:c r="D124" s="4" t="str">
        <x:v>4</x:v>
      </x:c>
      <x:c r="E124" s="4" t="str">
        <x:v>String</x:v>
      </x:c>
      <x:c r="F124" s="4" t="str">
        <x:v>YES</x:v>
      </x:c>
      <x:c r="G124" s="4" t="str">
        <x:v>UTF-8; 1..128 chars unless a narrower rule applies</x:v>
      </x:c>
      <x:c r="H124" s="17" t="str">
        <x:v>INTERNAL</x:v>
      </x:c>
      <x:c r="I124" s="17" t="str">
        <x:v>按资源权限与数据域访问；公开DTO另行白名单</x:v>
      </x:c>
      <x:c r="J124" s="17" t="str">
        <x:v>数据库实体不得直接序列化为响应</x:v>
      </x:c>
      <x:c r="K124" s="17" t="str">
        <x:v>server validates type, ownership, state and length; client-derived ownership and authorization are never trusted</x:v>
      </x:c>
      <x:c r="L124" s="17" t="str">
        <x:v>按实体version或审计日志保留变更证据</x:v>
      </x:c>
      <x:c r="M124" s="4" t="str">
        <x:v>M1</x:v>
      </x:c>
      <x:c r="N124" s="4" t="str">
        <x:v>P0-005,P0-067,P0-070</x:v>
      </x:c>
      <x:c r="O124" s="4" t="str">
        <x:v>综合方案§13核心数据模型</x:v>
      </x:c>
      <x:c r="P124" s="4" t="str">
        <x:v>FROZEN_M1_000</x:v>
      </x:c>
    </x:row>
    <x:row r="125" ht="23" customHeight="1">
      <x:c r="A125" s="4" t="str">
        <x:v>FunctionalAccountType</x:v>
      </x:c>
      <x:c r="B125" s="4" t="str">
        <x:v>workspaceRoute</x:v>
      </x:c>
      <x:c r="C125" s="17" t="str">
        <x:v>workspaceRoute</x:v>
      </x:c>
      <x:c r="D125" s="4" t="str">
        <x:v>5</x:v>
      </x:c>
      <x:c r="E125" s="4" t="str">
        <x:v>String</x:v>
      </x:c>
      <x:c r="F125" s="4" t="str">
        <x:v>YES</x:v>
      </x:c>
      <x:c r="G125" s="4" t="str">
        <x:v>absolute route from server allowlist</x:v>
      </x:c>
      <x:c r="H125" s="17" t="str">
        <x:v>INTERNAL</x:v>
      </x:c>
      <x:c r="I125" s="17" t="str">
        <x:v>按资源权限与数据域访问；公开DTO另行白名单</x:v>
      </x:c>
      <x:c r="J125" s="17" t="str">
        <x:v>数据库实体不得直接序列化为响应</x:v>
      </x:c>
      <x:c r="K125" s="17" t="str">
        <x:v>server validates type, ownership, state and length; client-derived ownership and authorization are never trusted</x:v>
      </x:c>
      <x:c r="L125" s="17" t="str">
        <x:v>按实体version或审计日志保留变更证据</x:v>
      </x:c>
      <x:c r="M125" s="4" t="str">
        <x:v>M1</x:v>
      </x:c>
      <x:c r="N125" s="4" t="str">
        <x:v>P0-005,P0-067,P0-070</x:v>
      </x:c>
      <x:c r="O125" s="4" t="str">
        <x:v>综合方案§13核心数据模型</x:v>
      </x:c>
      <x:c r="P125" s="4" t="str">
        <x:v>FROZEN_M1_000</x:v>
      </x:c>
    </x:row>
    <x:row r="126" ht="23" customHeight="1">
      <x:c r="A126" s="4" t="str">
        <x:v>FunctionalAccountType</x:v>
      </x:c>
      <x:c r="B126" s="4" t="str">
        <x:v>internalMenuSchema</x:v>
      </x:c>
      <x:c r="C126" s="17" t="str">
        <x:v>internalMenuSchema</x:v>
      </x:c>
      <x:c r="D126" s="4" t="str">
        <x:v>6</x:v>
      </x:c>
      <x:c r="E126" s="4" t="str">
        <x:v>Json</x:v>
      </x:c>
      <x:c r="F126" s="4" t="str">
        <x:v>YES</x:v>
      </x:c>
      <x:c r="G126" s="4" t="str">
        <x:v>FunctionalAccountTypeInternalMenuSchemaSchemaV1</x:v>
      </x:c>
      <x:c r="H126" s="17" t="str">
        <x:v>INTERNAL</x:v>
      </x:c>
      <x:c r="I126" s="17" t="str">
        <x:v>按资源权限与数据域访问；公开DTO另行白名单</x:v>
      </x:c>
      <x:c r="J126" s="17" t="str">
        <x:v>数据库实体不得直接序列化为响应</x:v>
      </x:c>
      <x:c r="K126" s="17" t="str">
        <x:v>server validates type, ownership, state and length; client-derived ownership and authorization are never trusted</x:v>
      </x:c>
      <x:c r="L126" s="17" t="str">
        <x:v>按实体version或审计日志保留变更证据</x:v>
      </x:c>
      <x:c r="M126" s="4" t="str">
        <x:v>M1</x:v>
      </x:c>
      <x:c r="N126" s="4" t="str">
        <x:v>P0-005,P0-067,P0-070</x:v>
      </x:c>
      <x:c r="O126" s="4" t="str">
        <x:v>综合方案§13核心数据模型</x:v>
      </x:c>
      <x:c r="P126" s="4" t="str">
        <x:v>FROZEN_M1_000</x:v>
      </x:c>
    </x:row>
    <x:row r="127" ht="23" customHeight="1">
      <x:c r="A127" s="4" t="str">
        <x:v>FunctionalAccountType</x:v>
      </x:c>
      <x:c r="B127" s="4" t="str">
        <x:v>status</x:v>
      </x:c>
      <x:c r="C127" s="17" t="str">
        <x:v>status</x:v>
      </x:c>
      <x:c r="D127" s="4" t="str">
        <x:v>7</x:v>
      </x:c>
      <x:c r="E127" s="4" t="str">
        <x:v>Enum&lt;ACTIVE|DISABLED&gt;</x:v>
      </x:c>
      <x:c r="F127" s="4" t="str">
        <x:v>YES</x:v>
      </x:c>
      <x:c r="G127" s="4" t="str">
        <x:v>ACTIVE|DISABLED</x:v>
      </x:c>
      <x:c r="H127" s="17" t="str">
        <x:v>INTERNAL</x:v>
      </x:c>
      <x:c r="I127" s="17" t="str">
        <x:v>按资源权限与数据域访问；公开DTO另行白名单</x:v>
      </x:c>
      <x:c r="J127" s="17" t="str">
        <x:v>数据库实体不得直接序列化为响应</x:v>
      </x:c>
      <x:c r="K127" s="17" t="str">
        <x:v>server validates type, ownership, state and length; client-derived ownership and authorization are never trusted</x:v>
      </x:c>
      <x:c r="L127" s="17" t="str">
        <x:v>按实体version或审计日志保留变更证据</x:v>
      </x:c>
      <x:c r="M127" s="4" t="str">
        <x:v>M1</x:v>
      </x:c>
      <x:c r="N127" s="4" t="str">
        <x:v>P0-005,P0-067,P0-070</x:v>
      </x:c>
      <x:c r="O127" s="4" t="str">
        <x:v>综合方案§13核心数据模型</x:v>
      </x:c>
      <x:c r="P127" s="4" t="str">
        <x:v>FROZEN_M1_000</x:v>
      </x:c>
    </x:row>
    <x:row r="128" ht="23" customHeight="1">
      <x:c r="A128" s="4" t="str">
        <x:v>FunctionalAccount</x:v>
      </x:c>
      <x:c r="B128" s="4" t="str">
        <x:v>id</x:v>
      </x:c>
      <x:c r="C128" s="17" t="str">
        <x:v>id</x:v>
      </x:c>
      <x:c r="D128" s="4" t="str">
        <x:v>1</x:v>
      </x:c>
      <x:c r="E128" s="4" t="str">
        <x:v>UUID</x:v>
      </x:c>
      <x:c r="F128" s="4" t="str">
        <x:v>YES</x:v>
      </x:c>
      <x:c r="G128" s="4" t="str">
        <x:v>UUID v4 canonical lowercase text</x:v>
      </x:c>
      <x:c r="H128" s="17" t="str">
        <x:v>INTERNAL</x:v>
      </x:c>
      <x:c r="I128" s="17" t="str">
        <x:v>按资源权限与数据域访问；公开DTO另行白名单</x:v>
      </x:c>
      <x:c r="J128" s="17" t="str">
        <x:v>数据库实体不得直接序列化为响应</x:v>
      </x:c>
      <x:c r="K128" s="17" t="str">
        <x:v>server validates type, ownership, state and length; client-derived ownership and authorization are never trusted</x:v>
      </x:c>
      <x:c r="L128" s="17" t="str">
        <x:v>按实体version或审计日志保留变更证据</x:v>
      </x:c>
      <x:c r="M128" s="4" t="str">
        <x:v>M1</x:v>
      </x:c>
      <x:c r="N128" s="4" t="str">
        <x:v>P0-005,P0-067,P0-070,P0-066,P0-069,P0-072</x:v>
      </x:c>
      <x:c r="O128" s="4" t="str">
        <x:v>综合方案§13核心数据模型</x:v>
      </x:c>
      <x:c r="P128" s="4" t="str">
        <x:v>FROZEN_M1_000</x:v>
      </x:c>
    </x:row>
    <x:row r="129" ht="23" customHeight="1">
      <x:c r="A129" s="4" t="str">
        <x:v>FunctionalAccount</x:v>
      </x:c>
      <x:c r="B129" s="4" t="str">
        <x:v>identityType</x:v>
      </x:c>
      <x:c r="C129" s="17" t="str">
        <x:v>identityType</x:v>
      </x:c>
      <x:c r="D129" s="4" t="str">
        <x:v>2</x:v>
      </x:c>
      <x:c r="E129" s="4" t="str">
        <x:v>Enum&lt;COMPANY_USER|SUPPLIER_USER&gt;</x:v>
      </x:c>
      <x:c r="F129" s="4" t="str">
        <x:v>YES</x:v>
      </x:c>
      <x:c r="G129" s="4" t="str">
        <x:v>COMPANY_USER|SUPPLIER_USER</x:v>
      </x:c>
      <x:c r="H129" s="17" t="str">
        <x:v>INTERNAL</x:v>
      </x:c>
      <x:c r="I129" s="17" t="str">
        <x:v>按资源权限与数据域访问；公开DTO另行白名单</x:v>
      </x:c>
      <x:c r="J129" s="17" t="str">
        <x:v>数据库实体不得直接序列化为响应</x:v>
      </x:c>
      <x:c r="K129" s="17" t="str">
        <x:v>server validates type, ownership, state and length; client-derived ownership and authorization are never trusted</x:v>
      </x:c>
      <x:c r="L129" s="17" t="str">
        <x:v>按实体version或审计日志保留变更证据</x:v>
      </x:c>
      <x:c r="M129" s="4" t="str">
        <x:v>M1</x:v>
      </x:c>
      <x:c r="N129" s="4" t="str">
        <x:v>P0-005,P0-067,P0-070,P0-066,P0-069,P0-072</x:v>
      </x:c>
      <x:c r="O129" s="4" t="str">
        <x:v>综合方案§13核心数据模型</x:v>
      </x:c>
      <x:c r="P129" s="4" t="str">
        <x:v>FROZEN_M1_000</x:v>
      </x:c>
    </x:row>
    <x:row r="130" ht="23" customHeight="1">
      <x:c r="A130" s="4" t="str">
        <x:v>FunctionalAccount</x:v>
      </x:c>
      <x:c r="B130" s="4" t="str">
        <x:v>identityId</x:v>
      </x:c>
      <x:c r="C130" s="17" t="str">
        <x:v>identityId</x:v>
      </x:c>
      <x:c r="D130" s="4" t="str">
        <x:v>3</x:v>
      </x:c>
      <x:c r="E130" s="4" t="str">
        <x:v>UUID</x:v>
      </x:c>
      <x:c r="F130" s="4" t="str">
        <x:v>YES</x:v>
      </x:c>
      <x:c r="G130" s="4" t="str">
        <x:v>natural identity UUID; separation key is identityType+identityId</x:v>
      </x:c>
      <x:c r="H130" s="17" t="str">
        <x:v>INTERNAL</x:v>
      </x:c>
      <x:c r="I130" s="17" t="str">
        <x:v>按资源权限与数据域访问；公开DTO另行白名单</x:v>
      </x:c>
      <x:c r="J130" s="17" t="str">
        <x:v>数据库实体不得直接序列化为响应</x:v>
      </x:c>
      <x:c r="K130" s="17" t="str">
        <x:v>server resolves natural identity; client cannot choose an arbitrary identity</x:v>
      </x:c>
      <x:c r="L130" s="17" t="str">
        <x:v>按实体version或审计日志保留变更证据</x:v>
      </x:c>
      <x:c r="M130" s="4" t="str">
        <x:v>M1</x:v>
      </x:c>
      <x:c r="N130" s="4" t="str">
        <x:v>P0-005,P0-067,P0-070,P0-066,P0-069,P0-072</x:v>
      </x:c>
      <x:c r="O130" s="4" t="str">
        <x:v>综合方案§13核心数据模型</x:v>
      </x:c>
      <x:c r="P130" s="4" t="str">
        <x:v>FROZEN_M1_000</x:v>
      </x:c>
    </x:row>
    <x:row r="131" ht="23" customHeight="1">
      <x:c r="A131" s="4" t="str">
        <x:v>FunctionalAccount</x:v>
      </x:c>
      <x:c r="B131" s="4" t="str">
        <x:v>ownerType</x:v>
      </x:c>
      <x:c r="C131" s="17" t="str">
        <x:v>ownerType</x:v>
      </x:c>
      <x:c r="D131" s="4" t="str">
        <x:v>4</x:v>
      </x:c>
      <x:c r="E131" s="4" t="str">
        <x:v>Enum&lt;COMPANY|SUPPLIER&gt;</x:v>
      </x:c>
      <x:c r="F131" s="4" t="str">
        <x:v>YES</x:v>
      </x:c>
      <x:c r="G131" s="4" t="str">
        <x:v>COMPANY|SUPPLIER</x:v>
      </x:c>
      <x:c r="H131" s="17" t="str">
        <x:v>INTERNAL</x:v>
      </x:c>
      <x:c r="I131" s="17" t="str">
        <x:v>按资源权限与数据域访问；公开DTO另行白名单</x:v>
      </x:c>
      <x:c r="J131" s="17" t="str">
        <x:v>数据库实体不得直接序列化为响应</x:v>
      </x:c>
      <x:c r="K131" s="17" t="str">
        <x:v>server validates type, ownership, state and length; client-derived ownership and authorization are never trusted</x:v>
      </x:c>
      <x:c r="L131" s="17" t="str">
        <x:v>按实体version或审计日志保留变更证据</x:v>
      </x:c>
      <x:c r="M131" s="4" t="str">
        <x:v>M1</x:v>
      </x:c>
      <x:c r="N131" s="4" t="str">
        <x:v>P0-005,P0-067,P0-070,P0-066,P0-069,P0-072</x:v>
      </x:c>
      <x:c r="O131" s="4" t="str">
        <x:v>综合方案§13核心数据模型</x:v>
      </x:c>
      <x:c r="P131" s="4" t="str">
        <x:v>FROZEN_M1_000</x:v>
      </x:c>
    </x:row>
    <x:row r="132" ht="23" customHeight="1">
      <x:c r="A132" s="4" t="str">
        <x:v>FunctionalAccount</x:v>
      </x:c>
      <x:c r="B132" s="4" t="str">
        <x:v>companyId</x:v>
      </x:c>
      <x:c r="C132" s="17" t="str">
        <x:v>companyId?</x:v>
      </x:c>
      <x:c r="D132" s="4" t="str">
        <x:v>5</x:v>
      </x:c>
      <x:c r="E132" s="4" t="str">
        <x:v>UUID</x:v>
      </x:c>
      <x:c r="F132" s="4" t="str">
        <x:v>NO</x:v>
      </x:c>
      <x:c r="G132" s="4" t="str">
        <x:v>UUID v4 canonical lowercase text</x:v>
      </x:c>
      <x:c r="H132" s="17" t="str">
        <x:v>INTERNAL</x:v>
      </x:c>
      <x:c r="I132" s="17" t="str">
        <x:v>按资源权限与数据域访问；公开DTO另行白名单</x:v>
      </x:c>
      <x:c r="J132" s="17" t="str">
        <x:v>数据库实体不得直接序列化为响应</x:v>
      </x:c>
      <x:c r="K132" s="17" t="str">
        <x:v>required iff ownerType=COMPANY and mutually exclusive with supplierId</x:v>
      </x:c>
      <x:c r="L132" s="17" t="str">
        <x:v>按实体version或审计日志保留变更证据</x:v>
      </x:c>
      <x:c r="M132" s="4" t="str">
        <x:v>M1</x:v>
      </x:c>
      <x:c r="N132" s="4" t="str">
        <x:v>P0-005,P0-067,P0-070,P0-066,P0-069,P0-072</x:v>
      </x:c>
      <x:c r="O132" s="4" t="str">
        <x:v>综合方案§13核心数据模型</x:v>
      </x:c>
      <x:c r="P132" s="4" t="str">
        <x:v>FROZEN_M1_000</x:v>
      </x:c>
    </x:row>
    <x:row r="133" ht="23" customHeight="1">
      <x:c r="A133" s="4" t="str">
        <x:v>FunctionalAccount</x:v>
      </x:c>
      <x:c r="B133" s="4" t="str">
        <x:v>supplierId</x:v>
      </x:c>
      <x:c r="C133" s="17" t="str">
        <x:v>supplierId?</x:v>
      </x:c>
      <x:c r="D133" s="4" t="str">
        <x:v>6</x:v>
      </x:c>
      <x:c r="E133" s="4" t="str">
        <x:v>UUID</x:v>
      </x:c>
      <x:c r="F133" s="4" t="str">
        <x:v>NO</x:v>
      </x:c>
      <x:c r="G133" s="4" t="str">
        <x:v>UUID v4 canonical lowercase text</x:v>
      </x:c>
      <x:c r="H133" s="17" t="str">
        <x:v>INTERNAL</x:v>
      </x:c>
      <x:c r="I133" s="17" t="str">
        <x:v>按资源权限与数据域访问；公开DTO另行白名单</x:v>
      </x:c>
      <x:c r="J133" s="17" t="str">
        <x:v>数据库实体不得直接序列化为响应</x:v>
      </x:c>
      <x:c r="K133" s="17" t="str">
        <x:v>required iff ownerType=SUPPLIER and mutually exclusive with companyId</x:v>
      </x:c>
      <x:c r="L133" s="17" t="str">
        <x:v>按实体version或审计日志保留变更证据</x:v>
      </x:c>
      <x:c r="M133" s="4" t="str">
        <x:v>M1</x:v>
      </x:c>
      <x:c r="N133" s="4" t="str">
        <x:v>P0-005,P0-067,P0-070,P0-066,P0-069,P0-072</x:v>
      </x:c>
      <x:c r="O133" s="4" t="str">
        <x:v>综合方案§13核心数据模型</x:v>
      </x:c>
      <x:c r="P133" s="4" t="str">
        <x:v>FROZEN_M1_000</x:v>
      </x:c>
    </x:row>
    <x:row r="134" ht="23" customHeight="1">
      <x:c r="A134" s="4" t="str">
        <x:v>FunctionalAccount</x:v>
      </x:c>
      <x:c r="B134" s="4" t="str">
        <x:v>accountTypeId</x:v>
      </x:c>
      <x:c r="C134" s="17" t="str">
        <x:v>accountTypeId</x:v>
      </x:c>
      <x:c r="D134" s="4" t="str">
        <x:v>7</x:v>
      </x:c>
      <x:c r="E134" s="4" t="str">
        <x:v>UUID</x:v>
      </x:c>
      <x:c r="F134" s="4" t="str">
        <x:v>YES</x:v>
      </x:c>
      <x:c r="G134" s="4" t="str">
        <x:v>UUID v4 canonical lowercase text</x:v>
      </x:c>
      <x:c r="H134" s="17" t="str">
        <x:v>INTERNAL</x:v>
      </x:c>
      <x:c r="I134" s="17" t="str">
        <x:v>按资源权限与数据域访问；公开DTO另行白名单</x:v>
      </x:c>
      <x:c r="J134" s="17" t="str">
        <x:v>数据库实体不得直接序列化为响应</x:v>
      </x:c>
      <x:c r="K134" s="17" t="str">
        <x:v>account type ownerType must match the functional account ownerType</x:v>
      </x:c>
      <x:c r="L134" s="17" t="str">
        <x:v>按实体version或审计日志保留变更证据</x:v>
      </x:c>
      <x:c r="M134" s="4" t="str">
        <x:v>M1</x:v>
      </x:c>
      <x:c r="N134" s="4" t="str">
        <x:v>P0-005,P0-067,P0-070,P0-066,P0-069,P0-072</x:v>
      </x:c>
      <x:c r="O134" s="4" t="str">
        <x:v>综合方案§13核心数据模型</x:v>
      </x:c>
      <x:c r="P134" s="4" t="str">
        <x:v>FROZEN_M1_000</x:v>
      </x:c>
    </x:row>
    <x:row r="135" ht="23" customHeight="1">
      <x:c r="A135" s="4" t="str">
        <x:v>FunctionalAccount</x:v>
      </x:c>
      <x:c r="B135" s="4" t="str">
        <x:v>displayName</x:v>
      </x:c>
      <x:c r="C135" s="17" t="str">
        <x:v>displayName</x:v>
      </x:c>
      <x:c r="D135" s="4" t="str">
        <x:v>8</x:v>
      </x:c>
      <x:c r="E135" s="4" t="str">
        <x:v>String</x:v>
      </x:c>
      <x:c r="F135" s="4" t="str">
        <x:v>YES</x:v>
      </x:c>
      <x:c r="G135" s="4" t="str">
        <x:v>UTF-8; 1..128 chars unless a narrower rule applies</x:v>
      </x:c>
      <x:c r="H135" s="17" t="str">
        <x:v>INTERNAL</x:v>
      </x:c>
      <x:c r="I135" s="17" t="str">
        <x:v>按资源权限与数据域访问；公开DTO另行白名单</x:v>
      </x:c>
      <x:c r="J135" s="17" t="str">
        <x:v>数据库实体不得直接序列化为响应</x:v>
      </x:c>
      <x:c r="K135" s="17" t="str">
        <x:v>server validates type, ownership, state and length; client-derived ownership and authorization are never trusted</x:v>
      </x:c>
      <x:c r="L135" s="17" t="str">
        <x:v>按实体version或审计日志保留变更证据</x:v>
      </x:c>
      <x:c r="M135" s="4" t="str">
        <x:v>M1</x:v>
      </x:c>
      <x:c r="N135" s="4" t="str">
        <x:v>P0-005,P0-067,P0-070,P0-066,P0-069,P0-072</x:v>
      </x:c>
      <x:c r="O135" s="4" t="str">
        <x:v>综合方案§13核心数据模型</x:v>
      </x:c>
      <x:c r="P135" s="4" t="str">
        <x:v>FROZEN_M1_000</x:v>
      </x:c>
    </x:row>
    <x:row r="136" ht="23" customHeight="1">
      <x:c r="A136" s="4" t="str">
        <x:v>FunctionalAccount</x:v>
      </x:c>
      <x:c r="B136" s="4" t="str">
        <x:v>status</x:v>
      </x:c>
      <x:c r="C136" s="17" t="str">
        <x:v>status</x:v>
      </x:c>
      <x:c r="D136" s="4" t="str">
        <x:v>9</x:v>
      </x:c>
      <x:c r="E136" s="4" t="str">
        <x:v>Enum&lt;PENDING_ACTIVATION|ACTIVE|SUSPENDED|REVOKED&gt;</x:v>
      </x:c>
      <x:c r="F136" s="4" t="str">
        <x:v>YES</x:v>
      </x:c>
      <x:c r="G136" s="4" t="str">
        <x:v>PENDING_ACTIVATION|ACTIVE|SUSPENDED|REVOKED</x:v>
      </x:c>
      <x:c r="H136" s="17" t="str">
        <x:v>INTERNAL</x:v>
      </x:c>
      <x:c r="I136" s="17" t="str">
        <x:v>按资源权限与数据域访问；公开DTO另行白名单</x:v>
      </x:c>
      <x:c r="J136" s="17" t="str">
        <x:v>数据库实体不得直接序列化为响应</x:v>
      </x:c>
      <x:c r="K136" s="17" t="str">
        <x:v>only the frozen FunctionalAccount state machine may change it</x:v>
      </x:c>
      <x:c r="L136" s="17" t="str">
        <x:v>按实体version或审计日志保留变更证据</x:v>
      </x:c>
      <x:c r="M136" s="4" t="str">
        <x:v>M1</x:v>
      </x:c>
      <x:c r="N136" s="4" t="str">
        <x:v>P0-005,P0-067,P0-070,P0-066,P0-069,P0-072</x:v>
      </x:c>
      <x:c r="O136" s="4" t="str">
        <x:v>综合方案§13核心数据模型</x:v>
      </x:c>
      <x:c r="P136" s="4" t="str">
        <x:v>FROZEN_M1_000</x:v>
      </x:c>
    </x:row>
    <x:row r="137" ht="23" customHeight="1">
      <x:c r="A137" s="4" t="str">
        <x:v>FunctionalAccount</x:v>
      </x:c>
      <x:c r="B137" s="4" t="str">
        <x:v>expiresAt</x:v>
      </x:c>
      <x:c r="C137" s="17" t="str">
        <x:v>expiresAt?</x:v>
      </x:c>
      <x:c r="D137" s="4" t="str">
        <x:v>10</x:v>
      </x:c>
      <x:c r="E137" s="4" t="str">
        <x:v>DateTime</x:v>
      </x:c>
      <x:c r="F137" s="4" t="str">
        <x:v>NO</x:v>
      </x:c>
      <x:c r="G137" s="4" t="str">
        <x:v>ISO-8601 UTC timestamp</x:v>
      </x:c>
      <x:c r="H137" s="17" t="str">
        <x:v>INTERNAL</x:v>
      </x:c>
      <x:c r="I137" s="17" t="str">
        <x:v>按资源权限与数据域访问；公开DTO另行白名单</x:v>
      </x:c>
      <x:c r="J137" s="17" t="str">
        <x:v>数据库实体不得直接序列化为响应</x:v>
      </x:c>
      <x:c r="K137" s="17" t="str">
        <x:v>server validates type, ownership, state and length; client-derived ownership and authorization are never trusted</x:v>
      </x:c>
      <x:c r="L137" s="17" t="str">
        <x:v>按实体version或审计日志保留变更证据</x:v>
      </x:c>
      <x:c r="M137" s="4" t="str">
        <x:v>M1</x:v>
      </x:c>
      <x:c r="N137" s="4" t="str">
        <x:v>P0-005,P0-067,P0-070,P0-066,P0-069,P0-072</x:v>
      </x:c>
      <x:c r="O137" s="4" t="str">
        <x:v>综合方案§13核心数据模型</x:v>
      </x:c>
      <x:c r="P137" s="4" t="str">
        <x:v>FROZEN_M1_000</x:v>
      </x:c>
    </x:row>
    <x:row r="138" ht="23" customHeight="1">
      <x:c r="A138" s="4" t="str">
        <x:v>Permission</x:v>
      </x:c>
      <x:c r="B138" s="4" t="str">
        <x:v>id</x:v>
      </x:c>
      <x:c r="C138" s="17" t="str">
        <x:v>id</x:v>
      </x:c>
      <x:c r="D138" s="4" t="str">
        <x:v>1</x:v>
      </x:c>
      <x:c r="E138" s="4" t="str">
        <x:v>UUID</x:v>
      </x:c>
      <x:c r="F138" s="4" t="str">
        <x:v>YES</x:v>
      </x:c>
      <x:c r="G138" s="4" t="str">
        <x:v>UUID v4 canonical lowercase text</x:v>
      </x:c>
      <x:c r="H138" s="17" t="str">
        <x:v>INTERNAL</x:v>
      </x:c>
      <x:c r="I138" s="17" t="str">
        <x:v>按资源权限与数据域访问；公开DTO另行白名单</x:v>
      </x:c>
      <x:c r="J138" s="17" t="str">
        <x:v>数据库实体不得直接序列化为响应</x:v>
      </x:c>
      <x:c r="K138" s="17" t="str">
        <x:v>server validates type, ownership, state and length; client-derived ownership and authorization are never trusted</x:v>
      </x:c>
      <x:c r="L138" s="17" t="str">
        <x:v>按实体version或审计日志保留变更证据</x:v>
      </x:c>
      <x:c r="M138" s="4" t="str">
        <x:v>M1</x:v>
      </x:c>
      <x:c r="N138" s="4" t="str">
        <x:v>P0-004,P0-005,P0-046,P0-047,P0-067,P0-070,P0-072</x:v>
      </x:c>
      <x:c r="O138" s="4" t="str">
        <x:v>综合方案§13核心数据模型</x:v>
      </x:c>
      <x:c r="P138" s="4" t="str">
        <x:v>FROZEN_M1_000</x:v>
      </x:c>
    </x:row>
    <x:row r="139" ht="23" customHeight="1">
      <x:c r="A139" s="4" t="str">
        <x:v>Permission</x:v>
      </x:c>
      <x:c r="B139" s="4" t="str">
        <x:v>code</x:v>
      </x:c>
      <x:c r="C139" s="17" t="str">
        <x:v>code</x:v>
      </x:c>
      <x:c r="D139" s="4" t="str">
        <x:v>2</x:v>
      </x:c>
      <x:c r="E139" s="4" t="str">
        <x:v>String</x:v>
      </x:c>
      <x:c r="F139" s="4" t="str">
        <x:v>YES</x:v>
      </x:c>
      <x:c r="G139" s="4" t="str">
        <x:v>uppercase stable code; ^[A-Z][A-Z0-9_]{1,63}$</x:v>
      </x:c>
      <x:c r="H139" s="17" t="str">
        <x:v>INTERNAL</x:v>
      </x:c>
      <x:c r="I139" s="17" t="str">
        <x:v>按资源权限与数据域访问；公开DTO另行白名单</x:v>
      </x:c>
      <x:c r="J139" s="17" t="str">
        <x:v>数据库实体不得直接序列化为响应</x:v>
      </x:c>
      <x:c r="K139" s="17" t="str">
        <x:v>server validates type, ownership, state and length; client-derived ownership and authorization are never trusted</x:v>
      </x:c>
      <x:c r="L139" s="17" t="str">
        <x:v>按实体version或审计日志保留变更证据</x:v>
      </x:c>
      <x:c r="M139" s="4" t="str">
        <x:v>M1</x:v>
      </x:c>
      <x:c r="N139" s="4" t="str">
        <x:v>P0-004,P0-005,P0-046,P0-047,P0-067,P0-070,P0-072</x:v>
      </x:c>
      <x:c r="O139" s="4" t="str">
        <x:v>综合方案§13核心数据模型</x:v>
      </x:c>
      <x:c r="P139" s="4" t="str">
        <x:v>FROZEN_M1_000</x:v>
      </x:c>
    </x:row>
    <x:row r="140" ht="23" customHeight="1">
      <x:c r="A140" s="4" t="str">
        <x:v>Permission</x:v>
      </x:c>
      <x:c r="B140" s="4" t="str">
        <x:v>resource</x:v>
      </x:c>
      <x:c r="C140" s="17" t="str">
        <x:v>resource</x:v>
      </x:c>
      <x:c r="D140" s="4" t="str">
        <x:v>3</x:v>
      </x:c>
      <x:c r="E140" s="4" t="str">
        <x:v>String</x:v>
      </x:c>
      <x:c r="F140" s="4" t="str">
        <x:v>YES</x:v>
      </x:c>
      <x:c r="G140" s="4" t="str">
        <x:v>stable lowercase code; ^[a-z][a-z0-9_.:-]{1,127}$</x:v>
      </x:c>
      <x:c r="H140" s="17" t="str">
        <x:v>INTERNAL</x:v>
      </x:c>
      <x:c r="I140" s="17" t="str">
        <x:v>按资源权限与数据域访问；公开DTO另行白名单</x:v>
      </x:c>
      <x:c r="J140" s="17" t="str">
        <x:v>数据库实体不得直接序列化为响应</x:v>
      </x:c>
      <x:c r="K140" s="17" t="str">
        <x:v>server validates type, ownership, state and length; client-derived ownership and authorization are never trusted</x:v>
      </x:c>
      <x:c r="L140" s="17" t="str">
        <x:v>按实体version或审计日志保留变更证据</x:v>
      </x:c>
      <x:c r="M140" s="4" t="str">
        <x:v>M1</x:v>
      </x:c>
      <x:c r="N140" s="4" t="str">
        <x:v>P0-004,P0-005,P0-046,P0-047,P0-067,P0-070,P0-072</x:v>
      </x:c>
      <x:c r="O140" s="4" t="str">
        <x:v>综合方案§13核心数据模型</x:v>
      </x:c>
      <x:c r="P140" s="4" t="str">
        <x:v>FROZEN_M1_000</x:v>
      </x:c>
    </x:row>
    <x:row r="141" ht="23" customHeight="1">
      <x:c r="A141" s="4" t="str">
        <x:v>Permission</x:v>
      </x:c>
      <x:c r="B141" s="4" t="str">
        <x:v>action</x:v>
      </x:c>
      <x:c r="C141" s="17" t="str">
        <x:v>action</x:v>
      </x:c>
      <x:c r="D141" s="4" t="str">
        <x:v>4</x:v>
      </x:c>
      <x:c r="E141" s="4" t="str">
        <x:v>Enum&lt;READ|CREATE|UPDATE|SUBMIT|APPROVE|REJECT|EXPORT|REVEAL|MANAGE|REVOKE&gt;</x:v>
      </x:c>
      <x:c r="F141" s="4" t="str">
        <x:v>YES</x:v>
      </x:c>
      <x:c r="G141" s="4" t="str">
        <x:v>READ|CREATE|UPDATE|SUBMIT|APPROVE|REJECT|EXPORT|REVEAL|MANAGE|REVOKE</x:v>
      </x:c>
      <x:c r="H141" s="17" t="str">
        <x:v>INTERNAL</x:v>
      </x:c>
      <x:c r="I141" s="17" t="str">
        <x:v>按资源权限与数据域访问；公开DTO另行白名单</x:v>
      </x:c>
      <x:c r="J141" s="17" t="str">
        <x:v>数据库实体不得直接序列化为响应</x:v>
      </x:c>
      <x:c r="K141" s="17" t="str">
        <x:v>server validates type, ownership, state and length; client-derived ownership and authorization are never trusted</x:v>
      </x:c>
      <x:c r="L141" s="17" t="str">
        <x:v>按实体version或审计日志保留变更证据</x:v>
      </x:c>
      <x:c r="M141" s="4" t="str">
        <x:v>M1</x:v>
      </x:c>
      <x:c r="N141" s="4" t="str">
        <x:v>P0-004,P0-005,P0-046,P0-047,P0-067,P0-070,P0-072</x:v>
      </x:c>
      <x:c r="O141" s="4" t="str">
        <x:v>综合方案§13核心数据模型</x:v>
      </x:c>
      <x:c r="P141" s="4" t="str">
        <x:v>FROZEN_M1_000</x:v>
      </x:c>
    </x:row>
    <x:row r="142" ht="23" customHeight="1">
      <x:c r="A142" s="4" t="str">
        <x:v>Permission</x:v>
      </x:c>
      <x:c r="B142" s="4" t="str">
        <x:v>fieldGroup</x:v>
      </x:c>
      <x:c r="C142" s="17" t="str">
        <x:v>fieldGroup?</x:v>
      </x:c>
      <x:c r="D142" s="4" t="str">
        <x:v>5</x:v>
      </x:c>
      <x:c r="E142" s="4" t="str">
        <x:v>String</x:v>
      </x:c>
      <x:c r="F142" s="4" t="str">
        <x:v>NO</x:v>
      </x:c>
      <x:c r="G142" s="4" t="str">
        <x:v>stable lowercase code; ^[a-z][a-z0-9_.:-]{1,127}$</x:v>
      </x:c>
      <x:c r="H142" s="17" t="str">
        <x:v>INTERNAL</x:v>
      </x:c>
      <x:c r="I142" s="17" t="str">
        <x:v>按资源权限与数据域访问；公开DTO另行白名单</x:v>
      </x:c>
      <x:c r="J142" s="17" t="str">
        <x:v>数据库实体不得直接序列化为响应</x:v>
      </x:c>
      <x:c r="K142" s="17" t="str">
        <x:v>server validates type, ownership, state and length; client-derived ownership and authorization are never trusted</x:v>
      </x:c>
      <x:c r="L142" s="17" t="str">
        <x:v>按实体version或审计日志保留变更证据</x:v>
      </x:c>
      <x:c r="M142" s="4" t="str">
        <x:v>M1</x:v>
      </x:c>
      <x:c r="N142" s="4" t="str">
        <x:v>P0-004,P0-005,P0-046,P0-047,P0-067,P0-070,P0-072</x:v>
      </x:c>
      <x:c r="O142" s="4" t="str">
        <x:v>综合方案§13核心数据模型</x:v>
      </x:c>
      <x:c r="P142" s="4" t="str">
        <x:v>FROZEN_M1_000</x:v>
      </x:c>
    </x:row>
    <x:row r="143" ht="23" customHeight="1">
      <x:c r="A143" s="4" t="str">
        <x:v>Permission</x:v>
      </x:c>
      <x:c r="B143" s="4" t="str">
        <x:v>riskLevel</x:v>
      </x:c>
      <x:c r="C143" s="17" t="str">
        <x:v>riskLevel</x:v>
      </x:c>
      <x:c r="D143" s="4" t="str">
        <x:v>6</x:v>
      </x:c>
      <x:c r="E143" s="4" t="str">
        <x:v>Int</x:v>
      </x:c>
      <x:c r="F143" s="4" t="str">
        <x:v>YES</x:v>
      </x:c>
      <x:c r="G143" s="4" t="str">
        <x:v>integer 0..3</x:v>
      </x:c>
      <x:c r="H143" s="17" t="str">
        <x:v>INTERNAL</x:v>
      </x:c>
      <x:c r="I143" s="17" t="str">
        <x:v>按资源权限与数据域访问；公开DTO另行白名单</x:v>
      </x:c>
      <x:c r="J143" s="17" t="str">
        <x:v>数据库实体不得直接序列化为响应</x:v>
      </x:c>
      <x:c r="K143" s="17" t="str">
        <x:v>server validates type, ownership, state and length; client-derived ownership and authorization are never trusted</x:v>
      </x:c>
      <x:c r="L143" s="17" t="str">
        <x:v>按实体version或审计日志保留变更证据</x:v>
      </x:c>
      <x:c r="M143" s="4" t="str">
        <x:v>M1</x:v>
      </x:c>
      <x:c r="N143" s="4" t="str">
        <x:v>P0-004,P0-005,P0-046,P0-047,P0-067,P0-070,P0-072</x:v>
      </x:c>
      <x:c r="O143" s="4" t="str">
        <x:v>综合方案§13核心数据模型</x:v>
      </x:c>
      <x:c r="P143" s="4" t="str">
        <x:v>FROZEN_M1_000</x:v>
      </x:c>
    </x:row>
    <x:row r="144" ht="23" customHeight="1">
      <x:c r="A144" s="4" t="str">
        <x:v>FunctionalAccountPermission</x:v>
      </x:c>
      <x:c r="B144" s="4" t="str">
        <x:v>id</x:v>
      </x:c>
      <x:c r="C144" s="17" t="str">
        <x:v>id</x:v>
      </x:c>
      <x:c r="D144" s="4" t="str">
        <x:v>1</x:v>
      </x:c>
      <x:c r="E144" s="4" t="str">
        <x:v>UUID</x:v>
      </x:c>
      <x:c r="F144" s="4" t="str">
        <x:v>YES</x:v>
      </x:c>
      <x:c r="G144" s="4" t="str">
        <x:v>UUID v4 canonical lowercase text</x:v>
      </x:c>
      <x:c r="H144" s="17" t="str">
        <x:v>INTERNAL</x:v>
      </x:c>
      <x:c r="I144" s="17" t="str">
        <x:v>按资源权限与数据域访问；公开DTO另行白名单</x:v>
      </x:c>
      <x:c r="J144" s="17" t="str">
        <x:v>数据库实体不得直接序列化为响应</x:v>
      </x:c>
      <x:c r="K144" s="17" t="str">
        <x:v>server validates type, ownership, state and length; client-derived ownership and authorization are never trusted</x:v>
      </x:c>
      <x:c r="L144" s="17" t="str">
        <x:v>按实体version或审计日志保留变更证据</x:v>
      </x:c>
      <x:c r="M144" s="4" t="str">
        <x:v>M1</x:v>
      </x:c>
      <x:c r="N144" s="4" t="str">
        <x:v>P0-004,P0-005,P0-046,P0-047,P0-067,P0-070,P0-072</x:v>
      </x:c>
      <x:c r="O144" s="4" t="str">
        <x:v>综合方案§13核心数据模型</x:v>
      </x:c>
      <x:c r="P144" s="4" t="str">
        <x:v>FROZEN_M1_000</x:v>
      </x:c>
    </x:row>
    <x:row r="145" ht="23" customHeight="1">
      <x:c r="A145" s="4" t="str">
        <x:v>FunctionalAccountPermission</x:v>
      </x:c>
      <x:c r="B145" s="4" t="str">
        <x:v>functionalAccountId</x:v>
      </x:c>
      <x:c r="C145" s="17" t="str">
        <x:v>functionalAccountId</x:v>
      </x:c>
      <x:c r="D145" s="4" t="str">
        <x:v>2</x:v>
      </x:c>
      <x:c r="E145" s="4" t="str">
        <x:v>UUID</x:v>
      </x:c>
      <x:c r="F145" s="4" t="str">
        <x:v>YES</x:v>
      </x:c>
      <x:c r="G145" s="4" t="str">
        <x:v>UUID v4 canonical lowercase text</x:v>
      </x:c>
      <x:c r="H145" s="17" t="str">
        <x:v>INTERNAL</x:v>
      </x:c>
      <x:c r="I145" s="17" t="str">
        <x:v>按资源权限与数据域访问；公开DTO另行白名单</x:v>
      </x:c>
      <x:c r="J145" s="17" t="str">
        <x:v>数据库实体不得直接序列化为响应</x:v>
      </x:c>
      <x:c r="K145" s="17" t="str">
        <x:v>server validates type, ownership, state and length; client-derived ownership and authorization are never trusted</x:v>
      </x:c>
      <x:c r="L145" s="17" t="str">
        <x:v>按实体version或审计日志保留变更证据</x:v>
      </x:c>
      <x:c r="M145" s="4" t="str">
        <x:v>M1</x:v>
      </x:c>
      <x:c r="N145" s="4" t="str">
        <x:v>P0-004,P0-005,P0-046,P0-047,P0-067,P0-070,P0-072</x:v>
      </x:c>
      <x:c r="O145" s="4" t="str">
        <x:v>综合方案§13核心数据模型</x:v>
      </x:c>
      <x:c r="P145" s="4" t="str">
        <x:v>FROZEN_M1_000</x:v>
      </x:c>
    </x:row>
    <x:row r="146" ht="23" customHeight="1">
      <x:c r="A146" s="4" t="str">
        <x:v>FunctionalAccountPermission</x:v>
      </x:c>
      <x:c r="B146" s="4" t="str">
        <x:v>permissionId</x:v>
      </x:c>
      <x:c r="C146" s="17" t="str">
        <x:v>permissionId</x:v>
      </x:c>
      <x:c r="D146" s="4" t="str">
        <x:v>3</x:v>
      </x:c>
      <x:c r="E146" s="4" t="str">
        <x:v>UUID</x:v>
      </x:c>
      <x:c r="F146" s="4" t="str">
        <x:v>YES</x:v>
      </x:c>
      <x:c r="G146" s="4" t="str">
        <x:v>UUID v4 canonical lowercase text</x:v>
      </x:c>
      <x:c r="H146" s="17" t="str">
        <x:v>INTERNAL</x:v>
      </x:c>
      <x:c r="I146" s="17" t="str">
        <x:v>按资源权限与数据域访问；公开DTO另行白名单</x:v>
      </x:c>
      <x:c r="J146" s="17" t="str">
        <x:v>数据库实体不得直接序列化为响应</x:v>
      </x:c>
      <x:c r="K146" s="17" t="str">
        <x:v>server validates type, ownership, state and length; client-derived ownership and authorization are never trusted</x:v>
      </x:c>
      <x:c r="L146" s="17" t="str">
        <x:v>按实体version或审计日志保留变更证据</x:v>
      </x:c>
      <x:c r="M146" s="4" t="str">
        <x:v>M1</x:v>
      </x:c>
      <x:c r="N146" s="4" t="str">
        <x:v>P0-004,P0-005,P0-046,P0-047,P0-067,P0-070,P0-072</x:v>
      </x:c>
      <x:c r="O146" s="4" t="str">
        <x:v>综合方案§13核心数据模型</x:v>
      </x:c>
      <x:c r="P146" s="4" t="str">
        <x:v>FROZEN_M1_000</x:v>
      </x:c>
    </x:row>
    <x:row r="147" ht="23" customHeight="1">
      <x:c r="A147" s="4" t="str">
        <x:v>FunctionalAccountPermission</x:v>
      </x:c>
      <x:c r="B147" s="4" t="str">
        <x:v>effect</x:v>
      </x:c>
      <x:c r="C147" s="17" t="str">
        <x:v>effect</x:v>
      </x:c>
      <x:c r="D147" s="4" t="str">
        <x:v>4</x:v>
      </x:c>
      <x:c r="E147" s="4" t="str">
        <x:v>Enum&lt;ALLOW|DENY&gt;</x:v>
      </x:c>
      <x:c r="F147" s="4" t="str">
        <x:v>YES</x:v>
      </x:c>
      <x:c r="G147" s="4" t="str">
        <x:v>ALLOW|DENY</x:v>
      </x:c>
      <x:c r="H147" s="17" t="str">
        <x:v>INTERNAL</x:v>
      </x:c>
      <x:c r="I147" s="17" t="str">
        <x:v>按资源权限与数据域访问；公开DTO另行白名单</x:v>
      </x:c>
      <x:c r="J147" s="17" t="str">
        <x:v>数据库实体不得直接序列化为响应</x:v>
      </x:c>
      <x:c r="K147" s="17" t="str">
        <x:v>DENY overrides ALLOW; duplicate account-permission rows are forbidden</x:v>
      </x:c>
      <x:c r="L147" s="17" t="str">
        <x:v>按实体version或审计日志保留变更证据</x:v>
      </x:c>
      <x:c r="M147" s="4" t="str">
        <x:v>M1</x:v>
      </x:c>
      <x:c r="N147" s="4" t="str">
        <x:v>P0-004,P0-005,P0-046,P0-047,P0-067,P0-070,P0-072</x:v>
      </x:c>
      <x:c r="O147" s="4" t="str">
        <x:v>综合方案§13核心数据模型</x:v>
      </x:c>
      <x:c r="P147" s="4" t="str">
        <x:v>FROZEN_M1_000</x:v>
      </x:c>
    </x:row>
    <x:row r="148" ht="23" customHeight="1">
      <x:c r="A148" s="4" t="str">
        <x:v>DataScopePolicy</x:v>
      </x:c>
      <x:c r="B148" s="4" t="str">
        <x:v>id</x:v>
      </x:c>
      <x:c r="C148" s="17" t="str">
        <x:v>id</x:v>
      </x:c>
      <x:c r="D148" s="4" t="str">
        <x:v>1</x:v>
      </x:c>
      <x:c r="E148" s="4" t="str">
        <x:v>UUID</x:v>
      </x:c>
      <x:c r="F148" s="4" t="str">
        <x:v>YES</x:v>
      </x:c>
      <x:c r="G148" s="4" t="str">
        <x:v>UUID v4 canonical lowercase text</x:v>
      </x:c>
      <x:c r="H148" s="17" t="str">
        <x:v>INTERNAL</x:v>
      </x:c>
      <x:c r="I148" s="17" t="str">
        <x:v>按资源权限与数据域访问；公开DTO另行白名单</x:v>
      </x:c>
      <x:c r="J148" s="17" t="str">
        <x:v>数据库实体不得直接序列化为响应</x:v>
      </x:c>
      <x:c r="K148" s="17" t="str">
        <x:v>server validates type, ownership, state and length; client-derived ownership and authorization are never trusted</x:v>
      </x:c>
      <x:c r="L148" s="17" t="str">
        <x:v>按实体version或审计日志保留变更证据</x:v>
      </x:c>
      <x:c r="M148" s="4" t="str">
        <x:v>M1</x:v>
      </x:c>
      <x:c r="N148" s="4" t="str">
        <x:v>P0-004,P0-046,P0-067,P0-070</x:v>
      </x:c>
      <x:c r="O148" s="4" t="str">
        <x:v>综合方案§13核心数据模型</x:v>
      </x:c>
      <x:c r="P148" s="4" t="str">
        <x:v>FROZEN_M1_000</x:v>
      </x:c>
    </x:row>
    <x:row r="149" ht="23" customHeight="1">
      <x:c r="A149" s="4" t="str">
        <x:v>DataScopePolicy</x:v>
      </x:c>
      <x:c r="B149" s="4" t="str">
        <x:v>functionalAccountId</x:v>
      </x:c>
      <x:c r="C149" s="17" t="str">
        <x:v>functionalAccountId</x:v>
      </x:c>
      <x:c r="D149" s="4" t="str">
        <x:v>2</x:v>
      </x:c>
      <x:c r="E149" s="4" t="str">
        <x:v>UUID</x:v>
      </x:c>
      <x:c r="F149" s="4" t="str">
        <x:v>YES</x:v>
      </x:c>
      <x:c r="G149" s="4" t="str">
        <x:v>UUID v4 canonical lowercase text</x:v>
      </x:c>
      <x:c r="H149" s="17" t="str">
        <x:v>INTERNAL</x:v>
      </x:c>
      <x:c r="I149" s="17" t="str">
        <x:v>按资源权限与数据域访问；公开DTO另行白名单</x:v>
      </x:c>
      <x:c r="J149" s="17" t="str">
        <x:v>数据库实体不得直接序列化为响应</x:v>
      </x:c>
      <x:c r="K149" s="17" t="str">
        <x:v>server validates type, ownership, state and length; client-derived ownership and authorization are never trusted</x:v>
      </x:c>
      <x:c r="L149" s="17" t="str">
        <x:v>按实体version或审计日志保留变更证据</x:v>
      </x:c>
      <x:c r="M149" s="4" t="str">
        <x:v>M1</x:v>
      </x:c>
      <x:c r="N149" s="4" t="str">
        <x:v>P0-004,P0-046,P0-067,P0-070</x:v>
      </x:c>
      <x:c r="O149" s="4" t="str">
        <x:v>综合方案§13核心数据模型</x:v>
      </x:c>
      <x:c r="P149" s="4" t="str">
        <x:v>FROZEN_M1_000</x:v>
      </x:c>
    </x:row>
    <x:row r="150" ht="23" customHeight="1">
      <x:c r="A150" s="4" t="str">
        <x:v>DataScopePolicy</x:v>
      </x:c>
      <x:c r="B150" s="4" t="str">
        <x:v>scopeType</x:v>
      </x:c>
      <x:c r="C150" s="17" t="str">
        <x:v>scopeType</x:v>
      </x:c>
      <x:c r="D150" s="4" t="str">
        <x:v>3</x:v>
      </x:c>
      <x:c r="E150" s="4" t="str">
        <x:v>Enum&lt;COMPANY|SUPPLIER|SELF|RESOURCE_SET&gt;</x:v>
      </x:c>
      <x:c r="F150" s="4" t="str">
        <x:v>YES</x:v>
      </x:c>
      <x:c r="G150" s="4" t="str">
        <x:v>COMPANY|SUPPLIER|SELF|RESOURCE_SET</x:v>
      </x:c>
      <x:c r="H150" s="17" t="str">
        <x:v>INTERNAL</x:v>
      </x:c>
      <x:c r="I150" s="17" t="str">
        <x:v>按资源权限与数据域访问；公开DTO另行白名单</x:v>
      </x:c>
      <x:c r="J150" s="17" t="str">
        <x:v>数据库实体不得直接序列化为响应</x:v>
      </x:c>
      <x:c r="K150" s="17" t="str">
        <x:v>server validates type, ownership, state and length; client-derived ownership and authorization are never trusted</x:v>
      </x:c>
      <x:c r="L150" s="17" t="str">
        <x:v>按实体version或审计日志保留变更证据</x:v>
      </x:c>
      <x:c r="M150" s="4" t="str">
        <x:v>M1</x:v>
      </x:c>
      <x:c r="N150" s="4" t="str">
        <x:v>P0-004,P0-046,P0-067,P0-070</x:v>
      </x:c>
      <x:c r="O150" s="4" t="str">
        <x:v>综合方案§13核心数据模型</x:v>
      </x:c>
      <x:c r="P150" s="4" t="str">
        <x:v>FROZEN_M1_000</x:v>
      </x:c>
    </x:row>
    <x:row r="151" ht="23" customHeight="1">
      <x:c r="A151" s="4" t="str">
        <x:v>DataScopePolicy</x:v>
      </x:c>
      <x:c r="B151" s="4" t="str">
        <x:v>scopeRules</x:v>
      </x:c>
      <x:c r="C151" s="17" t="str">
        <x:v>scopeRules</x:v>
      </x:c>
      <x:c r="D151" s="4" t="str">
        <x:v>4</x:v>
      </x:c>
      <x:c r="E151" s="4" t="str">
        <x:v>Json</x:v>
      </x:c>
      <x:c r="F151" s="4" t="str">
        <x:v>YES</x:v>
      </x:c>
      <x:c r="G151" s="4" t="str">
        <x:v>DataScopePolicyScopeRulesSchemaV1</x:v>
      </x:c>
      <x:c r="H151" s="17" t="str">
        <x:v>INTERNAL</x:v>
      </x:c>
      <x:c r="I151" s="17" t="str">
        <x:v>按资源权限与数据域访问；公开DTO另行白名单</x:v>
      </x:c>
      <x:c r="J151" s="17" t="str">
        <x:v>数据库实体不得直接序列化为响应</x:v>
      </x:c>
      <x:c r="K151" s="17" t="str">
        <x:v>JSON is validated by scopeType; supplier scope cannot contain another supplierId</x:v>
      </x:c>
      <x:c r="L151" s="17" t="str">
        <x:v>按实体version或审计日志保留变更证据</x:v>
      </x:c>
      <x:c r="M151" s="4" t="str">
        <x:v>M1</x:v>
      </x:c>
      <x:c r="N151" s="4" t="str">
        <x:v>P0-004,P0-046,P0-067,P0-070</x:v>
      </x:c>
      <x:c r="O151" s="4" t="str">
        <x:v>综合方案§13核心数据模型</x:v>
      </x:c>
      <x:c r="P151" s="4" t="str">
        <x:v>FROZEN_M1_000</x:v>
      </x:c>
    </x:row>
    <x:row r="152" ht="23" customHeight="1">
      <x:c r="A152" s="4" t="str">
        <x:v>FieldAccessPolicy</x:v>
      </x:c>
      <x:c r="B152" s="4" t="str">
        <x:v>id</x:v>
      </x:c>
      <x:c r="C152" s="17" t="str">
        <x:v>id</x:v>
      </x:c>
      <x:c r="D152" s="4" t="str">
        <x:v>1</x:v>
      </x:c>
      <x:c r="E152" s="4" t="str">
        <x:v>UUID</x:v>
      </x:c>
      <x:c r="F152" s="4" t="str">
        <x:v>YES</x:v>
      </x:c>
      <x:c r="G152" s="4" t="str">
        <x:v>UUID v4 canonical lowercase text</x:v>
      </x:c>
      <x:c r="H152" s="17" t="str">
        <x:v>INTERNAL</x:v>
      </x:c>
      <x:c r="I152" s="17" t="str">
        <x:v>按资源权限与数据域访问；公开DTO另行白名单</x:v>
      </x:c>
      <x:c r="J152" s="17" t="str">
        <x:v>数据库实体不得直接序列化为响应</x:v>
      </x:c>
      <x:c r="K152" s="17" t="str">
        <x:v>server validates type, ownership, state and length; client-derived ownership and authorization are never trusted</x:v>
      </x:c>
      <x:c r="L152" s="17" t="str">
        <x:v>按实体version或审计日志保留变更证据</x:v>
      </x:c>
      <x:c r="M152" s="4" t="str">
        <x:v>M1</x:v>
      </x:c>
      <x:c r="N152" s="4" t="str">
        <x:v>P0-046,P0-047,P0-067,P0-070,P0-072</x:v>
      </x:c>
      <x:c r="O152" s="4" t="str">
        <x:v>综合方案§13核心数据模型</x:v>
      </x:c>
      <x:c r="P152" s="4" t="str">
        <x:v>FROZEN_M1_000</x:v>
      </x:c>
    </x:row>
    <x:row r="153" ht="23" customHeight="1">
      <x:c r="A153" s="4" t="str">
        <x:v>FieldAccessPolicy</x:v>
      </x:c>
      <x:c r="B153" s="4" t="str">
        <x:v>functionalAccountId</x:v>
      </x:c>
      <x:c r="C153" s="17" t="str">
        <x:v>functionalAccountId</x:v>
      </x:c>
      <x:c r="D153" s="4" t="str">
        <x:v>2</x:v>
      </x:c>
      <x:c r="E153" s="4" t="str">
        <x:v>UUID</x:v>
      </x:c>
      <x:c r="F153" s="4" t="str">
        <x:v>YES</x:v>
      </x:c>
      <x:c r="G153" s="4" t="str">
        <x:v>UUID v4 canonical lowercase text</x:v>
      </x:c>
      <x:c r="H153" s="17" t="str">
        <x:v>INTERNAL</x:v>
      </x:c>
      <x:c r="I153" s="17" t="str">
        <x:v>按资源权限与数据域访问；公开DTO另行白名单</x:v>
      </x:c>
      <x:c r="J153" s="17" t="str">
        <x:v>数据库实体不得直接序列化为响应</x:v>
      </x:c>
      <x:c r="K153" s="17" t="str">
        <x:v>server validates type, ownership, state and length; client-derived ownership and authorization are never trusted</x:v>
      </x:c>
      <x:c r="L153" s="17" t="str">
        <x:v>按实体version或审计日志保留变更证据</x:v>
      </x:c>
      <x:c r="M153" s="4" t="str">
        <x:v>M1</x:v>
      </x:c>
      <x:c r="N153" s="4" t="str">
        <x:v>P0-046,P0-047,P0-067,P0-070,P0-072</x:v>
      </x:c>
      <x:c r="O153" s="4" t="str">
        <x:v>综合方案§13核心数据模型</x:v>
      </x:c>
      <x:c r="P153" s="4" t="str">
        <x:v>FROZEN_M1_000</x:v>
      </x:c>
    </x:row>
    <x:row r="154" ht="23" customHeight="1">
      <x:c r="A154" s="4" t="str">
        <x:v>FieldAccessPolicy</x:v>
      </x:c>
      <x:c r="B154" s="4" t="str">
        <x:v>resource</x:v>
      </x:c>
      <x:c r="C154" s="17" t="str">
        <x:v>resource</x:v>
      </x:c>
      <x:c r="D154" s="4" t="str">
        <x:v>3</x:v>
      </x:c>
      <x:c r="E154" s="4" t="str">
        <x:v>String</x:v>
      </x:c>
      <x:c r="F154" s="4" t="str">
        <x:v>YES</x:v>
      </x:c>
      <x:c r="G154" s="4" t="str">
        <x:v>stable lowercase code; ^[a-z][a-z0-9_.:-]{1,127}$</x:v>
      </x:c>
      <x:c r="H154" s="17" t="str">
        <x:v>INTERNAL</x:v>
      </x:c>
      <x:c r="I154" s="17" t="str">
        <x:v>按资源权限与数据域访问；公开DTO另行白名单</x:v>
      </x:c>
      <x:c r="J154" s="17" t="str">
        <x:v>数据库实体不得直接序列化为响应</x:v>
      </x:c>
      <x:c r="K154" s="17" t="str">
        <x:v>server validates type, ownership, state and length; client-derived ownership and authorization are never trusted</x:v>
      </x:c>
      <x:c r="L154" s="17" t="str">
        <x:v>按实体version或审计日志保留变更证据</x:v>
      </x:c>
      <x:c r="M154" s="4" t="str">
        <x:v>M1</x:v>
      </x:c>
      <x:c r="N154" s="4" t="str">
        <x:v>P0-046,P0-047,P0-067,P0-070,P0-072</x:v>
      </x:c>
      <x:c r="O154" s="4" t="str">
        <x:v>综合方案§13核心数据模型</x:v>
      </x:c>
      <x:c r="P154" s="4" t="str">
        <x:v>FROZEN_M1_000</x:v>
      </x:c>
    </x:row>
    <x:row r="155" ht="23" customHeight="1">
      <x:c r="A155" s="4" t="str">
        <x:v>FieldAccessPolicy</x:v>
      </x:c>
      <x:c r="B155" s="4" t="str">
        <x:v>fieldGroup</x:v>
      </x:c>
      <x:c r="C155" s="17" t="str">
        <x:v>fieldGroup</x:v>
      </x:c>
      <x:c r="D155" s="4" t="str">
        <x:v>4</x:v>
      </x:c>
      <x:c r="E155" s="4" t="str">
        <x:v>String</x:v>
      </x:c>
      <x:c r="F155" s="4" t="str">
        <x:v>YES</x:v>
      </x:c>
      <x:c r="G155" s="4" t="str">
        <x:v>stable lowercase code; ^[a-z][a-z0-9_.:-]{1,127}$</x:v>
      </x:c>
      <x:c r="H155" s="17" t="str">
        <x:v>INTERNAL</x:v>
      </x:c>
      <x:c r="I155" s="17" t="str">
        <x:v>按资源权限与数据域访问；公开DTO另行白名单</x:v>
      </x:c>
      <x:c r="J155" s="17" t="str">
        <x:v>数据库实体不得直接序列化为响应</x:v>
      </x:c>
      <x:c r="K155" s="17" t="str">
        <x:v>server validates type, ownership, state and length; client-derived ownership and authorization are never trusted</x:v>
      </x:c>
      <x:c r="L155" s="17" t="str">
        <x:v>按实体version或审计日志保留变更证据</x:v>
      </x:c>
      <x:c r="M155" s="4" t="str">
        <x:v>M1</x:v>
      </x:c>
      <x:c r="N155" s="4" t="str">
        <x:v>P0-046,P0-047,P0-067,P0-070,P0-072</x:v>
      </x:c>
      <x:c r="O155" s="4" t="str">
        <x:v>综合方案§13核心数据模型</x:v>
      </x:c>
      <x:c r="P155" s="4" t="str">
        <x:v>FROZEN_M1_000</x:v>
      </x:c>
    </x:row>
    <x:row r="156" ht="23" customHeight="1">
      <x:c r="A156" s="4" t="str">
        <x:v>FieldAccessPolicy</x:v>
      </x:c>
      <x:c r="B156" s="4" t="str">
        <x:v>accessMode</x:v>
      </x:c>
      <x:c r="C156" s="17" t="str">
        <x:v>accessMode</x:v>
      </x:c>
      <x:c r="D156" s="4" t="str">
        <x:v>5</x:v>
      </x:c>
      <x:c r="E156" s="4" t="str">
        <x:v>Enum&lt;HIDDEN|MASKED|VISIBLE|VISIBLE_WITH_AUDIT|APPROVED_EXPORT_ONLY&gt;</x:v>
      </x:c>
      <x:c r="F156" s="4" t="str">
        <x:v>YES</x:v>
      </x:c>
      <x:c r="G156" s="4" t="str">
        <x:v>HIDDEN|MASKED|VISIBLE|VISIBLE_WITH_AUDIT|APPROVED_EXPORT_ONLY</x:v>
      </x:c>
      <x:c r="H156" s="17" t="str">
        <x:v>INTERNAL</x:v>
      </x:c>
      <x:c r="I156" s="17" t="str">
        <x:v>按资源权限与数据域访问；公开DTO另行白名单</x:v>
      </x:c>
      <x:c r="J156" s="17" t="str">
        <x:v>数据库实体不得直接序列化为响应</x:v>
      </x:c>
      <x:c r="K156" s="17" t="str">
        <x:v>default is HIDDEN; visible sensitive reads require an explicit allow rule</x:v>
      </x:c>
      <x:c r="L156" s="17" t="str">
        <x:v>按实体version或审计日志保留变更证据</x:v>
      </x:c>
      <x:c r="M156" s="4" t="str">
        <x:v>M1</x:v>
      </x:c>
      <x:c r="N156" s="4" t="str">
        <x:v>P0-046,P0-047,P0-067,P0-070,P0-072</x:v>
      </x:c>
      <x:c r="O156" s="4" t="str">
        <x:v>综合方案§13核心数据模型</x:v>
      </x:c>
      <x:c r="P156" s="4" t="str">
        <x:v>FROZEN_M1_000</x:v>
      </x:c>
    </x:row>
    <x:row r="157" ht="23" customHeight="1">
      <x:c r="A157" s="4" t="str">
        <x:v>AuthSession</x:v>
      </x:c>
      <x:c r="B157" s="4" t="str">
        <x:v>id</x:v>
      </x:c>
      <x:c r="C157" s="17" t="str">
        <x:v>id</x:v>
      </x:c>
      <x:c r="D157" s="4" t="str">
        <x:v>1</x:v>
      </x:c>
      <x:c r="E157" s="4" t="str">
        <x:v>UUID</x:v>
      </x:c>
      <x:c r="F157" s="4" t="str">
        <x:v>YES</x:v>
      </x:c>
      <x:c r="G157" s="4" t="str">
        <x:v>UUID v4 canonical lowercase text</x:v>
      </x:c>
      <x:c r="H157" s="17" t="str">
        <x:v>INTERNAL</x:v>
      </x:c>
      <x:c r="I157" s="17" t="str">
        <x:v>按资源权限与数据域访问；公开DTO另行白名单</x:v>
      </x:c>
      <x:c r="J157" s="17" t="str">
        <x:v>数据库实体不得直接序列化为响应</x:v>
      </x:c>
      <x:c r="K157" s="17" t="str">
        <x:v>server validates type, ownership, state and length; client-derived ownership and authorization are never trusted</x:v>
      </x:c>
      <x:c r="L157" s="17" t="str">
        <x:v>按实体version或审计日志保留变更证据</x:v>
      </x:c>
      <x:c r="M157" s="4" t="str">
        <x:v>M1</x:v>
      </x:c>
      <x:c r="N157" s="4" t="str">
        <x:v>P0-004,P0-046,P0-066,P0-067,P0-069,P0-070,P0-072</x:v>
      </x:c>
      <x:c r="O157" s="4" t="str">
        <x:v>综合方案§13核心数据模型</x:v>
      </x:c>
      <x:c r="P157" s="4" t="str">
        <x:v>FROZEN_M1_000</x:v>
      </x:c>
    </x:row>
    <x:row r="158" ht="23" customHeight="1">
      <x:c r="A158" s="4" t="str">
        <x:v>AuthSession</x:v>
      </x:c>
      <x:c r="B158" s="4" t="str">
        <x:v>userType</x:v>
      </x:c>
      <x:c r="C158" s="17" t="str">
        <x:v>userType</x:v>
      </x:c>
      <x:c r="D158" s="4" t="str">
        <x:v>2</x:v>
      </x:c>
      <x:c r="E158" s="4" t="str">
        <x:v>Enum&lt;COMPANY_USER|SUPPLIER_USER&gt;</x:v>
      </x:c>
      <x:c r="F158" s="4" t="str">
        <x:v>YES</x:v>
      </x:c>
      <x:c r="G158" s="4" t="str">
        <x:v>COMPANY_USER|SUPPLIER_USER</x:v>
      </x:c>
      <x:c r="H158" s="17" t="str">
        <x:v>INTERNAL</x:v>
      </x:c>
      <x:c r="I158" s="17" t="str">
        <x:v>按资源权限与数据域访问；公开DTO另行白名单</x:v>
      </x:c>
      <x:c r="J158" s="17" t="str">
        <x:v>数据库实体不得直接序列化为响应</x:v>
      </x:c>
      <x:c r="K158" s="17" t="str">
        <x:v>server validates type, ownership, state and length; client-derived ownership and authorization are never trusted</x:v>
      </x:c>
      <x:c r="L158" s="17" t="str">
        <x:v>按实体version或审计日志保留变更证据</x:v>
      </x:c>
      <x:c r="M158" s="4" t="str">
        <x:v>M1</x:v>
      </x:c>
      <x:c r="N158" s="4" t="str">
        <x:v>P0-004,P0-046,P0-066,P0-067,P0-069,P0-070,P0-072</x:v>
      </x:c>
      <x:c r="O158" s="4" t="str">
        <x:v>综合方案§13核心数据模型</x:v>
      </x:c>
      <x:c r="P158" s="4" t="str">
        <x:v>FROZEN_M1_000</x:v>
      </x:c>
    </x:row>
    <x:row r="159" ht="23" customHeight="1">
      <x:c r="A159" s="4" t="str">
        <x:v>AuthSession</x:v>
      </x:c>
      <x:c r="B159" s="4" t="str">
        <x:v>userId</x:v>
      </x:c>
      <x:c r="C159" s="17" t="str">
        <x:v>userId</x:v>
      </x:c>
      <x:c r="D159" s="4" t="str">
        <x:v>3</x:v>
      </x:c>
      <x:c r="E159" s="4" t="str">
        <x:v>UUID</x:v>
      </x:c>
      <x:c r="F159" s="4" t="str">
        <x:v>YES</x:v>
      </x:c>
      <x:c r="G159" s="4" t="str">
        <x:v>UUID v4 canonical lowercase text</x:v>
      </x:c>
      <x:c r="H159" s="17" t="str">
        <x:v>INTERNAL</x:v>
      </x:c>
      <x:c r="I159" s="17" t="str">
        <x:v>按资源权限与数据域访问；公开DTO另行白名单</x:v>
      </x:c>
      <x:c r="J159" s="17" t="str">
        <x:v>数据库实体不得直接序列化为响应</x:v>
      </x:c>
      <x:c r="K159" s="17" t="str">
        <x:v>server validates type, ownership, state and length; client-derived ownership and authorization are never trusted</x:v>
      </x:c>
      <x:c r="L159" s="17" t="str">
        <x:v>按实体version或审计日志保留变更证据</x:v>
      </x:c>
      <x:c r="M159" s="4" t="str">
        <x:v>M1</x:v>
      </x:c>
      <x:c r="N159" s="4" t="str">
        <x:v>P0-004,P0-046,P0-066,P0-067,P0-069,P0-070,P0-072</x:v>
      </x:c>
      <x:c r="O159" s="4" t="str">
        <x:v>综合方案§13核心数据模型</x:v>
      </x:c>
      <x:c r="P159" s="4" t="str">
        <x:v>FROZEN_M1_000</x:v>
      </x:c>
    </x:row>
    <x:row r="160" ht="23" customHeight="1">
      <x:c r="A160" s="4" t="str">
        <x:v>AuthSession</x:v>
      </x:c>
      <x:c r="B160" s="4" t="str">
        <x:v>functionalAccountId</x:v>
      </x:c>
      <x:c r="C160" s="17" t="str">
        <x:v>functionalAccountId</x:v>
      </x:c>
      <x:c r="D160" s="4" t="str">
        <x:v>4</x:v>
      </x:c>
      <x:c r="E160" s="4" t="str">
        <x:v>UUID</x:v>
      </x:c>
      <x:c r="F160" s="4" t="str">
        <x:v>YES</x:v>
      </x:c>
      <x:c r="G160" s="4" t="str">
        <x:v>UUID v4 canonical lowercase text</x:v>
      </x:c>
      <x:c r="H160" s="17" t="str">
        <x:v>INTERNAL</x:v>
      </x:c>
      <x:c r="I160" s="17" t="str">
        <x:v>按资源权限与数据域访问；公开DTO另行白名单</x:v>
      </x:c>
      <x:c r="J160" s="17" t="str">
        <x:v>数据库实体不得直接序列化为响应</x:v>
      </x:c>
      <x:c r="K160" s="17" t="str">
        <x:v>exactly one active functional account per session</x:v>
      </x:c>
      <x:c r="L160" s="17" t="str">
        <x:v>按实体version或审计日志保留变更证据</x:v>
      </x:c>
      <x:c r="M160" s="4" t="str">
        <x:v>M1</x:v>
      </x:c>
      <x:c r="N160" s="4" t="str">
        <x:v>P0-004,P0-046,P0-066,P0-067,P0-069,P0-070,P0-072</x:v>
      </x:c>
      <x:c r="O160" s="4" t="str">
        <x:v>综合方案§13核心数据模型</x:v>
      </x:c>
      <x:c r="P160" s="4" t="str">
        <x:v>FROZEN_M1_000</x:v>
      </x:c>
    </x:row>
    <x:row r="161" ht="23" customHeight="1">
      <x:c r="A161" s="4" t="str">
        <x:v>AuthSession</x:v>
      </x:c>
      <x:c r="B161" s="4" t="str">
        <x:v>workspaceRoute</x:v>
      </x:c>
      <x:c r="C161" s="17" t="str">
        <x:v>workspaceRoute</x:v>
      </x:c>
      <x:c r="D161" s="4" t="str">
        <x:v>5</x:v>
      </x:c>
      <x:c r="E161" s="4" t="str">
        <x:v>String</x:v>
      </x:c>
      <x:c r="F161" s="4" t="str">
        <x:v>YES</x:v>
      </x:c>
      <x:c r="G161" s="4" t="str">
        <x:v>absolute route from server allowlist</x:v>
      </x:c>
      <x:c r="H161" s="17" t="str">
        <x:v>INTERNAL</x:v>
      </x:c>
      <x:c r="I161" s="17" t="str">
        <x:v>按资源权限与数据域访问；公开DTO另行白名单</x:v>
      </x:c>
      <x:c r="J161" s="17" t="str">
        <x:v>数据库实体不得直接序列化为响应</x:v>
      </x:c>
      <x:c r="K161" s="17" t="str">
        <x:v>must equal the selected FunctionalAccountType.workspaceRoute</x:v>
      </x:c>
      <x:c r="L161" s="17" t="str">
        <x:v>按实体version或审计日志保留变更证据</x:v>
      </x:c>
      <x:c r="M161" s="4" t="str">
        <x:v>M1</x:v>
      </x:c>
      <x:c r="N161" s="4" t="str">
        <x:v>P0-004,P0-046,P0-066,P0-067,P0-069,P0-070,P0-072</x:v>
      </x:c>
      <x:c r="O161" s="4" t="str">
        <x:v>综合方案§13核心数据模型</x:v>
      </x:c>
      <x:c r="P161" s="4" t="str">
        <x:v>FROZEN_M1_000</x:v>
      </x:c>
    </x:row>
    <x:row r="162" ht="23" customHeight="1">
      <x:c r="A162" s="4" t="str">
        <x:v>AuthSession</x:v>
      </x:c>
      <x:c r="B162" s="4" t="str">
        <x:v>sessionHash</x:v>
      </x:c>
      <x:c r="C162" s="17" t="str">
        <x:v>sessionHash</x:v>
      </x:c>
      <x:c r="D162" s="4" t="str">
        <x:v>6</x:v>
      </x:c>
      <x:c r="E162" s="4" t="str">
        <x:v>String</x:v>
      </x:c>
      <x:c r="F162" s="4" t="str">
        <x:v>YES</x:v>
      </x:c>
      <x:c r="G162" s="4" t="str">
        <x:v>lowercase SHA-256 hex; 64 chars</x:v>
      </x:c>
      <x:c r="H162" s="17" t="str">
        <x:v>SECRET_OR_CREDENTIAL</x:v>
      </x:c>
      <x:c r="I162" s="17" t="str">
        <x:v>仅后端最小权限读取，响应永不返回</x:v>
      </x:c>
      <x:c r="J162" s="17" t="str">
        <x:v>禁止提交、日志、快照和前端下发</x:v>
      </x:c>
      <x:c r="K162" s="17" t="str">
        <x:v>only the hash is stored; raw session token is never logged or returned; same selectedSession replay must not overwrite the hash</x:v>
      </x:c>
      <x:c r="L162" s="17" t="str">
        <x:v>按实体version或审计日志保留变更证据</x:v>
      </x:c>
      <x:c r="M162" s="4" t="str">
        <x:v>M1</x:v>
      </x:c>
      <x:c r="N162" s="4" t="str">
        <x:v>P0-004,P0-046,P0-066,P0-067,P0-069,P0-070,P0-072</x:v>
      </x:c>
      <x:c r="O162" s="4" t="str">
        <x:v>综合方案§13核心数据模型</x:v>
      </x:c>
      <x:c r="P162" s="4" t="str">
        <x:v>FROZEN_M1_P069</x:v>
      </x:c>
    </x:row>
    <x:row r="163" ht="23" customHeight="1">
      <x:c r="A163" s="4" t="str">
        <x:v>AuthSession</x:v>
      </x:c>
      <x:c r="B163" s="4" t="str">
        <x:v>deviceInfo</x:v>
      </x:c>
      <x:c r="C163" s="17" t="str">
        <x:v>deviceInfo</x:v>
      </x:c>
      <x:c r="D163" s="4" t="str">
        <x:v>7</x:v>
      </x:c>
      <x:c r="E163" s="4" t="str">
        <x:v>Json</x:v>
      </x:c>
      <x:c r="F163" s="4" t="str">
        <x:v>YES</x:v>
      </x:c>
      <x:c r="G163" s="4" t="str">
        <x:v>AuthSessionDeviceInfoSchemaV1</x:v>
      </x:c>
      <x:c r="H163" s="17" t="str">
        <x:v>INTERNAL</x:v>
      </x:c>
      <x:c r="I163" s="17" t="str">
        <x:v>按资源权限与数据域访问；公开DTO另行白名单</x:v>
      </x:c>
      <x:c r="J163" s="17" t="str">
        <x:v>数据库实体不得直接序列化为响应</x:v>
      </x:c>
      <x:c r="K163" s="17" t="str">
        <x:v>server validates type, ownership, state and length; client-derived ownership and authorization are never trusted</x:v>
      </x:c>
      <x:c r="L163" s="17" t="str">
        <x:v>按实体version或审计日志保留变更证据</x:v>
      </x:c>
      <x:c r="M163" s="4" t="str">
        <x:v>M1</x:v>
      </x:c>
      <x:c r="N163" s="4" t="str">
        <x:v>P0-004,P0-046,P0-066,P0-067,P0-069,P0-070,P0-072</x:v>
      </x:c>
      <x:c r="O163" s="4" t="str">
        <x:v>综合方案§13核心数据模型</x:v>
      </x:c>
      <x:c r="P163" s="4" t="str">
        <x:v>FROZEN_M1_000</x:v>
      </x:c>
    </x:row>
    <x:row r="164" ht="23" customHeight="1">
      <x:c r="A164" s="4" t="str">
        <x:v>AuthSession</x:v>
      </x:c>
      <x:c r="B164" s="4" t="str">
        <x:v>ip</x:v>
      </x:c>
      <x:c r="C164" s="17" t="str">
        <x:v>ip</x:v>
      </x:c>
      <x:c r="D164" s="4" t="str">
        <x:v>8</x:v>
      </x:c>
      <x:c r="E164" s="4" t="str">
        <x:v>String</x:v>
      </x:c>
      <x:c r="F164" s="4" t="str">
        <x:v>YES</x:v>
      </x:c>
      <x:c r="G164" s="4" t="str">
        <x:v>IPv4 or IPv6 text; max 45 chars</x:v>
      </x:c>
      <x:c r="H164" s="17" t="str">
        <x:v>PERSONAL_OR_SENSITIVE</x:v>
      </x:c>
      <x:c r="I164" s="17" t="str">
        <x:v>按角色、对象归属及配送阶段脱敏/解密</x:v>
      </x:c>
      <x:c r="J164" s="17" t="str">
        <x:v>禁止跨供应商、越阶段或批量无审批导出</x:v>
      </x:c>
      <x:c r="K164" s="17" t="str">
        <x:v>server validates type, ownership, state and length; client-derived ownership and authorization are never trusted</x:v>
      </x:c>
      <x:c r="L164" s="17" t="str">
        <x:v>按实体version或审计日志保留变更证据</x:v>
      </x:c>
      <x:c r="M164" s="4" t="str">
        <x:v>M1</x:v>
      </x:c>
      <x:c r="N164" s="4" t="str">
        <x:v>P0-004,P0-046,P0-066,P0-067,P0-069,P0-070,P0-072</x:v>
      </x:c>
      <x:c r="O164" s="4" t="str">
        <x:v>综合方案§13核心数据模型</x:v>
      </x:c>
      <x:c r="P164" s="4" t="str">
        <x:v>FROZEN_M1_000</x:v>
      </x:c>
    </x:row>
    <x:row r="165" ht="23" customHeight="1">
      <x:c r="A165" s="4" t="str">
        <x:v>AuthSession</x:v>
      </x:c>
      <x:c r="B165" s="4" t="str">
        <x:v>expiresAt</x:v>
      </x:c>
      <x:c r="C165" s="17" t="str">
        <x:v>expiresAt</x:v>
      </x:c>
      <x:c r="D165" s="4" t="str">
        <x:v>9</x:v>
      </x:c>
      <x:c r="E165" s="4" t="str">
        <x:v>DateTime</x:v>
      </x:c>
      <x:c r="F165" s="4" t="str">
        <x:v>YES</x:v>
      </x:c>
      <x:c r="G165" s="4" t="str">
        <x:v>ISO-8601 UTC timestamp</x:v>
      </x:c>
      <x:c r="H165" s="17" t="str">
        <x:v>INTERNAL</x:v>
      </x:c>
      <x:c r="I165" s="17" t="str">
        <x:v>按资源权限与数据域访问；公开DTO另行白名单</x:v>
      </x:c>
      <x:c r="J165" s="17" t="str">
        <x:v>数据库实体不得直接序列化为响应</x:v>
      </x:c>
      <x:c r="K165" s="17" t="str">
        <x:v>server validates type, ownership, state and length; client-derived ownership and authorization are never trusted</x:v>
      </x:c>
      <x:c r="L165" s="17" t="str">
        <x:v>按实体version或审计日志保留变更证据</x:v>
      </x:c>
      <x:c r="M165" s="4" t="str">
        <x:v>M1</x:v>
      </x:c>
      <x:c r="N165" s="4" t="str">
        <x:v>P0-004,P0-046,P0-066,P0-067,P0-069,P0-070,P0-072</x:v>
      </x:c>
      <x:c r="O165" s="4" t="str">
        <x:v>综合方案§13核心数据模型</x:v>
      </x:c>
      <x:c r="P165" s="4" t="str">
        <x:v>FROZEN_M1_000</x:v>
      </x:c>
    </x:row>
    <x:row r="166" ht="23" customHeight="1">
      <x:c r="A166" s="4" t="str">
        <x:v>AuthSession</x:v>
      </x:c>
      <x:c r="B166" s="4" t="str">
        <x:v>revokedAt</x:v>
      </x:c>
      <x:c r="C166" s="17" t="str">
        <x:v>revokedAt?</x:v>
      </x:c>
      <x:c r="D166" s="4" t="str">
        <x:v>10</x:v>
      </x:c>
      <x:c r="E166" s="4" t="str">
        <x:v>DateTime</x:v>
      </x:c>
      <x:c r="F166" s="4" t="str">
        <x:v>NO</x:v>
      </x:c>
      <x:c r="G166" s="4" t="str">
        <x:v>ISO-8601 UTC timestamp</x:v>
      </x:c>
      <x:c r="H166" s="17" t="str">
        <x:v>INTERNAL</x:v>
      </x:c>
      <x:c r="I166" s="17" t="str">
        <x:v>按资源权限与数据域访问；公开DTO另行白名单</x:v>
      </x:c>
      <x:c r="J166" s="17" t="str">
        <x:v>数据库实体不得直接序列化为响应</x:v>
      </x:c>
      <x:c r="K166" s="17" t="str">
        <x:v>server validates type, ownership, state and length; client-derived ownership and authorization are never trusted</x:v>
      </x:c>
      <x:c r="L166" s="17" t="str">
        <x:v>按实体version或审计日志保留变更证据</x:v>
      </x:c>
      <x:c r="M166" s="4" t="str">
        <x:v>M1</x:v>
      </x:c>
      <x:c r="N166" s="4" t="str">
        <x:v>P0-004,P0-046,P0-066,P0-067,P0-069,P0-070,P0-072</x:v>
      </x:c>
      <x:c r="O166" s="4" t="str">
        <x:v>综合方案§13核心数据模型</x:v>
      </x:c>
      <x:c r="P166" s="4" t="str">
        <x:v>FROZEN_M1_000</x:v>
      </x:c>
    </x:row>
    <x:row r="167" ht="23" customHeight="1">
      <x:c r="A167" s="4" t="str">
        <x:v>LoginAudit</x:v>
      </x:c>
      <x:c r="B167" s="4" t="str">
        <x:v>id</x:v>
      </x:c>
      <x:c r="C167" s="17" t="str">
        <x:v>id</x:v>
      </x:c>
      <x:c r="D167" s="4" t="str">
        <x:v>1</x:v>
      </x:c>
      <x:c r="E167" s="4" t="str">
        <x:v>UUID</x:v>
      </x:c>
      <x:c r="F167" s="4" t="str">
        <x:v>YES</x:v>
      </x:c>
      <x:c r="G167" s="4" t="str">
        <x:v>UUID v4 canonical lowercase text</x:v>
      </x:c>
      <x:c r="H167" s="17" t="str">
        <x:v>INTERNAL</x:v>
      </x:c>
      <x:c r="I167" s="17" t="str">
        <x:v>按资源权限与数据域访问；公开DTO另行白名单</x:v>
      </x:c>
      <x:c r="J167" s="17" t="str">
        <x:v>数据库实体不得直接序列化为响应</x:v>
      </x:c>
      <x:c r="K167" s="17" t="str">
        <x:v>server validates type, ownership, state and length; client-derived ownership and authorization are never trusted</x:v>
      </x:c>
      <x:c r="L167" s="17" t="str">
        <x:v>追加/版本/快照，不覆盖已生效历史</x:v>
      </x:c>
      <x:c r="M167" s="4" t="str">
        <x:v>M1</x:v>
      </x:c>
      <x:c r="N167" s="4" t="str">
        <x:v>P0-045,P0-066,P0-069,P0-072</x:v>
      </x:c>
      <x:c r="O167" s="4" t="str">
        <x:v>综合方案§13核心数据模型</x:v>
      </x:c>
      <x:c r="P167" s="4" t="str">
        <x:v>FROZEN_M1_000</x:v>
      </x:c>
    </x:row>
    <x:row r="168" ht="23" customHeight="1">
      <x:c r="A168" s="4" t="str">
        <x:v>LoginAudit</x:v>
      </x:c>
      <x:c r="B168" s="4" t="str">
        <x:v>userType</x:v>
      </x:c>
      <x:c r="C168" s="17" t="str">
        <x:v>userType</x:v>
      </x:c>
      <x:c r="D168" s="4" t="str">
        <x:v>2</x:v>
      </x:c>
      <x:c r="E168" s="4" t="str">
        <x:v>Enum&lt;COMPANY_USER|SUPPLIER_USER|UNKNOWN&gt;</x:v>
      </x:c>
      <x:c r="F168" s="4" t="str">
        <x:v>YES</x:v>
      </x:c>
      <x:c r="G168" s="4" t="str">
        <x:v>COMPANY_USER|SUPPLIER_USER|UNKNOWN</x:v>
      </x:c>
      <x:c r="H168" s="17" t="str">
        <x:v>INTERNAL</x:v>
      </x:c>
      <x:c r="I168" s="17" t="str">
        <x:v>按资源权限与数据域访问；公开DTO另行白名单</x:v>
      </x:c>
      <x:c r="J168" s="17" t="str">
        <x:v>数据库实体不得直接序列化为响应</x:v>
      </x:c>
      <x:c r="K168" s="17" t="str">
        <x:v>server validates type, ownership, state and length; client-derived ownership and authorization are never trusted</x:v>
      </x:c>
      <x:c r="L168" s="17" t="str">
        <x:v>追加/版本/快照，不覆盖已生效历史</x:v>
      </x:c>
      <x:c r="M168" s="4" t="str">
        <x:v>M1</x:v>
      </x:c>
      <x:c r="N168" s="4" t="str">
        <x:v>P0-045,P0-066,P0-069,P0-072</x:v>
      </x:c>
      <x:c r="O168" s="4" t="str">
        <x:v>综合方案§13核心数据模型</x:v>
      </x:c>
      <x:c r="P168" s="4" t="str">
        <x:v>FROZEN_M1_000</x:v>
      </x:c>
    </x:row>
    <x:row r="169" ht="23" customHeight="1">
      <x:c r="A169" s="4" t="str">
        <x:v>LoginAudit</x:v>
      </x:c>
      <x:c r="B169" s="4" t="str">
        <x:v>userId</x:v>
      </x:c>
      <x:c r="C169" s="17" t="str">
        <x:v>userId?</x:v>
      </x:c>
      <x:c r="D169" s="4" t="str">
        <x:v>3</x:v>
      </x:c>
      <x:c r="E169" s="4" t="str">
        <x:v>UUID</x:v>
      </x:c>
      <x:c r="F169" s="4" t="str">
        <x:v>NO</x:v>
      </x:c>
      <x:c r="G169" s="4" t="str">
        <x:v>UUID v4 canonical lowercase text</x:v>
      </x:c>
      <x:c r="H169" s="17" t="str">
        <x:v>INTERNAL</x:v>
      </x:c>
      <x:c r="I169" s="17" t="str">
        <x:v>按资源权限与数据域访问；公开DTO另行白名单</x:v>
      </x:c>
      <x:c r="J169" s="17" t="str">
        <x:v>数据库实体不得直接序列化为响应</x:v>
      </x:c>
      <x:c r="K169" s="17" t="str">
        <x:v>server validates type, ownership, state and length; client-derived ownership and authorization are never trusted</x:v>
      </x:c>
      <x:c r="L169" s="17" t="str">
        <x:v>追加/版本/快照，不覆盖已生效历史</x:v>
      </x:c>
      <x:c r="M169" s="4" t="str">
        <x:v>M1</x:v>
      </x:c>
      <x:c r="N169" s="4" t="str">
        <x:v>P0-045,P0-066,P0-069,P0-072</x:v>
      </x:c>
      <x:c r="O169" s="4" t="str">
        <x:v>综合方案§13核心数据模型</x:v>
      </x:c>
      <x:c r="P169" s="4" t="str">
        <x:v>FROZEN_M1_000</x:v>
      </x:c>
    </x:row>
    <x:row r="170" ht="23" customHeight="1">
      <x:c r="A170" s="4" t="str">
        <x:v>LoginAudit</x:v>
      </x:c>
      <x:c r="B170" s="4" t="str">
        <x:v>functionalAccountId</x:v>
      </x:c>
      <x:c r="C170" s="17" t="str">
        <x:v>functionalAccountId?</x:v>
      </x:c>
      <x:c r="D170" s="4" t="str">
        <x:v>4</x:v>
      </x:c>
      <x:c r="E170" s="4" t="str">
        <x:v>UUID</x:v>
      </x:c>
      <x:c r="F170" s="4" t="str">
        <x:v>NO</x:v>
      </x:c>
      <x:c r="G170" s="4" t="str">
        <x:v>UUID v4 canonical lowercase text</x:v>
      </x:c>
      <x:c r="H170" s="17" t="str">
        <x:v>INTERNAL</x:v>
      </x:c>
      <x:c r="I170" s="17" t="str">
        <x:v>按资源权限与数据域访问；公开DTO另行白名单</x:v>
      </x:c>
      <x:c r="J170" s="17" t="str">
        <x:v>数据库实体不得直接序列化为响应</x:v>
      </x:c>
      <x:c r="K170" s="17" t="str">
        <x:v>server validates type, ownership, state and length; client-derived ownership and authorization are never trusted</x:v>
      </x:c>
      <x:c r="L170" s="17" t="str">
        <x:v>追加/版本/快照，不覆盖已生效历史</x:v>
      </x:c>
      <x:c r="M170" s="4" t="str">
        <x:v>M1</x:v>
      </x:c>
      <x:c r="N170" s="4" t="str">
        <x:v>P0-045,P0-066,P0-069,P0-072</x:v>
      </x:c>
      <x:c r="O170" s="4" t="str">
        <x:v>综合方案§13核心数据模型</x:v>
      </x:c>
      <x:c r="P170" s="4" t="str">
        <x:v>FROZEN_M1_000</x:v>
      </x:c>
    </x:row>
    <x:row r="171" ht="23" customHeight="1">
      <x:c r="A171" s="4" t="str">
        <x:v>LoginAudit</x:v>
      </x:c>
      <x:c r="B171" s="4" t="str">
        <x:v>loginAccountHash</x:v>
      </x:c>
      <x:c r="C171" s="17" t="str">
        <x:v>loginAccountHash</x:v>
      </x:c>
      <x:c r="D171" s="4" t="str">
        <x:v>5</x:v>
      </x:c>
      <x:c r="E171" s="4" t="str">
        <x:v>String(64)</x:v>
      </x:c>
      <x:c r="F171" s="4" t="str">
        <x:v>YES</x:v>
      </x:c>
      <x:c r="G171" s="4" t="str">
        <x:v>lowercase SHA-256 hex; 64 chars</x:v>
      </x:c>
      <x:c r="H171" s="17" t="str">
        <x:v>INTERNAL</x:v>
      </x:c>
      <x:c r="I171" s="17" t="str">
        <x:v>按资源权限与数据域访问；公开DTO另行白名单</x:v>
      </x:c>
      <x:c r="J171" s="17" t="str">
        <x:v>数据库实体不得直接序列化为响应</x:v>
      </x:c>
      <x:c r="K171" s="17" t="str">
        <x:v>server validates type, ownership, state and length; client-derived ownership and authorization are never trusted</x:v>
      </x:c>
      <x:c r="L171" s="17" t="str">
        <x:v>追加/版本/快照，不覆盖已生效历史</x:v>
      </x:c>
      <x:c r="M171" s="4" t="str">
        <x:v>M1</x:v>
      </x:c>
      <x:c r="N171" s="4" t="str">
        <x:v>P0-045,P0-066,P0-069,P0-072</x:v>
      </x:c>
      <x:c r="O171" s="4" t="str">
        <x:v>综合方案§13核心数据模型</x:v>
      </x:c>
      <x:c r="P171" s="4" t="str">
        <x:v>FROZEN_M1_000</x:v>
      </x:c>
    </x:row>
    <x:row r="172" ht="23" customHeight="1">
      <x:c r="A172" s="4" t="str">
        <x:v>LoginAudit</x:v>
      </x:c>
      <x:c r="B172" s="4" t="str">
        <x:v>result</x:v>
      </x:c>
      <x:c r="C172" s="17" t="str">
        <x:v>result</x:v>
      </x:c>
      <x:c r="D172" s="4" t="str">
        <x:v>6</x:v>
      </x:c>
      <x:c r="E172" s="4" t="str">
        <x:v>Enum&lt;SUCCESS|AUTH_INVALID|ACCOUNT_SUSPENDED|RATE_LIMITED|SECOND_VERIFICATION_REQUIRED&gt;</x:v>
      </x:c>
      <x:c r="F172" s="4" t="str">
        <x:v>YES</x:v>
      </x:c>
      <x:c r="G172" s="4" t="str">
        <x:v>SUCCESS|AUTH_INVALID|ACCOUNT_SUSPENDED|RATE_LIMITED|SECOND_VERIFICATION_REQUIRED</x:v>
      </x:c>
      <x:c r="H172" s="17" t="str">
        <x:v>INTERNAL</x:v>
      </x:c>
      <x:c r="I172" s="17" t="str">
        <x:v>按资源权限与数据域访问；公开DTO另行白名单</x:v>
      </x:c>
      <x:c r="J172" s="17" t="str">
        <x:v>数据库实体不得直接序列化为响应</x:v>
      </x:c>
      <x:c r="K172" s="17" t="str">
        <x:v>server validates type, ownership, state and length; client-derived ownership and authorization are never trusted</x:v>
      </x:c>
      <x:c r="L172" s="17" t="str">
        <x:v>追加/版本/快照，不覆盖已生效历史</x:v>
      </x:c>
      <x:c r="M172" s="4" t="str">
        <x:v>M1</x:v>
      </x:c>
      <x:c r="N172" s="4" t="str">
        <x:v>P0-045,P0-066,P0-069,P0-072</x:v>
      </x:c>
      <x:c r="O172" s="4" t="str">
        <x:v>综合方案§13核心数据模型</x:v>
      </x:c>
      <x:c r="P172" s="4" t="str">
        <x:v>FROZEN_M1_000</x:v>
      </x:c>
    </x:row>
    <x:row r="173" ht="23" customHeight="1">
      <x:c r="A173" s="4" t="str">
        <x:v>LoginAudit</x:v>
      </x:c>
      <x:c r="B173" s="4" t="str">
        <x:v>riskReason</x:v>
      </x:c>
      <x:c r="C173" s="17" t="str">
        <x:v>riskReason</x:v>
      </x:c>
      <x:c r="D173" s="4" t="str">
        <x:v>7</x:v>
      </x:c>
      <x:c r="E173" s="4" t="str">
        <x:v>String</x:v>
      </x:c>
      <x:c r="F173" s="4" t="str">
        <x:v>YES</x:v>
      </x:c>
      <x:c r="G173" s="4" t="str">
        <x:v>UTF-8; 1..128 chars unless a narrower rule applies</x:v>
      </x:c>
      <x:c r="H173" s="17" t="str">
        <x:v>INTERNAL</x:v>
      </x:c>
      <x:c r="I173" s="17" t="str">
        <x:v>按资源权限与数据域访问；公开DTO另行白名单</x:v>
      </x:c>
      <x:c r="J173" s="17" t="str">
        <x:v>数据库实体不得直接序列化为响应</x:v>
      </x:c>
      <x:c r="K173" s="17" t="str">
        <x:v>server validates type, ownership, state and length; client-derived ownership and authorization are never trusted</x:v>
      </x:c>
      <x:c r="L173" s="17" t="str">
        <x:v>追加/版本/快照，不覆盖已生效历史</x:v>
      </x:c>
      <x:c r="M173" s="4" t="str">
        <x:v>M1</x:v>
      </x:c>
      <x:c r="N173" s="4" t="str">
        <x:v>P0-045,P0-066,P0-069,P0-072</x:v>
      </x:c>
      <x:c r="O173" s="4" t="str">
        <x:v>综合方案§13核心数据模型</x:v>
      </x:c>
      <x:c r="P173" s="4" t="str">
        <x:v>FROZEN_M1_000</x:v>
      </x:c>
    </x:row>
    <x:row r="174" ht="23" customHeight="1">
      <x:c r="A174" s="4" t="str">
        <x:v>LoginAudit</x:v>
      </x:c>
      <x:c r="B174" s="4" t="str">
        <x:v>deviceInfo</x:v>
      </x:c>
      <x:c r="C174" s="17" t="str">
        <x:v>deviceInfo</x:v>
      </x:c>
      <x:c r="D174" s="4" t="str">
        <x:v>8</x:v>
      </x:c>
      <x:c r="E174" s="4" t="str">
        <x:v>Json</x:v>
      </x:c>
      <x:c r="F174" s="4" t="str">
        <x:v>YES</x:v>
      </x:c>
      <x:c r="G174" s="4" t="str">
        <x:v>LoginAuditDeviceInfoSchemaV1</x:v>
      </x:c>
      <x:c r="H174" s="17" t="str">
        <x:v>INTERNAL</x:v>
      </x:c>
      <x:c r="I174" s="17" t="str">
        <x:v>按资源权限与数据域访问；公开DTO另行白名单</x:v>
      </x:c>
      <x:c r="J174" s="17" t="str">
        <x:v>数据库实体不得直接序列化为响应</x:v>
      </x:c>
      <x:c r="K174" s="17" t="str">
        <x:v>server validates type, ownership, state and length; client-derived ownership and authorization are never trusted</x:v>
      </x:c>
      <x:c r="L174" s="17" t="str">
        <x:v>追加/版本/快照，不覆盖已生效历史</x:v>
      </x:c>
      <x:c r="M174" s="4" t="str">
        <x:v>M1</x:v>
      </x:c>
      <x:c r="N174" s="4" t="str">
        <x:v>P0-045,P0-066,P0-069,P0-072</x:v>
      </x:c>
      <x:c r="O174" s="4" t="str">
        <x:v>综合方案§13核心数据模型</x:v>
      </x:c>
      <x:c r="P174" s="4" t="str">
        <x:v>FROZEN_M1_000</x:v>
      </x:c>
    </x:row>
    <x:row r="175" ht="23" customHeight="1">
      <x:c r="A175" s="4" t="str">
        <x:v>LoginAudit</x:v>
      </x:c>
      <x:c r="B175" s="4" t="str">
        <x:v>ip</x:v>
      </x:c>
      <x:c r="C175" s="17" t="str">
        <x:v>ip</x:v>
      </x:c>
      <x:c r="D175" s="4" t="str">
        <x:v>9</x:v>
      </x:c>
      <x:c r="E175" s="4" t="str">
        <x:v>String</x:v>
      </x:c>
      <x:c r="F175" s="4" t="str">
        <x:v>YES</x:v>
      </x:c>
      <x:c r="G175" s="4" t="str">
        <x:v>IPv4 or IPv6 text; max 45 chars</x:v>
      </x:c>
      <x:c r="H175" s="17" t="str">
        <x:v>PERSONAL_OR_SENSITIVE</x:v>
      </x:c>
      <x:c r="I175" s="17" t="str">
        <x:v>按角色、对象归属及配送阶段脱敏/解密</x:v>
      </x:c>
      <x:c r="J175" s="17" t="str">
        <x:v>禁止跨供应商、越阶段或批量无审批导出</x:v>
      </x:c>
      <x:c r="K175" s="17" t="str">
        <x:v>server validates type, ownership, state and length; client-derived ownership and authorization are never trusted</x:v>
      </x:c>
      <x:c r="L175" s="17" t="str">
        <x:v>追加/版本/快照，不覆盖已生效历史</x:v>
      </x:c>
      <x:c r="M175" s="4" t="str">
        <x:v>M1</x:v>
      </x:c>
      <x:c r="N175" s="4" t="str">
        <x:v>P0-045,P0-066,P0-069,P0-072</x:v>
      </x:c>
      <x:c r="O175" s="4" t="str">
        <x:v>综合方案§13核心数据模型</x:v>
      </x:c>
      <x:c r="P175" s="4" t="str">
        <x:v>FROZEN_M1_000</x:v>
      </x:c>
    </x:row>
    <x:row r="176" ht="23" customHeight="1">
      <x:c r="A176" s="4" t="str">
        <x:v>LoginAudit</x:v>
      </x:c>
      <x:c r="B176" s="4" t="str">
        <x:v>occurredAt</x:v>
      </x:c>
      <x:c r="C176" s="17" t="str">
        <x:v>occurredAt</x:v>
      </x:c>
      <x:c r="D176" s="4" t="str">
        <x:v>10</x:v>
      </x:c>
      <x:c r="E176" s="4" t="str">
        <x:v>DateTime</x:v>
      </x:c>
      <x:c r="F176" s="4" t="str">
        <x:v>YES</x:v>
      </x:c>
      <x:c r="G176" s="4" t="str">
        <x:v>ISO-8601 UTC timestamp</x:v>
      </x:c>
      <x:c r="H176" s="17" t="str">
        <x:v>INTERNAL</x:v>
      </x:c>
      <x:c r="I176" s="17" t="str">
        <x:v>按资源权限与数据域访问；公开DTO另行白名单</x:v>
      </x:c>
      <x:c r="J176" s="17" t="str">
        <x:v>数据库实体不得直接序列化为响应</x:v>
      </x:c>
      <x:c r="K176" s="17" t="str">
        <x:v>server validates type, ownership, state and length; client-derived ownership and authorization are never trusted</x:v>
      </x:c>
      <x:c r="L176" s="17" t="str">
        <x:v>追加/版本/快照，不覆盖已生效历史</x:v>
      </x:c>
      <x:c r="M176" s="4" t="str">
        <x:v>M1</x:v>
      </x:c>
      <x:c r="N176" s="4" t="str">
        <x:v>P0-045,P0-066,P0-069,P0-072</x:v>
      </x:c>
      <x:c r="O176" s="4" t="str">
        <x:v>综合方案§13核心数据模型</x:v>
      </x:c>
      <x:c r="P176" s="4" t="str">
        <x:v>FROZEN_M1_000</x:v>
      </x:c>
    </x:row>
    <x:row r="177" ht="23" customHeight="1">
      <x:c r="A177" s="4" t="str">
        <x:v>EnterpriseCustomer</x:v>
      </x:c>
      <x:c r="B177" s="4" t="str">
        <x:v>id</x:v>
      </x:c>
      <x:c r="C177" s="17" t="str">
        <x:v>id</x:v>
      </x:c>
      <x:c r="D177" s="4" t="str">
        <x:v>1</x:v>
      </x:c>
      <x:c r="E177" s="4" t="str">
        <x:v>String/UUID</x:v>
      </x:c>
      <x:c r="F177" s="4" t="str">
        <x:v>YES</x:v>
      </x:c>
      <x:c r="G177" s="4" t="str">
        <x:v>待M阶段冻结</x:v>
      </x:c>
      <x:c r="H177" s="17" t="str">
        <x:v>INTERNAL</x:v>
      </x:c>
      <x:c r="I177" s="17" t="str">
        <x:v>按资源权限与数据域访问；公开DTO另行白名单</x:v>
      </x:c>
      <x:c r="J177" s="17" t="str">
        <x:v>数据库实体不得直接序列化为响应</x:v>
      </x:c>
      <x:c r="K177" s="17" t="str">
        <x:v>DTO白名单；长度/枚举/归属/状态校验；禁止信任客户端派生值</x:v>
      </x:c>
      <x:c r="L177" s="17" t="str">
        <x:v>按实体version或审计日志保留变更证据</x:v>
      </x:c>
      <x:c r="M177" s="4" t="str">
        <x:v>M3</x:v>
      </x:c>
      <x:c r="N177" s="4" t="str">
        <x:v>P0-028,P0-077</x:v>
      </x:c>
      <x:c r="O177" s="4" t="str">
        <x:v>综合方案§13核心数据模型</x:v>
      </x:c>
      <x:c r="P177" s="4" t="str">
        <x:v>DRAFT_FROM_SCHEME</x:v>
      </x:c>
    </x:row>
    <x:row r="178" ht="23" customHeight="1">
      <x:c r="A178" s="4" t="str">
        <x:v>EnterpriseCustomer</x:v>
      </x:c>
      <x:c r="B178" s="4" t="str">
        <x:v>companyId</x:v>
      </x:c>
      <x:c r="C178" s="17" t="str">
        <x:v>companyId</x:v>
      </x:c>
      <x:c r="D178" s="4" t="str">
        <x:v>2</x:v>
      </x:c>
      <x:c r="E178" s="4" t="str">
        <x:v>String/UUID</x:v>
      </x:c>
      <x:c r="F178" s="4" t="str">
        <x:v>YES</x:v>
      </x:c>
      <x:c r="G178" s="4" t="str">
        <x:v>待M阶段冻结</x:v>
      </x:c>
      <x:c r="H178" s="17" t="str">
        <x:v>INTERNAL</x:v>
      </x:c>
      <x:c r="I178" s="17" t="str">
        <x:v>按资源权限与数据域访问；公开DTO另行白名单</x:v>
      </x:c>
      <x:c r="J178" s="17" t="str">
        <x:v>数据库实体不得直接序列化为响应</x:v>
      </x:c>
      <x:c r="K178" s="17" t="str">
        <x:v>DTO白名单；长度/枚举/归属/状态校验；禁止信任客户端派生值</x:v>
      </x:c>
      <x:c r="L178" s="17" t="str">
        <x:v>按实体version或审计日志保留变更证据</x:v>
      </x:c>
      <x:c r="M178" s="4" t="str">
        <x:v>M3</x:v>
      </x:c>
      <x:c r="N178" s="4" t="str">
        <x:v>P0-028,P0-077</x:v>
      </x:c>
      <x:c r="O178" s="4" t="str">
        <x:v>综合方案§13核心数据模型</x:v>
      </x:c>
      <x:c r="P178" s="4" t="str">
        <x:v>DRAFT_FROM_SCHEME</x:v>
      </x:c>
    </x:row>
    <x:row r="179" ht="23" customHeight="1">
      <x:c r="A179" s="4" t="str">
        <x:v>EnterpriseCustomer</x:v>
      </x:c>
      <x:c r="B179" s="4" t="str">
        <x:v>legalName</x:v>
      </x:c>
      <x:c r="C179" s="17" t="str">
        <x:v>legalName</x:v>
      </x:c>
      <x:c r="D179" s="4" t="str">
        <x:v>3</x:v>
      </x:c>
      <x:c r="E179" s="4" t="str">
        <x:v>String</x:v>
      </x:c>
      <x:c r="F179" s="4" t="str">
        <x:v>YES</x:v>
      </x:c>
      <x:c r="G179" s="4" t="str">
        <x:v>待M阶段冻结</x:v>
      </x:c>
      <x:c r="H179" s="17" t="str">
        <x:v>INTERNAL</x:v>
      </x:c>
      <x:c r="I179" s="17" t="str">
        <x:v>按资源权限与数据域访问；公开DTO另行白名单</x:v>
      </x:c>
      <x:c r="J179" s="17" t="str">
        <x:v>数据库实体不得直接序列化为响应</x:v>
      </x:c>
      <x:c r="K179" s="17" t="str">
        <x:v>DTO白名单；长度/枚举/归属/状态校验；禁止信任客户端派生值</x:v>
      </x:c>
      <x:c r="L179" s="17" t="str">
        <x:v>按实体version或审计日志保留变更证据</x:v>
      </x:c>
      <x:c r="M179" s="4" t="str">
        <x:v>M3</x:v>
      </x:c>
      <x:c r="N179" s="4" t="str">
        <x:v>P0-028,P0-077</x:v>
      </x:c>
      <x:c r="O179" s="4" t="str">
        <x:v>综合方案§13核心数据模型</x:v>
      </x:c>
      <x:c r="P179" s="4" t="str">
        <x:v>DRAFT_FROM_SCHEME</x:v>
      </x:c>
    </x:row>
    <x:row r="180" ht="23" customHeight="1">
      <x:c r="A180" s="4" t="str">
        <x:v>EnterpriseCustomer</x:v>
      </x:c>
      <x:c r="B180" s="4" t="str">
        <x:v>creditCode</x:v>
      </x:c>
      <x:c r="C180" s="17" t="str">
        <x:v>creditCode</x:v>
      </x:c>
      <x:c r="D180" s="4" t="str">
        <x:v>4</x:v>
      </x:c>
      <x:c r="E180" s="4" t="str">
        <x:v>String</x:v>
      </x:c>
      <x:c r="F180" s="4" t="str">
        <x:v>YES</x:v>
      </x:c>
      <x:c r="G180" s="4" t="str">
        <x:v>待M阶段冻结</x:v>
      </x:c>
      <x:c r="H180" s="17" t="str">
        <x:v>INTERNAL</x:v>
      </x:c>
      <x:c r="I180" s="17" t="str">
        <x:v>按资源权限与数据域访问；公开DTO另行白名单</x:v>
      </x:c>
      <x:c r="J180" s="17" t="str">
        <x:v>数据库实体不得直接序列化为响应</x:v>
      </x:c>
      <x:c r="K180" s="17" t="str">
        <x:v>DTO白名单；长度/枚举/归属/状态校验；禁止信任客户端派生值</x:v>
      </x:c>
      <x:c r="L180" s="17" t="str">
        <x:v>按实体version或审计日志保留变更证据</x:v>
      </x:c>
      <x:c r="M180" s="4" t="str">
        <x:v>M3</x:v>
      </x:c>
      <x:c r="N180" s="4" t="str">
        <x:v>P0-028,P0-077</x:v>
      </x:c>
      <x:c r="O180" s="4" t="str">
        <x:v>综合方案§13核心数据模型</x:v>
      </x:c>
      <x:c r="P180" s="4" t="str">
        <x:v>DRAFT_FROM_SCHEME</x:v>
      </x:c>
    </x:row>
    <x:row r="181" ht="23" customHeight="1">
      <x:c r="A181" s="4" t="str">
        <x:v>EnterpriseCustomer</x:v>
      </x:c>
      <x:c r="B181" s="4" t="str">
        <x:v>contactName</x:v>
      </x:c>
      <x:c r="C181" s="17" t="str">
        <x:v>contactName</x:v>
      </x:c>
      <x:c r="D181" s="4" t="str">
        <x:v>5</x:v>
      </x:c>
      <x:c r="E181" s="4" t="str">
        <x:v>String</x:v>
      </x:c>
      <x:c r="F181" s="4" t="str">
        <x:v>YES</x:v>
      </x:c>
      <x:c r="G181" s="4" t="str">
        <x:v>待M阶段冻结</x:v>
      </x:c>
      <x:c r="H181" s="17" t="str">
        <x:v>PERSONAL_OR_SENSITIVE</x:v>
      </x:c>
      <x:c r="I181" s="17" t="str">
        <x:v>按角色、对象归属及配送阶段脱敏/解密</x:v>
      </x:c>
      <x:c r="J181" s="17" t="str">
        <x:v>禁止跨供应商、越阶段或批量无审批导出</x:v>
      </x:c>
      <x:c r="K181" s="17" t="str">
        <x:v>DTO白名单；长度/枚举/归属/状态校验；禁止信任客户端派生值</x:v>
      </x:c>
      <x:c r="L181" s="17" t="str">
        <x:v>按实体version或审计日志保留变更证据</x:v>
      </x:c>
      <x:c r="M181" s="4" t="str">
        <x:v>M3</x:v>
      </x:c>
      <x:c r="N181" s="4" t="str">
        <x:v>P0-028,P0-077</x:v>
      </x:c>
      <x:c r="O181" s="4" t="str">
        <x:v>综合方案§13核心数据模型</x:v>
      </x:c>
      <x:c r="P181" s="4" t="str">
        <x:v>DRAFT_FROM_SCHEME</x:v>
      </x:c>
    </x:row>
    <x:row r="182" ht="23" customHeight="1">
      <x:c r="A182" s="4" t="str">
        <x:v>EnterpriseCustomer</x:v>
      </x:c>
      <x:c r="B182" s="4" t="str">
        <x:v>contactMobile</x:v>
      </x:c>
      <x:c r="C182" s="17" t="str">
        <x:v>contactMobile</x:v>
      </x:c>
      <x:c r="D182" s="4" t="str">
        <x:v>6</x:v>
      </x:c>
      <x:c r="E182" s="4" t="str">
        <x:v>String</x:v>
      </x:c>
      <x:c r="F182" s="4" t="str">
        <x:v>YES</x:v>
      </x:c>
      <x:c r="G182" s="4" t="str">
        <x:v>待M阶段冻结</x:v>
      </x:c>
      <x:c r="H182" s="17" t="str">
        <x:v>PERSONAL_OR_SENSITIVE</x:v>
      </x:c>
      <x:c r="I182" s="17" t="str">
        <x:v>按角色、对象归属及配送阶段脱敏/解密</x:v>
      </x:c>
      <x:c r="J182" s="17" t="str">
        <x:v>禁止跨供应商、越阶段或批量无审批导出</x:v>
      </x:c>
      <x:c r="K182" s="17" t="str">
        <x:v>DTO白名单；长度/枚举/归属/状态校验；禁止信任客户端派生值</x:v>
      </x:c>
      <x:c r="L182" s="17" t="str">
        <x:v>按实体version或审计日志保留变更证据</x:v>
      </x:c>
      <x:c r="M182" s="4" t="str">
        <x:v>M3</x:v>
      </x:c>
      <x:c r="N182" s="4" t="str">
        <x:v>P0-028,P0-077</x:v>
      </x:c>
      <x:c r="O182" s="4" t="str">
        <x:v>综合方案§13核心数据模型</x:v>
      </x:c>
      <x:c r="P182" s="4" t="str">
        <x:v>DRAFT_FROM_SCHEME</x:v>
      </x:c>
    </x:row>
    <x:row r="183" ht="23" customHeight="1">
      <x:c r="A183" s="4" t="str">
        <x:v>EnterpriseCustomer</x:v>
      </x:c>
      <x:c r="B183" s="4" t="str">
        <x:v>agreementStatus</x:v>
      </x:c>
      <x:c r="C183" s="17" t="str">
        <x:v>agreementStatus</x:v>
      </x:c>
      <x:c r="D183" s="4" t="str">
        <x:v>7</x:v>
      </x:c>
      <x:c r="E183" s="4" t="str">
        <x:v>Enum/String</x:v>
      </x:c>
      <x:c r="F183" s="4" t="str">
        <x:v>YES</x:v>
      </x:c>
      <x:c r="G183" s="4" t="str">
        <x:v>待M阶段冻结</x:v>
      </x:c>
      <x:c r="H183" s="17" t="str">
        <x:v>INTERNAL</x:v>
      </x:c>
      <x:c r="I183" s="17" t="str">
        <x:v>按资源权限与数据域访问；公开DTO另行白名单</x:v>
      </x:c>
      <x:c r="J183" s="17" t="str">
        <x:v>数据库实体不得直接序列化为响应</x:v>
      </x:c>
      <x:c r="K183" s="17" t="str">
        <x:v>DTO白名单；长度/枚举/归属/状态校验；禁止信任客户端派生值</x:v>
      </x:c>
      <x:c r="L183" s="17" t="str">
        <x:v>按实体version或审计日志保留变更证据</x:v>
      </x:c>
      <x:c r="M183" s="4" t="str">
        <x:v>M3</x:v>
      </x:c>
      <x:c r="N183" s="4" t="str">
        <x:v>P0-028,P0-077</x:v>
      </x:c>
      <x:c r="O183" s="4" t="str">
        <x:v>综合方案§13核心数据模型</x:v>
      </x:c>
      <x:c r="P183" s="4" t="str">
        <x:v>DRAFT_FROM_SCHEME</x:v>
      </x:c>
    </x:row>
    <x:row r="184" ht="23" customHeight="1">
      <x:c r="A184" s="4" t="str">
        <x:v>EnterpriseCustomer</x:v>
      </x:c>
      <x:c r="B184" s="4" t="str">
        <x:v>status</x:v>
      </x:c>
      <x:c r="C184" s="17" t="str">
        <x:v>status</x:v>
      </x:c>
      <x:c r="D184" s="4" t="str">
        <x:v>8</x:v>
      </x:c>
      <x:c r="E184" s="4" t="str">
        <x:v>Enum/String</x:v>
      </x:c>
      <x:c r="F184" s="4" t="str">
        <x:v>YES</x:v>
      </x:c>
      <x:c r="G184" s="4" t="str">
        <x:v>待M阶段冻结</x:v>
      </x:c>
      <x:c r="H184" s="17" t="str">
        <x:v>INTERNAL</x:v>
      </x:c>
      <x:c r="I184" s="17" t="str">
        <x:v>按资源权限与数据域访问；公开DTO另行白名单</x:v>
      </x:c>
      <x:c r="J184" s="17" t="str">
        <x:v>数据库实体不得直接序列化为响应</x:v>
      </x:c>
      <x:c r="K184" s="17" t="str">
        <x:v>DTO白名单；长度/枚举/归属/状态校验；禁止信任客户端派生值</x:v>
      </x:c>
      <x:c r="L184" s="17" t="str">
        <x:v>按实体version或审计日志保留变更证据</x:v>
      </x:c>
      <x:c r="M184" s="4" t="str">
        <x:v>M3</x:v>
      </x:c>
      <x:c r="N184" s="4" t="str">
        <x:v>P0-028,P0-077</x:v>
      </x:c>
      <x:c r="O184" s="4" t="str">
        <x:v>综合方案§13核心数据模型</x:v>
      </x:c>
      <x:c r="P184" s="4" t="str">
        <x:v>DRAFT_FROM_SCHEME</x:v>
      </x:c>
    </x:row>
    <x:row r="185" ht="23" customHeight="1">
      <x:c r="A185" s="4" t="str">
        <x:v>EnterpriseUser</x:v>
      </x:c>
      <x:c r="B185" s="4" t="str">
        <x:v>id</x:v>
      </x:c>
      <x:c r="C185" s="17" t="str">
        <x:v>id</x:v>
      </x:c>
      <x:c r="D185" s="4" t="str">
        <x:v>1</x:v>
      </x:c>
      <x:c r="E185" s="4" t="str">
        <x:v>String/UUID</x:v>
      </x:c>
      <x:c r="F185" s="4" t="str">
        <x:v>YES</x:v>
      </x:c>
      <x:c r="G185" s="4" t="str">
        <x:v>待M阶段冻结</x:v>
      </x:c>
      <x:c r="H185" s="17" t="str">
        <x:v>INTERNAL</x:v>
      </x:c>
      <x:c r="I185" s="17" t="str">
        <x:v>按资源权限与数据域访问；公开DTO另行白名单</x:v>
      </x:c>
      <x:c r="J185" s="17" t="str">
        <x:v>数据库实体不得直接序列化为响应</x:v>
      </x:c>
      <x:c r="K185" s="17" t="str">
        <x:v>DTO白名单；长度/枚举/归属/状态校验；禁止信任客户端派生值</x:v>
      </x:c>
      <x:c r="L185" s="17" t="str">
        <x:v>按实体version或审计日志保留变更证据</x:v>
      </x:c>
      <x:c r="M185" s="4" t="str">
        <x:v>M3</x:v>
      </x:c>
      <x:c r="N185" s="4" t="str">
        <x:v>待切片细化</x:v>
      </x:c>
      <x:c r="O185" s="4" t="str">
        <x:v>综合方案§13核心数据模型</x:v>
      </x:c>
      <x:c r="P185" s="4" t="str">
        <x:v>DRAFT_FROM_SCHEME</x:v>
      </x:c>
    </x:row>
    <x:row r="186" ht="23" customHeight="1">
      <x:c r="A186" s="4" t="str">
        <x:v>EnterpriseUser</x:v>
      </x:c>
      <x:c r="B186" s="4" t="str">
        <x:v>enterpriseCustomerId</x:v>
      </x:c>
      <x:c r="C186" s="17" t="str">
        <x:v>enterpriseCustomerId</x:v>
      </x:c>
      <x:c r="D186" s="4" t="str">
        <x:v>2</x:v>
      </x:c>
      <x:c r="E186" s="4" t="str">
        <x:v>String/UUID</x:v>
      </x:c>
      <x:c r="F186" s="4" t="str">
        <x:v>YES</x:v>
      </x:c>
      <x:c r="G186" s="4" t="str">
        <x:v>待M阶段冻结</x:v>
      </x:c>
      <x:c r="H186" s="17" t="str">
        <x:v>INTERNAL</x:v>
      </x:c>
      <x:c r="I186" s="17" t="str">
        <x:v>按资源权限与数据域访问；公开DTO另行白名单</x:v>
      </x:c>
      <x:c r="J186" s="17" t="str">
        <x:v>数据库实体不得直接序列化为响应</x:v>
      </x:c>
      <x:c r="K186" s="17" t="str">
        <x:v>DTO白名单；长度/枚举/归属/状态校验；禁止信任客户端派生值</x:v>
      </x:c>
      <x:c r="L186" s="17" t="str">
        <x:v>按实体version或审计日志保留变更证据</x:v>
      </x:c>
      <x:c r="M186" s="4" t="str">
        <x:v>M3</x:v>
      </x:c>
      <x:c r="N186" s="4" t="str">
        <x:v>待切片细化</x:v>
      </x:c>
      <x:c r="O186" s="4" t="str">
        <x:v>综合方案§13核心数据模型</x:v>
      </x:c>
      <x:c r="P186" s="4" t="str">
        <x:v>DRAFT_FROM_SCHEME</x:v>
      </x:c>
    </x:row>
    <x:row r="187" ht="23" customHeight="1">
      <x:c r="A187" s="4" t="str">
        <x:v>EnterpriseUser</x:v>
      </x:c>
      <x:c r="B187" s="4" t="str">
        <x:v>role</x:v>
      </x:c>
      <x:c r="C187" s="17" t="str">
        <x:v>role</x:v>
      </x:c>
      <x:c r="D187" s="4" t="str">
        <x:v>3</x:v>
      </x:c>
      <x:c r="E187" s="4" t="str">
        <x:v>Enum/String</x:v>
      </x:c>
      <x:c r="F187" s="4" t="str">
        <x:v>YES</x:v>
      </x:c>
      <x:c r="G187" s="4" t="str">
        <x:v>待M阶段冻结</x:v>
      </x:c>
      <x:c r="H187" s="17" t="str">
        <x:v>INTERNAL</x:v>
      </x:c>
      <x:c r="I187" s="17" t="str">
        <x:v>按资源权限与数据域访问；公开DTO另行白名单</x:v>
      </x:c>
      <x:c r="J187" s="17" t="str">
        <x:v>数据库实体不得直接序列化为响应</x:v>
      </x:c>
      <x:c r="K187" s="17" t="str">
        <x:v>DTO白名单；长度/枚举/归属/状态校验；禁止信任客户端派生值</x:v>
      </x:c>
      <x:c r="L187" s="17" t="str">
        <x:v>按实体version或审计日志保留变更证据</x:v>
      </x:c>
      <x:c r="M187" s="4" t="str">
        <x:v>M3</x:v>
      </x:c>
      <x:c r="N187" s="4" t="str">
        <x:v>待切片细化</x:v>
      </x:c>
      <x:c r="O187" s="4" t="str">
        <x:v>综合方案§13核心数据模型</x:v>
      </x:c>
      <x:c r="P187" s="4" t="str">
        <x:v>DRAFT_FROM_SCHEME</x:v>
      </x:c>
    </x:row>
    <x:row r="188" ht="23" customHeight="1">
      <x:c r="A188" s="4" t="str">
        <x:v>EnterpriseUser</x:v>
      </x:c>
      <x:c r="B188" s="4" t="str">
        <x:v>mobile</x:v>
      </x:c>
      <x:c r="C188" s="17" t="str">
        <x:v>mobile</x:v>
      </x:c>
      <x:c r="D188" s="4" t="str">
        <x:v>4</x:v>
      </x:c>
      <x:c r="E188" s="4" t="str">
        <x:v>String</x:v>
      </x:c>
      <x:c r="F188" s="4" t="str">
        <x:v>YES</x:v>
      </x:c>
      <x:c r="G188" s="4" t="str">
        <x:v>待M阶段冻结</x:v>
      </x:c>
      <x:c r="H188" s="17" t="str">
        <x:v>PERSONAL_OR_SENSITIVE</x:v>
      </x:c>
      <x:c r="I188" s="17" t="str">
        <x:v>按角色、对象归属及配送阶段脱敏/解密</x:v>
      </x:c>
      <x:c r="J188" s="17" t="str">
        <x:v>禁止跨供应商、越阶段或批量无审批导出</x:v>
      </x:c>
      <x:c r="K188" s="17" t="str">
        <x:v>DTO白名单；长度/枚举/归属/状态校验；禁止信任客户端派生值</x:v>
      </x:c>
      <x:c r="L188" s="17" t="str">
        <x:v>按实体version或审计日志保留变更证据</x:v>
      </x:c>
      <x:c r="M188" s="4" t="str">
        <x:v>M3</x:v>
      </x:c>
      <x:c r="N188" s="4" t="str">
        <x:v>待切片细化</x:v>
      </x:c>
      <x:c r="O188" s="4" t="str">
        <x:v>综合方案§13核心数据模型</x:v>
      </x:c>
      <x:c r="P188" s="4" t="str">
        <x:v>DRAFT_FROM_SCHEME</x:v>
      </x:c>
    </x:row>
    <x:row r="189" ht="23" customHeight="1">
      <x:c r="A189" s="4" t="str">
        <x:v>EnterpriseUser</x:v>
      </x:c>
      <x:c r="B189" s="4" t="str">
        <x:v>email</x:v>
      </x:c>
      <x:c r="C189" s="17" t="str">
        <x:v>email</x:v>
      </x:c>
      <x:c r="D189" s="4" t="str">
        <x:v>5</x:v>
      </x:c>
      <x:c r="E189" s="4" t="str">
        <x:v>String</x:v>
      </x:c>
      <x:c r="F189" s="4" t="str">
        <x:v>YES</x:v>
      </x:c>
      <x:c r="G189" s="4" t="str">
        <x:v>待M阶段冻结</x:v>
      </x:c>
      <x:c r="H189" s="17" t="str">
        <x:v>PERSONAL_OR_SENSITIVE</x:v>
      </x:c>
      <x:c r="I189" s="17" t="str">
        <x:v>按角色、对象归属及配送阶段脱敏/解密</x:v>
      </x:c>
      <x:c r="J189" s="17" t="str">
        <x:v>禁止跨供应商、越阶段或批量无审批导出</x:v>
      </x:c>
      <x:c r="K189" s="17" t="str">
        <x:v>DTO白名单；长度/枚举/归属/状态校验；禁止信任客户端派生值</x:v>
      </x:c>
      <x:c r="L189" s="17" t="str">
        <x:v>按实体version或审计日志保留变更证据</x:v>
      </x:c>
      <x:c r="M189" s="4" t="str">
        <x:v>M3</x:v>
      </x:c>
      <x:c r="N189" s="4" t="str">
        <x:v>待切片细化</x:v>
      </x:c>
      <x:c r="O189" s="4" t="str">
        <x:v>综合方案§13核心数据模型</x:v>
      </x:c>
      <x:c r="P189" s="4" t="str">
        <x:v>DRAFT_FROM_SCHEME</x:v>
      </x:c>
    </x:row>
    <x:row r="190" ht="23" customHeight="1">
      <x:c r="A190" s="4" t="str">
        <x:v>EnterpriseUser</x:v>
      </x:c>
      <x:c r="B190" s="4" t="str">
        <x:v>status</x:v>
      </x:c>
      <x:c r="C190" s="17" t="str">
        <x:v>status</x:v>
      </x:c>
      <x:c r="D190" s="4" t="str">
        <x:v>6</x:v>
      </x:c>
      <x:c r="E190" s="4" t="str">
        <x:v>Enum/String</x:v>
      </x:c>
      <x:c r="F190" s="4" t="str">
        <x:v>YES</x:v>
      </x:c>
      <x:c r="G190" s="4" t="str">
        <x:v>待M阶段冻结</x:v>
      </x:c>
      <x:c r="H190" s="17" t="str">
        <x:v>INTERNAL</x:v>
      </x:c>
      <x:c r="I190" s="17" t="str">
        <x:v>按资源权限与数据域访问；公开DTO另行白名单</x:v>
      </x:c>
      <x:c r="J190" s="17" t="str">
        <x:v>数据库实体不得直接序列化为响应</x:v>
      </x:c>
      <x:c r="K190" s="17" t="str">
        <x:v>DTO白名单；长度/枚举/归属/状态校验；禁止信任客户端派生值</x:v>
      </x:c>
      <x:c r="L190" s="17" t="str">
        <x:v>按实体version或审计日志保留变更证据</x:v>
      </x:c>
      <x:c r="M190" s="4" t="str">
        <x:v>M3</x:v>
      </x:c>
      <x:c r="N190" s="4" t="str">
        <x:v>待切片细化</x:v>
      </x:c>
      <x:c r="O190" s="4" t="str">
        <x:v>综合方案§13核心数据模型</x:v>
      </x:c>
      <x:c r="P190" s="4" t="str">
        <x:v>DRAFT_FROM_SCHEME</x:v>
      </x:c>
    </x:row>
    <x:row r="191" ht="23" customHeight="1">
      <x:c r="A191" s="4" t="str">
        <x:v>EnterpriseAddress</x:v>
      </x:c>
      <x:c r="B191" s="4" t="str">
        <x:v>id</x:v>
      </x:c>
      <x:c r="C191" s="17" t="str">
        <x:v>id</x:v>
      </x:c>
      <x:c r="D191" s="4" t="str">
        <x:v>1</x:v>
      </x:c>
      <x:c r="E191" s="4" t="str">
        <x:v>String/UUID</x:v>
      </x:c>
      <x:c r="F191" s="4" t="str">
        <x:v>YES</x:v>
      </x:c>
      <x:c r="G191" s="4" t="str">
        <x:v>待M阶段冻结</x:v>
      </x:c>
      <x:c r="H191" s="17" t="str">
        <x:v>PERSONAL_OR_SENSITIVE</x:v>
      </x:c>
      <x:c r="I191" s="17" t="str">
        <x:v>按角色、对象归属及配送阶段脱敏/解密</x:v>
      </x:c>
      <x:c r="J191" s="17" t="str">
        <x:v>禁止跨供应商、越阶段或批量无审批导出</x:v>
      </x:c>
      <x:c r="K191" s="17" t="str">
        <x:v>DTO白名单；长度/枚举/归属/状态校验；禁止信任客户端派生值</x:v>
      </x:c>
      <x:c r="L191" s="17" t="str">
        <x:v>按实体version或审计日志保留变更证据</x:v>
      </x:c>
      <x:c r="M191" s="4" t="str">
        <x:v>M3</x:v>
      </x:c>
      <x:c r="N191" s="4" t="str">
        <x:v>待切片细化</x:v>
      </x:c>
      <x:c r="O191" s="4" t="str">
        <x:v>综合方案§13核心数据模型</x:v>
      </x:c>
      <x:c r="P191" s="4" t="str">
        <x:v>DRAFT_FROM_SCHEME</x:v>
      </x:c>
    </x:row>
    <x:row r="192" ht="23" customHeight="1">
      <x:c r="A192" s="4" t="str">
        <x:v>EnterpriseAddress</x:v>
      </x:c>
      <x:c r="B192" s="4" t="str">
        <x:v>enterpriseCustomerId</x:v>
      </x:c>
      <x:c r="C192" s="17" t="str">
        <x:v>enterpriseCustomerId</x:v>
      </x:c>
      <x:c r="D192" s="4" t="str">
        <x:v>2</x:v>
      </x:c>
      <x:c r="E192" s="4" t="str">
        <x:v>String/UUID</x:v>
      </x:c>
      <x:c r="F192" s="4" t="str">
        <x:v>YES</x:v>
      </x:c>
      <x:c r="G192" s="4" t="str">
        <x:v>待M阶段冻结</x:v>
      </x:c>
      <x:c r="H192" s="17" t="str">
        <x:v>PERSONAL_OR_SENSITIVE</x:v>
      </x:c>
      <x:c r="I192" s="17" t="str">
        <x:v>按角色、对象归属及配送阶段脱敏/解密</x:v>
      </x:c>
      <x:c r="J192" s="17" t="str">
        <x:v>禁止跨供应商、越阶段或批量无审批导出</x:v>
      </x:c>
      <x:c r="K192" s="17" t="str">
        <x:v>DTO白名单；长度/枚举/归属/状态校验；禁止信任客户端派生值</x:v>
      </x:c>
      <x:c r="L192" s="17" t="str">
        <x:v>按实体version或审计日志保留变更证据</x:v>
      </x:c>
      <x:c r="M192" s="4" t="str">
        <x:v>M3</x:v>
      </x:c>
      <x:c r="N192" s="4" t="str">
        <x:v>待切片细化</x:v>
      </x:c>
      <x:c r="O192" s="4" t="str">
        <x:v>综合方案§13核心数据模型</x:v>
      </x:c>
      <x:c r="P192" s="4" t="str">
        <x:v>DRAFT_FROM_SCHEME</x:v>
      </x:c>
    </x:row>
    <x:row r="193" ht="23" customHeight="1">
      <x:c r="A193" s="4" t="str">
        <x:v>EnterpriseAddress</x:v>
      </x:c>
      <x:c r="B193" s="4" t="str">
        <x:v>consignee</x:v>
      </x:c>
      <x:c r="C193" s="17" t="str">
        <x:v>consignee</x:v>
      </x:c>
      <x:c r="D193" s="4" t="str">
        <x:v>3</x:v>
      </x:c>
      <x:c r="E193" s="4" t="str">
        <x:v>String</x:v>
      </x:c>
      <x:c r="F193" s="4" t="str">
        <x:v>YES</x:v>
      </x:c>
      <x:c r="G193" s="4" t="str">
        <x:v>待M阶段冻结</x:v>
      </x:c>
      <x:c r="H193" s="17" t="str">
        <x:v>PERSONAL_OR_SENSITIVE</x:v>
      </x:c>
      <x:c r="I193" s="17" t="str">
        <x:v>按角色、对象归属及配送阶段脱敏/解密</x:v>
      </x:c>
      <x:c r="J193" s="17" t="str">
        <x:v>禁止跨供应商、越阶段或批量无审批导出</x:v>
      </x:c>
      <x:c r="K193" s="17" t="str">
        <x:v>DTO白名单；长度/枚举/归属/状态校验；禁止信任客户端派生值</x:v>
      </x:c>
      <x:c r="L193" s="17" t="str">
        <x:v>按实体version或审计日志保留变更证据</x:v>
      </x:c>
      <x:c r="M193" s="4" t="str">
        <x:v>M3</x:v>
      </x:c>
      <x:c r="N193" s="4" t="str">
        <x:v>待切片细化</x:v>
      </x:c>
      <x:c r="O193" s="4" t="str">
        <x:v>综合方案§13核心数据模型</x:v>
      </x:c>
      <x:c r="P193" s="4" t="str">
        <x:v>DRAFT_FROM_SCHEME</x:v>
      </x:c>
    </x:row>
    <x:row r="194" ht="23" customHeight="1">
      <x:c r="A194" s="4" t="str">
        <x:v>EnterpriseAddress</x:v>
      </x:c>
      <x:c r="B194" s="4" t="str">
        <x:v>mobile</x:v>
      </x:c>
      <x:c r="C194" s="17" t="str">
        <x:v>mobile</x:v>
      </x:c>
      <x:c r="D194" s="4" t="str">
        <x:v>4</x:v>
      </x:c>
      <x:c r="E194" s="4" t="str">
        <x:v>String</x:v>
      </x:c>
      <x:c r="F194" s="4" t="str">
        <x:v>YES</x:v>
      </x:c>
      <x:c r="G194" s="4" t="str">
        <x:v>待M阶段冻结</x:v>
      </x:c>
      <x:c r="H194" s="17" t="str">
        <x:v>PERSONAL_OR_SENSITIVE</x:v>
      </x:c>
      <x:c r="I194" s="17" t="str">
        <x:v>按角色、对象归属及配送阶段脱敏/解密</x:v>
      </x:c>
      <x:c r="J194" s="17" t="str">
        <x:v>禁止跨供应商、越阶段或批量无审批导出</x:v>
      </x:c>
      <x:c r="K194" s="17" t="str">
        <x:v>DTO白名单；长度/枚举/归属/状态校验；禁止信任客户端派生值</x:v>
      </x:c>
      <x:c r="L194" s="17" t="str">
        <x:v>按实体version或审计日志保留变更证据</x:v>
      </x:c>
      <x:c r="M194" s="4" t="str">
        <x:v>M3</x:v>
      </x:c>
      <x:c r="N194" s="4" t="str">
        <x:v>待切片细化</x:v>
      </x:c>
      <x:c r="O194" s="4" t="str">
        <x:v>综合方案§13核心数据模型</x:v>
      </x:c>
      <x:c r="P194" s="4" t="str">
        <x:v>DRAFT_FROM_SCHEME</x:v>
      </x:c>
    </x:row>
    <x:row r="195" ht="23" customHeight="1">
      <x:c r="A195" s="4" t="str">
        <x:v>EnterpriseAddress</x:v>
      </x:c>
      <x:c r="B195" s="4" t="str">
        <x:v>fullAddress</x:v>
      </x:c>
      <x:c r="C195" s="17" t="str">
        <x:v>fullAddress</x:v>
      </x:c>
      <x:c r="D195" s="4" t="str">
        <x:v>5</x:v>
      </x:c>
      <x:c r="E195" s="4" t="str">
        <x:v>String</x:v>
      </x:c>
      <x:c r="F195" s="4" t="str">
        <x:v>YES</x:v>
      </x:c>
      <x:c r="G195" s="4" t="str">
        <x:v>待M阶段冻结</x:v>
      </x:c>
      <x:c r="H195" s="17" t="str">
        <x:v>PERSONAL_OR_SENSITIVE</x:v>
      </x:c>
      <x:c r="I195" s="17" t="str">
        <x:v>按角色、对象归属及配送阶段脱敏/解密</x:v>
      </x:c>
      <x:c r="J195" s="17" t="str">
        <x:v>禁止跨供应商、越阶段或批量无审批导出</x:v>
      </x:c>
      <x:c r="K195" s="17" t="str">
        <x:v>DTO白名单；长度/枚举/归属/状态校验；禁止信任客户端派生值</x:v>
      </x:c>
      <x:c r="L195" s="17" t="str">
        <x:v>按实体version或审计日志保留变更证据</x:v>
      </x:c>
      <x:c r="M195" s="4" t="str">
        <x:v>M3</x:v>
      </x:c>
      <x:c r="N195" s="4" t="str">
        <x:v>待切片细化</x:v>
      </x:c>
      <x:c r="O195" s="4" t="str">
        <x:v>综合方案§13核心数据模型</x:v>
      </x:c>
      <x:c r="P195" s="4" t="str">
        <x:v>DRAFT_FROM_SCHEME</x:v>
      </x:c>
    </x:row>
    <x:row r="196" ht="23" customHeight="1">
      <x:c r="A196" s="4" t="str">
        <x:v>EnterpriseAddress</x:v>
      </x:c>
      <x:c r="B196" s="4" t="str">
        <x:v>lat</x:v>
      </x:c>
      <x:c r="C196" s="17" t="str">
        <x:v>lat</x:v>
      </x:c>
      <x:c r="D196" s="4" t="str">
        <x:v>6</x:v>
      </x:c>
      <x:c r="E196" s="4" t="str">
        <x:v>DateTime</x:v>
      </x:c>
      <x:c r="F196" s="4" t="str">
        <x:v>YES</x:v>
      </x:c>
      <x:c r="G196" s="4" t="str">
        <x:v>ISO-8601+明确时区</x:v>
      </x:c>
      <x:c r="H196" s="17" t="str">
        <x:v>PERSONAL_OR_SENSITIVE</x:v>
      </x:c>
      <x:c r="I196" s="17" t="str">
        <x:v>按角色、对象归属及配送阶段脱敏/解密</x:v>
      </x:c>
      <x:c r="J196" s="17" t="str">
        <x:v>禁止跨供应商、越阶段或批量无审批导出</x:v>
      </x:c>
      <x:c r="K196" s="17" t="str">
        <x:v>DTO白名单；长度/枚举/归属/状态校验；禁止信任客户端派生值</x:v>
      </x:c>
      <x:c r="L196" s="17" t="str">
        <x:v>按实体version或审计日志保留变更证据</x:v>
      </x:c>
      <x:c r="M196" s="4" t="str">
        <x:v>M3</x:v>
      </x:c>
      <x:c r="N196" s="4" t="str">
        <x:v>待切片细化</x:v>
      </x:c>
      <x:c r="O196" s="4" t="str">
        <x:v>综合方案§13核心数据模型</x:v>
      </x:c>
      <x:c r="P196" s="4" t="str">
        <x:v>DRAFT_FROM_SCHEME</x:v>
      </x:c>
    </x:row>
    <x:row r="197" ht="23" customHeight="1">
      <x:c r="A197" s="4" t="str">
        <x:v>EnterpriseAddress</x:v>
      </x:c>
      <x:c r="B197" s="4" t="str">
        <x:v>lng</x:v>
      </x:c>
      <x:c r="C197" s="17" t="str">
        <x:v>lng</x:v>
      </x:c>
      <x:c r="D197" s="4" t="str">
        <x:v>7</x:v>
      </x:c>
      <x:c r="E197" s="4" t="str">
        <x:v>Decimal</x:v>
      </x:c>
      <x:c r="F197" s="4" t="str">
        <x:v>YES</x:v>
      </x:c>
      <x:c r="G197" s="4" t="str">
        <x:v>待M阶段冻结</x:v>
      </x:c>
      <x:c r="H197" s="17" t="str">
        <x:v>PERSONAL_OR_SENSITIVE</x:v>
      </x:c>
      <x:c r="I197" s="17" t="str">
        <x:v>按角色、对象归属及配送阶段脱敏/解密</x:v>
      </x:c>
      <x:c r="J197" s="17" t="str">
        <x:v>禁止跨供应商、越阶段或批量无审批导出</x:v>
      </x:c>
      <x:c r="K197" s="17" t="str">
        <x:v>DTO白名单；长度/枚举/归属/状态校验；禁止信任客户端派生值</x:v>
      </x:c>
      <x:c r="L197" s="17" t="str">
        <x:v>按实体version或审计日志保留变更证据</x:v>
      </x:c>
      <x:c r="M197" s="4" t="str">
        <x:v>M3</x:v>
      </x:c>
      <x:c r="N197" s="4" t="str">
        <x:v>待切片细化</x:v>
      </x:c>
      <x:c r="O197" s="4" t="str">
        <x:v>综合方案§13核心数据模型</x:v>
      </x:c>
      <x:c r="P197" s="4" t="str">
        <x:v>DRAFT_FROM_SCHEME</x:v>
      </x:c>
    </x:row>
    <x:row r="198" ht="23" customHeight="1">
      <x:c r="A198" s="4" t="str">
        <x:v>EnterpriseAddress</x:v>
      </x:c>
      <x:c r="B198" s="4" t="str">
        <x:v>isDefault</x:v>
      </x:c>
      <x:c r="C198" s="17" t="str">
        <x:v>isDefault</x:v>
      </x:c>
      <x:c r="D198" s="4" t="str">
        <x:v>8</x:v>
      </x:c>
      <x:c r="E198" s="4" t="str">
        <x:v>Boolean</x:v>
      </x:c>
      <x:c r="F198" s="4" t="str">
        <x:v>YES</x:v>
      </x:c>
      <x:c r="G198" s="4" t="str">
        <x:v>待M阶段冻结</x:v>
      </x:c>
      <x:c r="H198" s="17" t="str">
        <x:v>PERSONAL_OR_SENSITIVE</x:v>
      </x:c>
      <x:c r="I198" s="17" t="str">
        <x:v>按角色、对象归属及配送阶段脱敏/解密</x:v>
      </x:c>
      <x:c r="J198" s="17" t="str">
        <x:v>禁止跨供应商、越阶段或批量无审批导出</x:v>
      </x:c>
      <x:c r="K198" s="17" t="str">
        <x:v>DTO白名单；长度/枚举/归属/状态校验；禁止信任客户端派生值</x:v>
      </x:c>
      <x:c r="L198" s="17" t="str">
        <x:v>按实体version或审计日志保留变更证据</x:v>
      </x:c>
      <x:c r="M198" s="4" t="str">
        <x:v>M3</x:v>
      </x:c>
      <x:c r="N198" s="4" t="str">
        <x:v>待切片细化</x:v>
      </x:c>
      <x:c r="O198" s="4" t="str">
        <x:v>综合方案§13核心数据模型</x:v>
      </x:c>
      <x:c r="P198" s="4" t="str">
        <x:v>DRAFT_FROM_SCHEME</x:v>
      </x:c>
    </x:row>
    <x:row r="199" ht="23" customHeight="1">
      <x:c r="A199" s="4" t="str">
        <x:v>EnterpriseInvoiceProfile</x:v>
      </x:c>
      <x:c r="B199" s="4" t="str">
        <x:v>id</x:v>
      </x:c>
      <x:c r="C199" s="17" t="str">
        <x:v>id</x:v>
      </x:c>
      <x:c r="D199" s="4" t="str">
        <x:v>1</x:v>
      </x:c>
      <x:c r="E199" s="4" t="str">
        <x:v>String/UUID</x:v>
      </x:c>
      <x:c r="F199" s="4" t="str">
        <x:v>YES</x:v>
      </x:c>
      <x:c r="G199" s="4" t="str">
        <x:v>待M阶段冻结</x:v>
      </x:c>
      <x:c r="H199" s="17" t="str">
        <x:v>INTERNAL</x:v>
      </x:c>
      <x:c r="I199" s="17" t="str">
        <x:v>按资源权限与数据域访问；公开DTO另行白名单</x:v>
      </x:c>
      <x:c r="J199" s="17" t="str">
        <x:v>数据库实体不得直接序列化为响应</x:v>
      </x:c>
      <x:c r="K199" s="17" t="str">
        <x:v>DTO白名单；长度/枚举/归属/状态校验；禁止信任客户端派生值</x:v>
      </x:c>
      <x:c r="L199" s="17" t="str">
        <x:v>按实体version或审计日志保留变更证据</x:v>
      </x:c>
      <x:c r="M199" s="4" t="str">
        <x:v>M3</x:v>
      </x:c>
      <x:c r="N199" s="4" t="str">
        <x:v>待切片细化</x:v>
      </x:c>
      <x:c r="O199" s="4" t="str">
        <x:v>综合方案§13核心数据模型</x:v>
      </x:c>
      <x:c r="P199" s="4" t="str">
        <x:v>DRAFT_FROM_SCHEME</x:v>
      </x:c>
    </x:row>
    <x:row r="200" ht="23" customHeight="1">
      <x:c r="A200" s="4" t="str">
        <x:v>EnterpriseInvoiceProfile</x:v>
      </x:c>
      <x:c r="B200" s="4" t="str">
        <x:v>enterpriseCustomerId</x:v>
      </x:c>
      <x:c r="C200" s="17" t="str">
        <x:v>enterpriseCustomerId</x:v>
      </x:c>
      <x:c r="D200" s="4" t="str">
        <x:v>2</x:v>
      </x:c>
      <x:c r="E200" s="4" t="str">
        <x:v>String/UUID</x:v>
      </x:c>
      <x:c r="F200" s="4" t="str">
        <x:v>YES</x:v>
      </x:c>
      <x:c r="G200" s="4" t="str">
        <x:v>待M阶段冻结</x:v>
      </x:c>
      <x:c r="H200" s="17" t="str">
        <x:v>INTERNAL</x:v>
      </x:c>
      <x:c r="I200" s="17" t="str">
        <x:v>按资源权限与数据域访问；公开DTO另行白名单</x:v>
      </x:c>
      <x:c r="J200" s="17" t="str">
        <x:v>数据库实体不得直接序列化为响应</x:v>
      </x:c>
      <x:c r="K200" s="17" t="str">
        <x:v>DTO白名单；长度/枚举/归属/状态校验；禁止信任客户端派生值</x:v>
      </x:c>
      <x:c r="L200" s="17" t="str">
        <x:v>按实体version或审计日志保留变更证据</x:v>
      </x:c>
      <x:c r="M200" s="4" t="str">
        <x:v>M3</x:v>
      </x:c>
      <x:c r="N200" s="4" t="str">
        <x:v>待切片细化</x:v>
      </x:c>
      <x:c r="O200" s="4" t="str">
        <x:v>综合方案§13核心数据模型</x:v>
      </x:c>
      <x:c r="P200" s="4" t="str">
        <x:v>DRAFT_FROM_SCHEME</x:v>
      </x:c>
    </x:row>
    <x:row r="201" ht="23" customHeight="1">
      <x:c r="A201" s="4" t="str">
        <x:v>EnterpriseInvoiceProfile</x:v>
      </x:c>
      <x:c r="B201" s="4" t="str">
        <x:v>title</x:v>
      </x:c>
      <x:c r="C201" s="17" t="str">
        <x:v>title</x:v>
      </x:c>
      <x:c r="D201" s="4" t="str">
        <x:v>3</x:v>
      </x:c>
      <x:c r="E201" s="4" t="str">
        <x:v>String</x:v>
      </x:c>
      <x:c r="F201" s="4" t="str">
        <x:v>YES</x:v>
      </x:c>
      <x:c r="G201" s="4" t="str">
        <x:v>待M阶段冻结</x:v>
      </x:c>
      <x:c r="H201" s="17" t="str">
        <x:v>INTERNAL</x:v>
      </x:c>
      <x:c r="I201" s="17" t="str">
        <x:v>按资源权限与数据域访问；公开DTO另行白名单</x:v>
      </x:c>
      <x:c r="J201" s="17" t="str">
        <x:v>数据库实体不得直接序列化为响应</x:v>
      </x:c>
      <x:c r="K201" s="17" t="str">
        <x:v>DTO白名单；长度/枚举/归属/状态校验；禁止信任客户端派生值</x:v>
      </x:c>
      <x:c r="L201" s="17" t="str">
        <x:v>按实体version或审计日志保留变更证据</x:v>
      </x:c>
      <x:c r="M201" s="4" t="str">
        <x:v>M3</x:v>
      </x:c>
      <x:c r="N201" s="4" t="str">
        <x:v>待切片细化</x:v>
      </x:c>
      <x:c r="O201" s="4" t="str">
        <x:v>综合方案§13核心数据模型</x:v>
      </x:c>
      <x:c r="P201" s="4" t="str">
        <x:v>DRAFT_FROM_SCHEME</x:v>
      </x:c>
    </x:row>
    <x:row r="202" ht="23" customHeight="1">
      <x:c r="A202" s="4" t="str">
        <x:v>EnterpriseInvoiceProfile</x:v>
      </x:c>
      <x:c r="B202" s="4" t="str">
        <x:v>taxNo</x:v>
      </x:c>
      <x:c r="C202" s="17" t="str">
        <x:v>taxNo</x:v>
      </x:c>
      <x:c r="D202" s="4" t="str">
        <x:v>4</x:v>
      </x:c>
      <x:c r="E202" s="4" t="str">
        <x:v>String</x:v>
      </x:c>
      <x:c r="F202" s="4" t="str">
        <x:v>YES</x:v>
      </x:c>
      <x:c r="G202" s="4" t="str">
        <x:v>待M阶段冻结</x:v>
      </x:c>
      <x:c r="H202" s="17" t="str">
        <x:v>PERSONAL_OR_SENSITIVE</x:v>
      </x:c>
      <x:c r="I202" s="17" t="str">
        <x:v>按角色、对象归属及配送阶段脱敏/解密</x:v>
      </x:c>
      <x:c r="J202" s="17" t="str">
        <x:v>禁止跨供应商、越阶段或批量无审批导出</x:v>
      </x:c>
      <x:c r="K202" s="17" t="str">
        <x:v>DTO白名单；长度/枚举/归属/状态校验；禁止信任客户端派生值</x:v>
      </x:c>
      <x:c r="L202" s="17" t="str">
        <x:v>按实体version或审计日志保留变更证据</x:v>
      </x:c>
      <x:c r="M202" s="4" t="str">
        <x:v>M3</x:v>
      </x:c>
      <x:c r="N202" s="4" t="str">
        <x:v>待切片细化</x:v>
      </x:c>
      <x:c r="O202" s="4" t="str">
        <x:v>综合方案§13核心数据模型</x:v>
      </x:c>
      <x:c r="P202" s="4" t="str">
        <x:v>DRAFT_FROM_SCHEME</x:v>
      </x:c>
    </x:row>
    <x:row r="203" ht="23" customHeight="1">
      <x:c r="A203" s="4" t="str">
        <x:v>EnterpriseInvoiceProfile</x:v>
      </x:c>
      <x:c r="B203" s="4" t="str">
        <x:v>bankName</x:v>
      </x:c>
      <x:c r="C203" s="17" t="str">
        <x:v>bankName</x:v>
      </x:c>
      <x:c r="D203" s="4" t="str">
        <x:v>5</x:v>
      </x:c>
      <x:c r="E203" s="4" t="str">
        <x:v>String</x:v>
      </x:c>
      <x:c r="F203" s="4" t="str">
        <x:v>YES</x:v>
      </x:c>
      <x:c r="G203" s="4" t="str">
        <x:v>待M阶段冻结</x:v>
      </x:c>
      <x:c r="H203" s="17" t="str">
        <x:v>PERSONAL_OR_SENSITIVE</x:v>
      </x:c>
      <x:c r="I203" s="17" t="str">
        <x:v>按角色、对象归属及配送阶段脱敏/解密</x:v>
      </x:c>
      <x:c r="J203" s="17" t="str">
        <x:v>禁止跨供应商、越阶段或批量无审批导出</x:v>
      </x:c>
      <x:c r="K203" s="17" t="str">
        <x:v>DTO白名单；长度/枚举/归属/状态校验；禁止信任客户端派生值</x:v>
      </x:c>
      <x:c r="L203" s="17" t="str">
        <x:v>按实体version或审计日志保留变更证据</x:v>
      </x:c>
      <x:c r="M203" s="4" t="str">
        <x:v>M3</x:v>
      </x:c>
      <x:c r="N203" s="4" t="str">
        <x:v>待切片细化</x:v>
      </x:c>
      <x:c r="O203" s="4" t="str">
        <x:v>综合方案§13核心数据模型</x:v>
      </x:c>
      <x:c r="P203" s="4" t="str">
        <x:v>DRAFT_FROM_SCHEME</x:v>
      </x:c>
    </x:row>
    <x:row r="204" ht="23" customHeight="1">
      <x:c r="A204" s="4" t="str">
        <x:v>EnterpriseInvoiceProfile</x:v>
      </x:c>
      <x:c r="B204" s="4" t="str">
        <x:v>bankAccountMasked</x:v>
      </x:c>
      <x:c r="C204" s="17" t="str">
        <x:v>bankAccountMasked</x:v>
      </x:c>
      <x:c r="D204" s="4" t="str">
        <x:v>6</x:v>
      </x:c>
      <x:c r="E204" s="4" t="str">
        <x:v>Int</x:v>
      </x:c>
      <x:c r="F204" s="4" t="str">
        <x:v>YES</x:v>
      </x:c>
      <x:c r="G204" s="4" t="str">
        <x:v>待M阶段冻结</x:v>
      </x:c>
      <x:c r="H204" s="17" t="str">
        <x:v>PERSONAL_OR_SENSITIVE</x:v>
      </x:c>
      <x:c r="I204" s="17" t="str">
        <x:v>按角色、对象归属及配送阶段脱敏/解密</x:v>
      </x:c>
      <x:c r="J204" s="17" t="str">
        <x:v>禁止跨供应商、越阶段或批量无审批导出</x:v>
      </x:c>
      <x:c r="K204" s="17" t="str">
        <x:v>DTO白名单；长度/枚举/归属/状态校验；禁止信任客户端派生值</x:v>
      </x:c>
      <x:c r="L204" s="17" t="str">
        <x:v>按实体version或审计日志保留变更证据</x:v>
      </x:c>
      <x:c r="M204" s="4" t="str">
        <x:v>M3</x:v>
      </x:c>
      <x:c r="N204" s="4" t="str">
        <x:v>待切片细化</x:v>
      </x:c>
      <x:c r="O204" s="4" t="str">
        <x:v>综合方案§13核心数据模型</x:v>
      </x:c>
      <x:c r="P204" s="4" t="str">
        <x:v>DRAFT_FROM_SCHEME</x:v>
      </x:c>
    </x:row>
    <x:row r="205" ht="23" customHeight="1">
      <x:c r="A205" s="4" t="str">
        <x:v>EnterpriseInvoiceProfile</x:v>
      </x:c>
      <x:c r="B205" s="4" t="str">
        <x:v>isDefault</x:v>
      </x:c>
      <x:c r="C205" s="17" t="str">
        <x:v>isDefault</x:v>
      </x:c>
      <x:c r="D205" s="4" t="str">
        <x:v>7</x:v>
      </x:c>
      <x:c r="E205" s="4" t="str">
        <x:v>Boolean</x:v>
      </x:c>
      <x:c r="F205" s="4" t="str">
        <x:v>YES</x:v>
      </x:c>
      <x:c r="G205" s="4" t="str">
        <x:v>待M阶段冻结</x:v>
      </x:c>
      <x:c r="H205" s="17" t="str">
        <x:v>INTERNAL</x:v>
      </x:c>
      <x:c r="I205" s="17" t="str">
        <x:v>按资源权限与数据域访问；公开DTO另行白名单</x:v>
      </x:c>
      <x:c r="J205" s="17" t="str">
        <x:v>数据库实体不得直接序列化为响应</x:v>
      </x:c>
      <x:c r="K205" s="17" t="str">
        <x:v>DTO白名单；长度/枚举/归属/状态校验；禁止信任客户端派生值</x:v>
      </x:c>
      <x:c r="L205" s="17" t="str">
        <x:v>按实体version或审计日志保留变更证据</x:v>
      </x:c>
      <x:c r="M205" s="4" t="str">
        <x:v>M3</x:v>
      </x:c>
      <x:c r="N205" s="4" t="str">
        <x:v>待切片细化</x:v>
      </x:c>
      <x:c r="O205" s="4" t="str">
        <x:v>综合方案§13核心数据模型</x:v>
      </x:c>
      <x:c r="P205" s="4" t="str">
        <x:v>DRAFT_FROM_SCHEME</x:v>
      </x:c>
    </x:row>
    <x:row r="206" ht="23" customHeight="1">
      <x:c r="A206" s="4" t="str">
        <x:v>EnterpriseWelfarePurchase</x:v>
      </x:c>
      <x:c r="B206" s="4" t="str">
        <x:v>id</x:v>
      </x:c>
      <x:c r="C206" s="17" t="str">
        <x:v>id</x:v>
      </x:c>
      <x:c r="D206" s="4" t="str">
        <x:v>1</x:v>
      </x:c>
      <x:c r="E206" s="4" t="str">
        <x:v>String/UUID</x:v>
      </x:c>
      <x:c r="F206" s="4" t="str">
        <x:v>YES</x:v>
      </x:c>
      <x:c r="G206" s="4" t="str">
        <x:v>待M阶段冻结</x:v>
      </x:c>
      <x:c r="H206" s="17" t="str">
        <x:v>INTERNAL</x:v>
      </x:c>
      <x:c r="I206" s="17" t="str">
        <x:v>按资源权限与数据域访问；公开DTO另行白名单</x:v>
      </x:c>
      <x:c r="J206" s="17" t="str">
        <x:v>数据库实体不得直接序列化为响应</x:v>
      </x:c>
      <x:c r="K206" s="17" t="str">
        <x:v>DTO白名单；长度/枚举/归属/状态校验；禁止信任客户端派生值</x:v>
      </x:c>
      <x:c r="L206" s="17" t="str">
        <x:v>按实体version或审计日志保留变更证据</x:v>
      </x:c>
      <x:c r="M206" s="4" t="str">
        <x:v>M3</x:v>
      </x:c>
      <x:c r="N206" s="4" t="str">
        <x:v>待切片细化</x:v>
      </x:c>
      <x:c r="O206" s="4" t="str">
        <x:v>综合方案§13核心数据模型</x:v>
      </x:c>
      <x:c r="P206" s="4" t="str">
        <x:v>DRAFT_FROM_SCHEME</x:v>
      </x:c>
    </x:row>
    <x:row r="207" ht="23" customHeight="1">
      <x:c r="A207" s="4" t="str">
        <x:v>EnterpriseWelfarePurchase</x:v>
      </x:c>
      <x:c r="B207" s="4" t="str">
        <x:v>enterpriseCustomerId</x:v>
      </x:c>
      <x:c r="C207" s="17" t="str">
        <x:v>enterpriseCustomerId</x:v>
      </x:c>
      <x:c r="D207" s="4" t="str">
        <x:v>2</x:v>
      </x:c>
      <x:c r="E207" s="4" t="str">
        <x:v>String/UUID</x:v>
      </x:c>
      <x:c r="F207" s="4" t="str">
        <x:v>YES</x:v>
      </x:c>
      <x:c r="G207" s="4" t="str">
        <x:v>待M阶段冻结</x:v>
      </x:c>
      <x:c r="H207" s="17" t="str">
        <x:v>INTERNAL</x:v>
      </x:c>
      <x:c r="I207" s="17" t="str">
        <x:v>按资源权限与数据域访问；公开DTO另行白名单</x:v>
      </x:c>
      <x:c r="J207" s="17" t="str">
        <x:v>数据库实体不得直接序列化为响应</x:v>
      </x:c>
      <x:c r="K207" s="17" t="str">
        <x:v>DTO白名单；长度/枚举/归属/状态校验；禁止信任客户端派生值</x:v>
      </x:c>
      <x:c r="L207" s="17" t="str">
        <x:v>按实体version或审计日志保留变更证据</x:v>
      </x:c>
      <x:c r="M207" s="4" t="str">
        <x:v>M3</x:v>
      </x:c>
      <x:c r="N207" s="4" t="str">
        <x:v>待切片细化</x:v>
      </x:c>
      <x:c r="O207" s="4" t="str">
        <x:v>综合方案§13核心数据模型</x:v>
      </x:c>
      <x:c r="P207" s="4" t="str">
        <x:v>DRAFT_FROM_SCHEME</x:v>
      </x:c>
    </x:row>
    <x:row r="208" ht="23" customHeight="1">
      <x:c r="A208" s="4" t="str">
        <x:v>EnterpriseWelfarePurchase</x:v>
      </x:c>
      <x:c r="B208" s="4" t="str">
        <x:v>programId</x:v>
      </x:c>
      <x:c r="C208" s="17" t="str">
        <x:v>programId</x:v>
      </x:c>
      <x:c r="D208" s="4" t="str">
        <x:v>3</x:v>
      </x:c>
      <x:c r="E208" s="4" t="str">
        <x:v>String/UUID</x:v>
      </x:c>
      <x:c r="F208" s="4" t="str">
        <x:v>YES</x:v>
      </x:c>
      <x:c r="G208" s="4" t="str">
        <x:v>待M阶段冻结</x:v>
      </x:c>
      <x:c r="H208" s="17" t="str">
        <x:v>INTERNAL</x:v>
      </x:c>
      <x:c r="I208" s="17" t="str">
        <x:v>按资源权限与数据域访问；公开DTO另行白名单</x:v>
      </x:c>
      <x:c r="J208" s="17" t="str">
        <x:v>数据库实体不得直接序列化为响应</x:v>
      </x:c>
      <x:c r="K208" s="17" t="str">
        <x:v>DTO白名单；长度/枚举/归属/状态校验；禁止信任客户端派生值</x:v>
      </x:c>
      <x:c r="L208" s="17" t="str">
        <x:v>按实体version或审计日志保留变更证据</x:v>
      </x:c>
      <x:c r="M208" s="4" t="str">
        <x:v>M3</x:v>
      </x:c>
      <x:c r="N208" s="4" t="str">
        <x:v>待切片细化</x:v>
      </x:c>
      <x:c r="O208" s="4" t="str">
        <x:v>综合方案§13核心数据模型</x:v>
      </x:c>
      <x:c r="P208" s="4" t="str">
        <x:v>DRAFT_FROM_SCHEME</x:v>
      </x:c>
    </x:row>
    <x:row r="209" ht="23" customHeight="1">
      <x:c r="A209" s="4" t="str">
        <x:v>EnterpriseWelfarePurchase</x:v>
      </x:c>
      <x:c r="B209" s="4" t="str">
        <x:v>purchaseNo</x:v>
      </x:c>
      <x:c r="C209" s="17" t="str">
        <x:v>purchaseNo</x:v>
      </x:c>
      <x:c r="D209" s="4" t="str">
        <x:v>4</x:v>
      </x:c>
      <x:c r="E209" s="4" t="str">
        <x:v>String</x:v>
      </x:c>
      <x:c r="F209" s="4" t="str">
        <x:v>YES</x:v>
      </x:c>
      <x:c r="G209" s="4" t="str">
        <x:v>待M阶段冻结</x:v>
      </x:c>
      <x:c r="H209" s="17" t="str">
        <x:v>INTERNAL</x:v>
      </x:c>
      <x:c r="I209" s="17" t="str">
        <x:v>按资源权限与数据域访问；公开DTO另行白名单</x:v>
      </x:c>
      <x:c r="J209" s="17" t="str">
        <x:v>数据库实体不得直接序列化为响应</x:v>
      </x:c>
      <x:c r="K209" s="17" t="str">
        <x:v>DTO白名单；长度/枚举/归属/状态校验；禁止信任客户端派生值</x:v>
      </x:c>
      <x:c r="L209" s="17" t="str">
        <x:v>按实体version或审计日志保留变更证据</x:v>
      </x:c>
      <x:c r="M209" s="4" t="str">
        <x:v>M3</x:v>
      </x:c>
      <x:c r="N209" s="4" t="str">
        <x:v>待切片细化</x:v>
      </x:c>
      <x:c r="O209" s="4" t="str">
        <x:v>综合方案§13核心数据模型</x:v>
      </x:c>
      <x:c r="P209" s="4" t="str">
        <x:v>DRAFT_FROM_SCHEME</x:v>
      </x:c>
    </x:row>
    <x:row r="210" ht="23" customHeight="1">
      <x:c r="A210" s="4" t="str">
        <x:v>EnterpriseWelfarePurchase</x:v>
      </x:c>
      <x:c r="B210" s="4" t="str">
        <x:v>purchaseAmount</x:v>
      </x:c>
      <x:c r="C210" s="17" t="str">
        <x:v>purchaseAmount</x:v>
      </x:c>
      <x:c r="D210" s="4" t="str">
        <x:v>5</x:v>
      </x:c>
      <x:c r="E210" s="4" t="str">
        <x:v>Int(分)</x:v>
      </x:c>
      <x:c r="F210" s="4" t="str">
        <x:v>YES</x:v>
      </x:c>
      <x:c r="G210" s="4" t="str">
        <x:v>整数分</x:v>
      </x:c>
      <x:c r="H210" s="17" t="str">
        <x:v>FINANCIAL</x:v>
      </x:c>
      <x:c r="I210" s="17" t="str">
        <x:v>公司财务与必要业务职能；供应商仅本供应商结算视图</x:v>
      </x:c>
      <x:c r="J210" s="17" t="str">
        <x:v>消费者响应仅返回自身交易白名单字段</x:v>
      </x:c>
      <x:c r="K210" s="17" t="str">
        <x:v>DTO白名单；长度/枚举/归属/状态校验；禁止信任客户端派生值</x:v>
      </x:c>
      <x:c r="L210" s="17" t="str">
        <x:v>按实体version或审计日志保留变更证据</x:v>
      </x:c>
      <x:c r="M210" s="4" t="str">
        <x:v>M3</x:v>
      </x:c>
      <x:c r="N210" s="4" t="str">
        <x:v>待切片细化</x:v>
      </x:c>
      <x:c r="O210" s="4" t="str">
        <x:v>综合方案§13核心数据模型</x:v>
      </x:c>
      <x:c r="P210" s="4" t="str">
        <x:v>DRAFT_FROM_SCHEME</x:v>
      </x:c>
    </x:row>
    <x:row r="211" ht="23" customHeight="1">
      <x:c r="A211" s="4" t="str">
        <x:v>EnterpriseWelfarePurchase</x:v>
      </x:c>
      <x:c r="B211" s="4" t="str">
        <x:v>issueAmount</x:v>
      </x:c>
      <x:c r="C211" s="17" t="str">
        <x:v>issueAmount</x:v>
      </x:c>
      <x:c r="D211" s="4" t="str">
        <x:v>6</x:v>
      </x:c>
      <x:c r="E211" s="4" t="str">
        <x:v>Int(分)</x:v>
      </x:c>
      <x:c r="F211" s="4" t="str">
        <x:v>YES</x:v>
      </x:c>
      <x:c r="G211" s="4" t="str">
        <x:v>整数分</x:v>
      </x:c>
      <x:c r="H211" s="17" t="str">
        <x:v>FINANCIAL</x:v>
      </x:c>
      <x:c r="I211" s="17" t="str">
        <x:v>公司财务与必要业务职能；供应商仅本供应商结算视图</x:v>
      </x:c>
      <x:c r="J211" s="17" t="str">
        <x:v>消费者响应仅返回自身交易白名单字段</x:v>
      </x:c>
      <x:c r="K211" s="17" t="str">
        <x:v>DTO白名单；长度/枚举/归属/状态校验；禁止信任客户端派生值</x:v>
      </x:c>
      <x:c r="L211" s="17" t="str">
        <x:v>按实体version或审计日志保留变更证据</x:v>
      </x:c>
      <x:c r="M211" s="4" t="str">
        <x:v>M3</x:v>
      </x:c>
      <x:c r="N211" s="4" t="str">
        <x:v>待切片细化</x:v>
      </x:c>
      <x:c r="O211" s="4" t="str">
        <x:v>综合方案§13核心数据模型</x:v>
      </x:c>
      <x:c r="P211" s="4" t="str">
        <x:v>DRAFT_FROM_SCHEME</x:v>
      </x:c>
    </x:row>
    <x:row r="212" ht="23" customHeight="1">
      <x:c r="A212" s="4" t="str">
        <x:v>EnterpriseWelfarePurchase</x:v>
      </x:c>
      <x:c r="B212" s="4" t="str">
        <x:v>paymentStatus</x:v>
      </x:c>
      <x:c r="C212" s="17" t="str">
        <x:v>paymentStatus</x:v>
      </x:c>
      <x:c r="D212" s="4" t="str">
        <x:v>7</x:v>
      </x:c>
      <x:c r="E212" s="4" t="str">
        <x:v>Enum/String</x:v>
      </x:c>
      <x:c r="F212" s="4" t="str">
        <x:v>YES</x:v>
      </x:c>
      <x:c r="G212" s="4" t="str">
        <x:v>待M阶段冻结</x:v>
      </x:c>
      <x:c r="H212" s="17" t="str">
        <x:v>FINANCIAL</x:v>
      </x:c>
      <x:c r="I212" s="17" t="str">
        <x:v>公司财务与必要业务职能；供应商仅本供应商结算视图</x:v>
      </x:c>
      <x:c r="J212" s="17" t="str">
        <x:v>消费者响应仅返回自身交易白名单字段</x:v>
      </x:c>
      <x:c r="K212" s="17" t="str">
        <x:v>DTO白名单；长度/枚举/归属/状态校验；禁止信任客户端派生值</x:v>
      </x:c>
      <x:c r="L212" s="17" t="str">
        <x:v>按实体version或审计日志保留变更证据</x:v>
      </x:c>
      <x:c r="M212" s="4" t="str">
        <x:v>M3</x:v>
      </x:c>
      <x:c r="N212" s="4" t="str">
        <x:v>待切片细化</x:v>
      </x:c>
      <x:c r="O212" s="4" t="str">
        <x:v>综合方案§13核心数据模型</x:v>
      </x:c>
      <x:c r="P212" s="4" t="str">
        <x:v>DRAFT_FROM_SCHEME</x:v>
      </x:c>
    </x:row>
    <x:row r="213" ht="23" customHeight="1">
      <x:c r="A213" s="4" t="str">
        <x:v>EnterpriseWelfarePurchase</x:v>
      </x:c>
      <x:c r="B213" s="4" t="str">
        <x:v>agreementVersion</x:v>
      </x:c>
      <x:c r="C213" s="17" t="str">
        <x:v>agreementVersion</x:v>
      </x:c>
      <x:c r="D213" s="4" t="str">
        <x:v>8</x:v>
      </x:c>
      <x:c r="E213" s="4" t="str">
        <x:v>Int</x:v>
      </x:c>
      <x:c r="F213" s="4" t="str">
        <x:v>YES</x:v>
      </x:c>
      <x:c r="G213" s="4" t="str">
        <x:v>待M阶段冻结</x:v>
      </x:c>
      <x:c r="H213" s="17" t="str">
        <x:v>INTERNAL</x:v>
      </x:c>
      <x:c r="I213" s="17" t="str">
        <x:v>按资源权限与数据域访问；公开DTO另行白名单</x:v>
      </x:c>
      <x:c r="J213" s="17" t="str">
        <x:v>数据库实体不得直接序列化为响应</x:v>
      </x:c>
      <x:c r="K213" s="17" t="str">
        <x:v>DTO白名单；长度/枚举/归属/状态校验；禁止信任客户端派生值</x:v>
      </x:c>
      <x:c r="L213" s="17" t="str">
        <x:v>按实体version或审计日志保留变更证据</x:v>
      </x:c>
      <x:c r="M213" s="4" t="str">
        <x:v>M3</x:v>
      </x:c>
      <x:c r="N213" s="4" t="str">
        <x:v>待切片细化</x:v>
      </x:c>
      <x:c r="O213" s="4" t="str">
        <x:v>综合方案§13核心数据模型</x:v>
      </x:c>
      <x:c r="P213" s="4" t="str">
        <x:v>DRAFT_FROM_SCHEME</x:v>
      </x:c>
    </x:row>
    <x:row r="214" ht="23" customHeight="1">
      <x:c r="A214" s="4" t="str">
        <x:v>EnterpriseWelfarePurchase</x:v>
      </x:c>
      <x:c r="B214" s="4" t="str">
        <x:v>status</x:v>
      </x:c>
      <x:c r="C214" s="17" t="str">
        <x:v>status</x:v>
      </x:c>
      <x:c r="D214" s="4" t="str">
        <x:v>9</x:v>
      </x:c>
      <x:c r="E214" s="4" t="str">
        <x:v>Enum/String</x:v>
      </x:c>
      <x:c r="F214" s="4" t="str">
        <x:v>YES</x:v>
      </x:c>
      <x:c r="G214" s="4" t="str">
        <x:v>待M阶段冻结</x:v>
      </x:c>
      <x:c r="H214" s="17" t="str">
        <x:v>INTERNAL</x:v>
      </x:c>
      <x:c r="I214" s="17" t="str">
        <x:v>按资源权限与数据域访问；公开DTO另行白名单</x:v>
      </x:c>
      <x:c r="J214" s="17" t="str">
        <x:v>数据库实体不得直接序列化为响应</x:v>
      </x:c>
      <x:c r="K214" s="17" t="str">
        <x:v>DTO白名单；长度/枚举/归属/状态校验；禁止信任客户端派生值</x:v>
      </x:c>
      <x:c r="L214" s="17" t="str">
        <x:v>按实体version或审计日志保留变更证据</x:v>
      </x:c>
      <x:c r="M214" s="4" t="str">
        <x:v>M3</x:v>
      </x:c>
      <x:c r="N214" s="4" t="str">
        <x:v>待切片细化</x:v>
      </x:c>
      <x:c r="O214" s="4" t="str">
        <x:v>综合方案§13核心数据模型</x:v>
      </x:c>
      <x:c r="P214" s="4" t="str">
        <x:v>DRAFT_FROM_SCHEME</x:v>
      </x:c>
    </x:row>
    <x:row r="215" ht="23" customHeight="1">
      <x:c r="A215" s="4" t="str">
        <x:v>Supplier</x:v>
      </x:c>
      <x:c r="B215" s="4" t="str">
        <x:v>id</x:v>
      </x:c>
      <x:c r="C215" s="17" t="str">
        <x:v>id</x:v>
      </x:c>
      <x:c r="D215" s="4" t="str">
        <x:v>1</x:v>
      </x:c>
      <x:c r="E215" s="4" t="str">
        <x:v>UUID</x:v>
      </x:c>
      <x:c r="F215" s="4" t="str">
        <x:v>YES</x:v>
      </x:c>
      <x:c r="G215" s="4" t="str">
        <x:v>UUID v4 canonical lowercase text</x:v>
      </x:c>
      <x:c r="H215" s="17" t="str">
        <x:v>INTERNAL</x:v>
      </x:c>
      <x:c r="I215" s="17" t="str">
        <x:v>按资源权限与数据域访问；公开DTO另行白名单</x:v>
      </x:c>
      <x:c r="J215" s="17" t="str">
        <x:v>数据库实体不得直接序列化为响应</x:v>
      </x:c>
      <x:c r="K215" s="17" t="str">
        <x:v>server validates type, ownership, state and length; client-derived ownership and authorization are never trusted</x:v>
      </x:c>
      <x:c r="L215" s="17" t="str">
        <x:v>按实体version或审计日志保留变更证据</x:v>
      </x:c>
      <x:c r="M215" s="4" t="str">
        <x:v>M1</x:v>
      </x:c>
      <x:c r="N215" s="4" t="str">
        <x:v>P0-003,P0-004</x:v>
      </x:c>
      <x:c r="O215" s="4" t="str">
        <x:v>综合方案§13核心数据模型</x:v>
      </x:c>
      <x:c r="P215" s="4" t="str">
        <x:v>FROZEN_M1_000</x:v>
      </x:c>
    </x:row>
    <x:row r="216" ht="23" customHeight="1">
      <x:c r="A216" s="4" t="str">
        <x:v>Supplier</x:v>
      </x:c>
      <x:c r="B216" s="4" t="str">
        <x:v>companyId</x:v>
      </x:c>
      <x:c r="C216" s="17" t="str">
        <x:v>companyId</x:v>
      </x:c>
      <x:c r="D216" s="4" t="str">
        <x:v>2</x:v>
      </x:c>
      <x:c r="E216" s="4" t="str">
        <x:v>UUID</x:v>
      </x:c>
      <x:c r="F216" s="4" t="str">
        <x:v>YES</x:v>
      </x:c>
      <x:c r="G216" s="4" t="str">
        <x:v>UUID v4 canonical lowercase text</x:v>
      </x:c>
      <x:c r="H216" s="17" t="str">
        <x:v>INTERNAL</x:v>
      </x:c>
      <x:c r="I216" s="17" t="str">
        <x:v>按资源权限与数据域访问；公开DTO另行白名单</x:v>
      </x:c>
      <x:c r="J216" s="17" t="str">
        <x:v>数据库实体不得直接序列化为响应</x:v>
      </x:c>
      <x:c r="K216" s="17" t="str">
        <x:v>server always binds the unique Company</x:v>
      </x:c>
      <x:c r="L216" s="17" t="str">
        <x:v>按实体version或审计日志保留变更证据</x:v>
      </x:c>
      <x:c r="M216" s="4" t="str">
        <x:v>M1</x:v>
      </x:c>
      <x:c r="N216" s="4" t="str">
        <x:v>P0-003,P0-004</x:v>
      </x:c>
      <x:c r="O216" s="4" t="str">
        <x:v>综合方案§13核心数据模型</x:v>
      </x:c>
      <x:c r="P216" s="4" t="str">
        <x:v>FROZEN_M1_000</x:v>
      </x:c>
    </x:row>
    <x:row r="217" ht="23" customHeight="1">
      <x:c r="A217" s="4" t="str">
        <x:v>Supplier</x:v>
      </x:c>
      <x:c r="B217" s="4" t="str">
        <x:v>legalName</x:v>
      </x:c>
      <x:c r="C217" s="17" t="str">
        <x:v>legalName</x:v>
      </x:c>
      <x:c r="D217" s="4" t="str">
        <x:v>3</x:v>
      </x:c>
      <x:c r="E217" s="4" t="str">
        <x:v>String</x:v>
      </x:c>
      <x:c r="F217" s="4" t="str">
        <x:v>YES</x:v>
      </x:c>
      <x:c r="G217" s="4" t="str">
        <x:v>UTF-8; 1..128 chars unless a narrower rule applies</x:v>
      </x:c>
      <x:c r="H217" s="17" t="str">
        <x:v>INTERNAL</x:v>
      </x:c>
      <x:c r="I217" s="17" t="str">
        <x:v>按资源权限与数据域访问；公开DTO另行白名单</x:v>
      </x:c>
      <x:c r="J217" s="17" t="str">
        <x:v>数据库实体不得直接序列化为响应</x:v>
      </x:c>
      <x:c r="K217" s="17" t="str">
        <x:v>server validates type, ownership, state and length; client-derived ownership and authorization are never trusted</x:v>
      </x:c>
      <x:c r="L217" s="17" t="str">
        <x:v>按实体version或审计日志保留变更证据</x:v>
      </x:c>
      <x:c r="M217" s="4" t="str">
        <x:v>M1</x:v>
      </x:c>
      <x:c r="N217" s="4" t="str">
        <x:v>P0-003,P0-004</x:v>
      </x:c>
      <x:c r="O217" s="4" t="str">
        <x:v>综合方案§13核心数据模型</x:v>
      </x:c>
      <x:c r="P217" s="4" t="str">
        <x:v>FROZEN_M1_000</x:v>
      </x:c>
    </x:row>
    <x:row r="218" ht="23" customHeight="1">
      <x:c r="A218" s="4" t="str">
        <x:v>Supplier</x:v>
      </x:c>
      <x:c r="B218" s="4" t="str">
        <x:v>creditCode</x:v>
      </x:c>
      <x:c r="C218" s="17" t="str">
        <x:v>creditCode</x:v>
      </x:c>
      <x:c r="D218" s="4" t="str">
        <x:v>4</x:v>
      </x:c>
      <x:c r="E218" s="4" t="str">
        <x:v>String</x:v>
      </x:c>
      <x:c r="F218" s="4" t="str">
        <x:v>YES</x:v>
      </x:c>
      <x:c r="G218" s="4" t="str">
        <x:v>18 uppercase unified-social-credit-code chars</x:v>
      </x:c>
      <x:c r="H218" s="17" t="str">
        <x:v>INTERNAL</x:v>
      </x:c>
      <x:c r="I218" s="17" t="str">
        <x:v>按资源权限与数据域访问；公开DTO另行白名单</x:v>
      </x:c>
      <x:c r="J218" s="17" t="str">
        <x:v>数据库实体不得直接序列化为响应</x:v>
      </x:c>
      <x:c r="K218" s="17" t="str">
        <x:v>normalized credit code is unique across Supplier rows</x:v>
      </x:c>
      <x:c r="L218" s="17" t="str">
        <x:v>按实体version或审计日志保留变更证据</x:v>
      </x:c>
      <x:c r="M218" s="4" t="str">
        <x:v>M1</x:v>
      </x:c>
      <x:c r="N218" s="4" t="str">
        <x:v>P0-003,P0-004</x:v>
      </x:c>
      <x:c r="O218" s="4" t="str">
        <x:v>综合方案§13核心数据模型</x:v>
      </x:c>
      <x:c r="P218" s="4" t="str">
        <x:v>FROZEN_M1_000</x:v>
      </x:c>
    </x:row>
    <x:row r="219" ht="23" customHeight="1">
      <x:c r="A219" s="4" t="str">
        <x:v>Supplier</x:v>
      </x:c>
      <x:c r="B219" s="4" t="str">
        <x:v>status</x:v>
      </x:c>
      <x:c r="C219" s="17" t="str">
        <x:v>status</x:v>
      </x:c>
      <x:c r="D219" s="4" t="str">
        <x:v>5</x:v>
      </x:c>
      <x:c r="E219" s="4" t="str">
        <x:v>Enum&lt;DRAFT|PENDING_REVIEW|CORRECTION_REQUIRED|ACTIVE|SUSPENDED|EXITING|EXITED&gt;</x:v>
      </x:c>
      <x:c r="F219" s="4" t="str">
        <x:v>YES</x:v>
      </x:c>
      <x:c r="G219" s="4" t="str">
        <x:v>DRAFT|PENDING_REVIEW|CORRECTION_REQUIRED|ACTIVE|SUSPENDED|EXITING|EXITED</x:v>
      </x:c>
      <x:c r="H219" s="17" t="str">
        <x:v>INTERNAL</x:v>
      </x:c>
      <x:c r="I219" s="17" t="str">
        <x:v>按资源权限与数据域访问；公开DTO另行白名单</x:v>
      </x:c>
      <x:c r="J219" s="17" t="str">
        <x:v>数据库实体不得直接序列化为响应</x:v>
      </x:c>
      <x:c r="K219" s="17" t="str">
        <x:v>only the frozen Supplier state machine may change it</x:v>
      </x:c>
      <x:c r="L219" s="17" t="str">
        <x:v>按实体version或审计日志保留变更证据</x:v>
      </x:c>
      <x:c r="M219" s="4" t="str">
        <x:v>M1</x:v>
      </x:c>
      <x:c r="N219" s="4" t="str">
        <x:v>P0-003,P0-004</x:v>
      </x:c>
      <x:c r="O219" s="4" t="str">
        <x:v>综合方案§13核心数据模型</x:v>
      </x:c>
      <x:c r="P219" s="4" t="str">
        <x:v>FROZEN_M1_000</x:v>
      </x:c>
    </x:row>
    <x:row r="220" ht="23" customHeight="1">
      <x:c r="A220" s="4" t="str">
        <x:v>Supplier</x:v>
      </x:c>
      <x:c r="B220" s="4" t="str">
        <x:v>pickupAddress</x:v>
      </x:c>
      <x:c r="C220" s="17" t="str">
        <x:v>pickupAddress</x:v>
      </x:c>
      <x:c r="D220" s="4" t="str">
        <x:v>6</x:v>
      </x:c>
      <x:c r="E220" s="4" t="str">
        <x:v>String</x:v>
      </x:c>
      <x:c r="F220" s="4" t="str">
        <x:v>YES</x:v>
      </x:c>
      <x:c r="G220" s="4" t="str">
        <x:v>1..500 UTF-8 chars</x:v>
      </x:c>
      <x:c r="H220" s="17" t="str">
        <x:v>PERSONAL_OR_SENSITIVE</x:v>
      </x:c>
      <x:c r="I220" s="17" t="str">
        <x:v>按角色、对象归属及配送阶段脱敏/解密</x:v>
      </x:c>
      <x:c r="J220" s="17" t="str">
        <x:v>禁止跨供应商、越阶段或批量无审批导出</x:v>
      </x:c>
      <x:c r="K220" s="17" t="str">
        <x:v>server validates type, ownership, state and length; client-derived ownership and authorization are never trusted</x:v>
      </x:c>
      <x:c r="L220" s="17" t="str">
        <x:v>按实体version或审计日志保留变更证据</x:v>
      </x:c>
      <x:c r="M220" s="4" t="str">
        <x:v>M1</x:v>
      </x:c>
      <x:c r="N220" s="4" t="str">
        <x:v>P0-003,P0-004</x:v>
      </x:c>
      <x:c r="O220" s="4" t="str">
        <x:v>综合方案§13核心数据模型</x:v>
      </x:c>
      <x:c r="P220" s="4" t="str">
        <x:v>FROZEN_M1_000</x:v>
      </x:c>
    </x:row>
    <x:row r="221" ht="23" customHeight="1">
      <x:c r="A221" s="4" t="str">
        <x:v>Supplier</x:v>
      </x:c>
      <x:c r="B221" s="4" t="str">
        <x:v>pickupLat</x:v>
      </x:c>
      <x:c r="C221" s="17" t="str">
        <x:v>pickupLat</x:v>
      </x:c>
      <x:c r="D221" s="4" t="str">
        <x:v>7</x:v>
      </x:c>
      <x:c r="E221" s="4" t="str">
        <x:v>Decimal(10,7)</x:v>
      </x:c>
      <x:c r="F221" s="4" t="str">
        <x:v>YES</x:v>
      </x:c>
      <x:c r="G221" s="4" t="str">
        <x:v>-90.0000000..90.0000000; scale 7</x:v>
      </x:c>
      <x:c r="H221" s="17" t="str">
        <x:v>PERSONAL_OR_SENSITIVE</x:v>
      </x:c>
      <x:c r="I221" s="17" t="str">
        <x:v>按角色、对象归属及配送阶段脱敏/解密</x:v>
      </x:c>
      <x:c r="J221" s="17" t="str">
        <x:v>禁止跨供应商、越阶段或批量无审批导出</x:v>
      </x:c>
      <x:c r="K221" s="17" t="str">
        <x:v>server validates type, ownership, state and length; client-derived ownership and authorization are never trusted</x:v>
      </x:c>
      <x:c r="L221" s="17" t="str">
        <x:v>按实体version或审计日志保留变更证据</x:v>
      </x:c>
      <x:c r="M221" s="4" t="str">
        <x:v>M1</x:v>
      </x:c>
      <x:c r="N221" s="4" t="str">
        <x:v>P0-003,P0-004</x:v>
      </x:c>
      <x:c r="O221" s="4" t="str">
        <x:v>综合方案§13核心数据模型</x:v>
      </x:c>
      <x:c r="P221" s="4" t="str">
        <x:v>FROZEN_M1_000</x:v>
      </x:c>
    </x:row>
    <x:row r="222" ht="23" customHeight="1">
      <x:c r="A222" s="4" t="str">
        <x:v>Supplier</x:v>
      </x:c>
      <x:c r="B222" s="4" t="str">
        <x:v>pickupLng</x:v>
      </x:c>
      <x:c r="C222" s="17" t="str">
        <x:v>pickupLng</x:v>
      </x:c>
      <x:c r="D222" s="4" t="str">
        <x:v>8</x:v>
      </x:c>
      <x:c r="E222" s="4" t="str">
        <x:v>Decimal(10,7)</x:v>
      </x:c>
      <x:c r="F222" s="4" t="str">
        <x:v>YES</x:v>
      </x:c>
      <x:c r="G222" s="4" t="str">
        <x:v>-180.0000000..180.0000000; scale 7</x:v>
      </x:c>
      <x:c r="H222" s="17" t="str">
        <x:v>PERSONAL_OR_SENSITIVE</x:v>
      </x:c>
      <x:c r="I222" s="17" t="str">
        <x:v>按角色、对象归属及配送阶段脱敏/解密</x:v>
      </x:c>
      <x:c r="J222" s="17" t="str">
        <x:v>禁止跨供应商、越阶段或批量无审批导出</x:v>
      </x:c>
      <x:c r="K222" s="17" t="str">
        <x:v>server validates type, ownership, state and length; client-derived ownership and authorization are never trusted</x:v>
      </x:c>
      <x:c r="L222" s="17" t="str">
        <x:v>按实体version或审计日志保留变更证据</x:v>
      </x:c>
      <x:c r="M222" s="4" t="str">
        <x:v>M1</x:v>
      </x:c>
      <x:c r="N222" s="4" t="str">
        <x:v>P0-003,P0-004</x:v>
      </x:c>
      <x:c r="O222" s="4" t="str">
        <x:v>综合方案§13核心数据模型</x:v>
      </x:c>
      <x:c r="P222" s="4" t="str">
        <x:v>FROZEN_M1_000</x:v>
      </x:c>
    </x:row>
    <x:row r="223" ht="23" customHeight="1">
      <x:c r="A223" s="4" t="str">
        <x:v>Supplier</x:v>
      </x:c>
      <x:c r="B223" s="4" t="str">
        <x:v>settlementAccountMasked</x:v>
      </x:c>
      <x:c r="C223" s="17" t="str">
        <x:v>settlementAccountMasked</x:v>
      </x:c>
      <x:c r="D223" s="4" t="str">
        <x:v>9</x:v>
      </x:c>
      <x:c r="E223" s="4" t="str">
        <x:v>String(128)</x:v>
      </x:c>
      <x:c r="F223" s="4" t="str">
        <x:v>YES</x:v>
      </x:c>
      <x:c r="G223" s="4" t="str">
        <x:v>masked account label only; 4..128 chars; full account forbidden</x:v>
      </x:c>
      <x:c r="H223" s="17" t="str">
        <x:v>FINANCIAL</x:v>
      </x:c>
      <x:c r="I223" s="17" t="str">
        <x:v>公司财务与必要业务职能；供应商仅本供应商结算视图</x:v>
      </x:c>
      <x:c r="J223" s="17" t="str">
        <x:v>消费者响应仅返回自身交易白名单字段</x:v>
      </x:c>
      <x:c r="K223" s="17" t="str">
        <x:v>server validates type, ownership, state and length; client-derived ownership and authorization are never trusted</x:v>
      </x:c>
      <x:c r="L223" s="17" t="str">
        <x:v>按实体version或审计日志保留变更证据</x:v>
      </x:c>
      <x:c r="M223" s="4" t="str">
        <x:v>M1</x:v>
      </x:c>
      <x:c r="N223" s="4" t="str">
        <x:v>P0-003,P0-004</x:v>
      </x:c>
      <x:c r="O223" s="4" t="str">
        <x:v>综合方案§13核心数据模型</x:v>
      </x:c>
      <x:c r="P223" s="4" t="str">
        <x:v>FROZEN_M1_000</x:v>
      </x:c>
    </x:row>
    <x:row r="224" ht="23" customHeight="1">
      <x:c r="A224" s="4" t="str">
        <x:v>Supplier</x:v>
      </x:c>
      <x:c r="B224" s="4" t="str">
        <x:v>qualificationSnapshot</x:v>
      </x:c>
      <x:c r="C224" s="17" t="str">
        <x:v>qualificationSnapshot</x:v>
      </x:c>
      <x:c r="D224" s="4" t="str">
        <x:v>10</x:v>
      </x:c>
      <x:c r="E224" s="4" t="str">
        <x:v>Json</x:v>
      </x:c>
      <x:c r="F224" s="4" t="str">
        <x:v>YES</x:v>
      </x:c>
      <x:c r="G224" s="4" t="str">
        <x:v>SupplierQualificationSnapshotSchemaV1</x:v>
      </x:c>
      <x:c r="H224" s="17" t="str">
        <x:v>INTERNAL</x:v>
      </x:c>
      <x:c r="I224" s="17" t="str">
        <x:v>按资源权限与数据域访问；公开DTO另行白名单</x:v>
      </x:c>
      <x:c r="J224" s="17" t="str">
        <x:v>数据库实体不得直接序列化为响应</x:v>
      </x:c>
      <x:c r="K224" s="17" t="str">
        <x:v>server validates type, ownership, state and length; client-derived ownership and authorization are never trusted</x:v>
      </x:c>
      <x:c r="L224" s="17" t="str">
        <x:v>按实体version或审计日志保留变更证据</x:v>
      </x:c>
      <x:c r="M224" s="4" t="str">
        <x:v>M1</x:v>
      </x:c>
      <x:c r="N224" s="4" t="str">
        <x:v>P0-003,P0-004</x:v>
      </x:c>
      <x:c r="O224" s="4" t="str">
        <x:v>综合方案§13核心数据模型</x:v>
      </x:c>
      <x:c r="P224" s="4" t="str">
        <x:v>FROZEN_M1_000</x:v>
      </x:c>
    </x:row>
    <x:row r="225" ht="23" customHeight="1">
      <x:c r="A225" s="4" t="str">
        <x:v>SupplierUser</x:v>
      </x:c>
      <x:c r="B225" s="4" t="str">
        <x:v>id</x:v>
      </x:c>
      <x:c r="C225" s="17" t="str">
        <x:v>id</x:v>
      </x:c>
      <x:c r="D225" s="4" t="str">
        <x:v>1</x:v>
      </x:c>
      <x:c r="E225" s="4" t="str">
        <x:v>UUID</x:v>
      </x:c>
      <x:c r="F225" s="4" t="str">
        <x:v>YES</x:v>
      </x:c>
      <x:c r="G225" s="4" t="str">
        <x:v>UUID v4 canonical lowercase text</x:v>
      </x:c>
      <x:c r="H225" s="17" t="str">
        <x:v>INTERNAL</x:v>
      </x:c>
      <x:c r="I225" s="17" t="str">
        <x:v>按资源权限与数据域访问；公开DTO另行白名单</x:v>
      </x:c>
      <x:c r="J225" s="17" t="str">
        <x:v>数据库实体不得直接序列化为响应</x:v>
      </x:c>
      <x:c r="K225" s="17" t="str">
        <x:v>server validates type, ownership, state and length; client-derived ownership and authorization are never trusted</x:v>
      </x:c>
      <x:c r="L225" s="17" t="str">
        <x:v>按实体version或审计日志保留变更证据</x:v>
      </x:c>
      <x:c r="M225" s="4" t="str">
        <x:v>M1</x:v>
      </x:c>
      <x:c r="N225" s="4" t="str">
        <x:v>P0-005,P0-069,P0-070,P0-004,P0-072</x:v>
      </x:c>
      <x:c r="O225" s="4" t="str">
        <x:v>综合方案§13核心数据模型</x:v>
      </x:c>
      <x:c r="P225" s="4" t="str">
        <x:v>FROZEN_M1_000</x:v>
      </x:c>
    </x:row>
    <x:row r="226" ht="23" customHeight="1">
      <x:c r="A226" s="4" t="str">
        <x:v>SupplierUser</x:v>
      </x:c>
      <x:c r="B226" s="4" t="str">
        <x:v>supplierId</x:v>
      </x:c>
      <x:c r="C226" s="17" t="str">
        <x:v>supplierId</x:v>
      </x:c>
      <x:c r="D226" s="4" t="str">
        <x:v>2</x:v>
      </x:c>
      <x:c r="E226" s="4" t="str">
        <x:v>UUID</x:v>
      </x:c>
      <x:c r="F226" s="4" t="str">
        <x:v>YES</x:v>
      </x:c>
      <x:c r="G226" s="4" t="str">
        <x:v>UUID v4 canonical lowercase text</x:v>
      </x:c>
      <x:c r="H226" s="17" t="str">
        <x:v>INTERNAL</x:v>
      </x:c>
      <x:c r="I226" s="17" t="str">
        <x:v>按资源权限与数据域访问；公开DTO另行白名单</x:v>
      </x:c>
      <x:c r="J226" s="17" t="str">
        <x:v>数据库实体不得直接序列化为响应</x:v>
      </x:c>
      <x:c r="K226" s="17" t="str">
        <x:v>written only by approved invitation or onboarding activation; login input cannot override it</x:v>
      </x:c>
      <x:c r="L226" s="17" t="str">
        <x:v>按实体version或审计日志保留变更证据</x:v>
      </x:c>
      <x:c r="M226" s="4" t="str">
        <x:v>M1</x:v>
      </x:c>
      <x:c r="N226" s="4" t="str">
        <x:v>P0-005,P0-069,P0-070,P0-004,P0-072</x:v>
      </x:c>
      <x:c r="O226" s="4" t="str">
        <x:v>综合方案§13核心数据模型</x:v>
      </x:c>
      <x:c r="P226" s="4" t="str">
        <x:v>FROZEN_M1_000</x:v>
      </x:c>
    </x:row>
    <x:row r="227" ht="23" customHeight="1">
      <x:c r="A227" s="4" t="str">
        <x:v>SupplierUser</x:v>
      </x:c>
      <x:c r="B227" s="4" t="str">
        <x:v>name</x:v>
      </x:c>
      <x:c r="C227" s="17" t="str">
        <x:v>name</x:v>
      </x:c>
      <x:c r="D227" s="4" t="str">
        <x:v>3</x:v>
      </x:c>
      <x:c r="E227" s="4" t="str">
        <x:v>String</x:v>
      </x:c>
      <x:c r="F227" s="4" t="str">
        <x:v>YES</x:v>
      </x:c>
      <x:c r="G227" s="4" t="str">
        <x:v>UTF-8; 1..128 chars unless a narrower rule applies</x:v>
      </x:c>
      <x:c r="H227" s="17" t="str">
        <x:v>INTERNAL</x:v>
      </x:c>
      <x:c r="I227" s="17" t="str">
        <x:v>按资源权限与数据域访问；公开DTO另行白名单</x:v>
      </x:c>
      <x:c r="J227" s="17" t="str">
        <x:v>数据库实体不得直接序列化为响应</x:v>
      </x:c>
      <x:c r="K227" s="17" t="str">
        <x:v>server validates type, ownership, state and length; client-derived ownership and authorization are never trusted</x:v>
      </x:c>
      <x:c r="L227" s="17" t="str">
        <x:v>按实体version或审计日志保留变更证据</x:v>
      </x:c>
      <x:c r="M227" s="4" t="str">
        <x:v>M1</x:v>
      </x:c>
      <x:c r="N227" s="4" t="str">
        <x:v>P0-005,P0-069,P0-070,P0-004,P0-072</x:v>
      </x:c>
      <x:c r="O227" s="4" t="str">
        <x:v>综合方案§13核心数据模型</x:v>
      </x:c>
      <x:c r="P227" s="4" t="str">
        <x:v>FROZEN_M1_000</x:v>
      </x:c>
    </x:row>
    <x:row r="228" ht="23" customHeight="1">
      <x:c r="A228" s="4" t="str">
        <x:v>SupplierUser</x:v>
      </x:c>
      <x:c r="B228" s="4" t="str">
        <x:v>mobile</x:v>
      </x:c>
      <x:c r="C228" s="17" t="str">
        <x:v>mobile</x:v>
      </x:c>
      <x:c r="D228" s="4" t="str">
        <x:v>4</x:v>
      </x:c>
      <x:c r="E228" s="4" t="str">
        <x:v>String</x:v>
      </x:c>
      <x:c r="F228" s="4" t="str">
        <x:v>YES</x:v>
      </x:c>
      <x:c r="G228" s="4" t="str">
        <x:v>E.164; 8..15 digits after optional leading +</x:v>
      </x:c>
      <x:c r="H228" s="17" t="str">
        <x:v>PERSONAL_OR_SENSITIVE</x:v>
      </x:c>
      <x:c r="I228" s="17" t="str">
        <x:v>按角色、对象归属及配送阶段脱敏/解密</x:v>
      </x:c>
      <x:c r="J228" s="17" t="str">
        <x:v>禁止跨供应商、越阶段或批量无审批导出</x:v>
      </x:c>
      <x:c r="K228" s="17" t="str">
        <x:v>server validates type, ownership, state and length; client-derived ownership and authorization are never trusted</x:v>
      </x:c>
      <x:c r="L228" s="17" t="str">
        <x:v>按实体version或审计日志保留变更证据</x:v>
      </x:c>
      <x:c r="M228" s="4" t="str">
        <x:v>M1</x:v>
      </x:c>
      <x:c r="N228" s="4" t="str">
        <x:v>P0-005,P0-069,P0-070,P0-004,P0-072</x:v>
      </x:c>
      <x:c r="O228" s="4" t="str">
        <x:v>综合方案§13核心数据模型</x:v>
      </x:c>
      <x:c r="P228" s="4" t="str">
        <x:v>FROZEN_M1_000</x:v>
      </x:c>
    </x:row>
    <x:row r="229" ht="23" customHeight="1">
      <x:c r="A229" s="4" t="str">
        <x:v>SupplierUser</x:v>
      </x:c>
      <x:c r="B229" s="4" t="str">
        <x:v>email</x:v>
      </x:c>
      <x:c r="C229" s="17" t="str">
        <x:v>email</x:v>
      </x:c>
      <x:c r="D229" s="4" t="str">
        <x:v>5</x:v>
      </x:c>
      <x:c r="E229" s="4" t="str">
        <x:v>String</x:v>
      </x:c>
      <x:c r="F229" s="4" t="str">
        <x:v>YES</x:v>
      </x:c>
      <x:c r="G229" s="4" t="str">
        <x:v>RFC 5322-compatible address; max 254 chars</x:v>
      </x:c>
      <x:c r="H229" s="17" t="str">
        <x:v>PERSONAL_OR_SENSITIVE</x:v>
      </x:c>
      <x:c r="I229" s="17" t="str">
        <x:v>按角色、对象归属及配送阶段脱敏/解密</x:v>
      </x:c>
      <x:c r="J229" s="17" t="str">
        <x:v>禁止跨供应商、越阶段或批量无审批导出</x:v>
      </x:c>
      <x:c r="K229" s="17" t="str">
        <x:v>server validates type, ownership, state and length; client-derived ownership and authorization are never trusted</x:v>
      </x:c>
      <x:c r="L229" s="17" t="str">
        <x:v>按实体version或审计日志保留变更证据</x:v>
      </x:c>
      <x:c r="M229" s="4" t="str">
        <x:v>M1</x:v>
      </x:c>
      <x:c r="N229" s="4" t="str">
        <x:v>P0-005,P0-069,P0-070,P0-004,P0-072</x:v>
      </x:c>
      <x:c r="O229" s="4" t="str">
        <x:v>综合方案§13核心数据模型</x:v>
      </x:c>
      <x:c r="P229" s="4" t="str">
        <x:v>FROZEN_M1_000</x:v>
      </x:c>
    </x:row>
    <x:row r="230" ht="23" customHeight="1">
      <x:c r="A230" s="4" t="str">
        <x:v>SupplierUser</x:v>
      </x:c>
      <x:c r="B230" s="4" t="str">
        <x:v>status</x:v>
      </x:c>
      <x:c r="C230" s="17" t="str">
        <x:v>status</x:v>
      </x:c>
      <x:c r="D230" s="4" t="str">
        <x:v>6</x:v>
      </x:c>
      <x:c r="E230" s="4" t="str">
        <x:v>Enum&lt;INVITED|ACTIVE|LOCKED|SUSPENDED|REVOKED&gt;</x:v>
      </x:c>
      <x:c r="F230" s="4" t="str">
        <x:v>YES</x:v>
      </x:c>
      <x:c r="G230" s="4" t="str">
        <x:v>INVITED|ACTIVE|LOCKED|SUSPENDED|REVOKED</x:v>
      </x:c>
      <x:c r="H230" s="17" t="str">
        <x:v>INTERNAL</x:v>
      </x:c>
      <x:c r="I230" s="17" t="str">
        <x:v>按资源权限与数据域访问；公开DTO另行白名单</x:v>
      </x:c>
      <x:c r="J230" s="17" t="str">
        <x:v>数据库实体不得直接序列化为响应</x:v>
      </x:c>
      <x:c r="K230" s="17" t="str">
        <x:v>server validates type, ownership, state and length; client-derived ownership and authorization are never trusted</x:v>
      </x:c>
      <x:c r="L230" s="17" t="str">
        <x:v>按实体version或审计日志保留变更证据</x:v>
      </x:c>
      <x:c r="M230" s="4" t="str">
        <x:v>M1</x:v>
      </x:c>
      <x:c r="N230" s="4" t="str">
        <x:v>P0-005,P0-069,P0-070,P0-004,P0-072</x:v>
      </x:c>
      <x:c r="O230" s="4" t="str">
        <x:v>综合方案§13核心数据模型</x:v>
      </x:c>
      <x:c r="P230" s="4" t="str">
        <x:v>FROZEN_M1_000</x:v>
      </x:c>
    </x:row>
    <x:row r="231" ht="23" customHeight="1">
      <x:c r="A231" s="4" t="str">
        <x:v>SupplierUser</x:v>
      </x:c>
      <x:c r="B231" s="4" t="str">
        <x:v>lastLoginAt</x:v>
      </x:c>
      <x:c r="C231" s="17" t="str">
        <x:v>lastLoginAt</x:v>
      </x:c>
      <x:c r="D231" s="4" t="str">
        <x:v>7</x:v>
      </x:c>
      <x:c r="E231" s="4" t="str">
        <x:v>DateTime</x:v>
      </x:c>
      <x:c r="F231" s="4" t="str">
        <x:v>YES</x:v>
      </x:c>
      <x:c r="G231" s="4" t="str">
        <x:v>ISO-8601 UTC timestamp</x:v>
      </x:c>
      <x:c r="H231" s="17" t="str">
        <x:v>INTERNAL</x:v>
      </x:c>
      <x:c r="I231" s="17" t="str">
        <x:v>按资源权限与数据域访问；公开DTO另行白名单</x:v>
      </x:c>
      <x:c r="J231" s="17" t="str">
        <x:v>数据库实体不得直接序列化为响应</x:v>
      </x:c>
      <x:c r="K231" s="17" t="str">
        <x:v>server validates type, ownership, state and length; client-derived ownership and authorization are never trusted</x:v>
      </x:c>
      <x:c r="L231" s="17" t="str">
        <x:v>按实体version或审计日志保留变更证据</x:v>
      </x:c>
      <x:c r="M231" s="4" t="str">
        <x:v>M1</x:v>
      </x:c>
      <x:c r="N231" s="4" t="str">
        <x:v>P0-005,P0-069,P0-070,P0-004,P0-072</x:v>
      </x:c>
      <x:c r="O231" s="4" t="str">
        <x:v>综合方案§13核心数据模型</x:v>
      </x:c>
      <x:c r="P231" s="4" t="str">
        <x:v>FROZEN_M1_000</x:v>
      </x:c>
    </x:row>
    <x:row r="232" ht="23" customHeight="1">
      <x:c r="A232" s="4" t="str">
        <x:v>SupplierUser</x:v>
      </x:c>
      <x:c r="B232" s="4" t="str">
        <x:v>version</x:v>
      </x:c>
      <x:c r="C232" s="17" t="str">
        <x:v>version</x:v>
      </x:c>
      <x:c r="D232" s="4" t="str">
        <x:v>8</x:v>
      </x:c>
      <x:c r="E232" s="4" t="str">
        <x:v>Int</x:v>
      </x:c>
      <x:c r="F232" s="4" t="str">
        <x:v>YES</x:v>
      </x:c>
      <x:c r="G232" s="4" t="str">
        <x:v>integer &gt;= 0; optimistic-lock token</x:v>
      </x:c>
      <x:c r="H232" s="17" t="str">
        <x:v>INTERNAL</x:v>
      </x:c>
      <x:c r="I232" s="17" t="str">
        <x:v>按资源权限与数据域访问；公开DTO另行白名单</x:v>
      </x:c>
      <x:c r="J232" s="17" t="str">
        <x:v>数据库实体不得直接序列化为响应</x:v>
      </x:c>
      <x:c r="K232" s="17" t="str">
        <x:v>server validates type, ownership, state and length; client-derived ownership and authorization are never trusted</x:v>
      </x:c>
      <x:c r="L232" s="17" t="str">
        <x:v>按实体version或审计日志保留变更证据</x:v>
      </x:c>
      <x:c r="M232" s="4" t="str">
        <x:v>M1</x:v>
      </x:c>
      <x:c r="N232" s="4" t="str">
        <x:v>P0-005,P0-069,P0-070,P0-004,P0-072</x:v>
      </x:c>
      <x:c r="O232" s="4" t="str">
        <x:v>综合方案§13核心数据模型</x:v>
      </x:c>
      <x:c r="P232" s="4" t="str">
        <x:v>FROZEN_M1_000</x:v>
      </x:c>
    </x:row>
    <x:row r="233" ht="23" customHeight="1">
      <x:c r="A233" s="4" t="str">
        <x:v>Category</x:v>
      </x:c>
      <x:c r="B233" s="4" t="str">
        <x:v>id</x:v>
      </x:c>
      <x:c r="C233" s="17" t="str">
        <x:v>id</x:v>
      </x:c>
      <x:c r="D233" s="4" t="str">
        <x:v>1</x:v>
      </x:c>
      <x:c r="E233" s="4" t="str">
        <x:v>String(36)</x:v>
      </x:c>
      <x:c r="F233" s="4" t="str">
        <x:v>YES</x:v>
      </x:c>
      <x:c r="G233" s="4" t="str">
        <x:v>UUID v4</x:v>
      </x:c>
      <x:c r="H233" s="17" t="str">
        <x:v>INTERNAL</x:v>
      </x:c>
      <x:c r="I233" s="17" t="str">
        <x:v>按资源权限与数据域访问；公开DTO另行白名单</x:v>
      </x:c>
      <x:c r="J233" s="17" t="str">
        <x:v>数据库实体不得直接序列化为响应</x:v>
      </x:c>
      <x:c r="K233" s="17" t="str">
        <x:v>server-owned identifier; ownership verified before lookup result</x:v>
      </x:c>
      <x:c r="L233" s="17" t="str">
        <x:v>按实体version或审计日志保留变更证据</x:v>
      </x:c>
      <x:c r="M233" s="4" t="str">
        <x:v>M2</x:v>
      </x:c>
      <x:c r="N233" s="4" t="str">
        <x:v>P0-011</x:v>
      </x:c>
      <x:c r="O233" s="4" t="str">
        <x:v>综合方案§13核心数据模型</x:v>
      </x:c>
      <x:c r="P233" s="4" t="str">
        <x:v>FROZEN_M2_000</x:v>
      </x:c>
    </x:row>
    <x:row r="234" ht="23" customHeight="1">
      <x:c r="A234" s="4" t="str">
        <x:v>Category</x:v>
      </x:c>
      <x:c r="B234" s="4" t="str">
        <x:v>parentId</x:v>
      </x:c>
      <x:c r="C234" s="17" t="str">
        <x:v>parentId</x:v>
      </x:c>
      <x:c r="D234" s="4" t="str">
        <x:v>2</x:v>
      </x:c>
      <x:c r="E234" s="4" t="str">
        <x:v>String(36)</x:v>
      </x:c>
      <x:c r="F234" s="4" t="str">
        <x:v>YES</x:v>
      </x:c>
      <x:c r="G234" s="4" t="str">
        <x:v>UUID v4</x:v>
      </x:c>
      <x:c r="H234" s="17" t="str">
        <x:v>INTERNAL</x:v>
      </x:c>
      <x:c r="I234" s="17" t="str">
        <x:v>按资源权限与数据域访问；公开DTO另行白名单</x:v>
      </x:c>
      <x:c r="J234" s="17" t="str">
        <x:v>数据库实体不得直接序列化为响应</x:v>
      </x:c>
      <x:c r="K234" s="17" t="str">
        <x:v>nullable only for level 1; no cycles; parent level must be exactly one less</x:v>
      </x:c>
      <x:c r="L234" s="17" t="str">
        <x:v>按实体version或审计日志保留变更证据</x:v>
      </x:c>
      <x:c r="M234" s="4" t="str">
        <x:v>M2</x:v>
      </x:c>
      <x:c r="N234" s="4" t="str">
        <x:v>P0-011</x:v>
      </x:c>
      <x:c r="O234" s="4" t="str">
        <x:v>综合方案§13核心数据模型</x:v>
      </x:c>
      <x:c r="P234" s="4" t="str">
        <x:v>FROZEN_M2_000</x:v>
      </x:c>
    </x:row>
    <x:row r="235" ht="23" customHeight="1">
      <x:c r="A235" s="4" t="str">
        <x:v>Category</x:v>
      </x:c>
      <x:c r="B235" s="4" t="str">
        <x:v>name</x:v>
      </x:c>
      <x:c r="C235" s="17" t="str">
        <x:v>name</x:v>
      </x:c>
      <x:c r="D235" s="4" t="str">
        <x:v>3</x:v>
      </x:c>
      <x:c r="E235" s="4" t="str">
        <x:v>String(100)</x:v>
      </x:c>
      <x:c r="F235" s="4" t="str">
        <x:v>YES</x:v>
      </x:c>
      <x:c r="G235" s="4" t="str">
        <x:v>UTF-8; max 100 chars</x:v>
      </x:c>
      <x:c r="H235" s="17" t="str">
        <x:v>INTERNAL</x:v>
      </x:c>
      <x:c r="I235" s="17" t="str">
        <x:v>按资源权限与数据域访问；公开DTO另行白名单</x:v>
      </x:c>
      <x:c r="J235" s="17" t="str">
        <x:v>数据库实体不得直接序列化为响应</x:v>
      </x:c>
      <x:c r="K235" s="17" t="str">
        <x:v>trimmed; non-empty; uniqueness enforced in owner scope</x:v>
      </x:c>
      <x:c r="L235" s="17" t="str">
        <x:v>按实体version或审计日志保留变更证据</x:v>
      </x:c>
      <x:c r="M235" s="4" t="str">
        <x:v>M2</x:v>
      </x:c>
      <x:c r="N235" s="4" t="str">
        <x:v>P0-011</x:v>
      </x:c>
      <x:c r="O235" s="4" t="str">
        <x:v>综合方案§13核心数据模型</x:v>
      </x:c>
      <x:c r="P235" s="4" t="str">
        <x:v>FROZEN_M2_000</x:v>
      </x:c>
    </x:row>
    <x:row r="236" ht="23" customHeight="1">
      <x:c r="A236" s="4" t="str">
        <x:v>Category</x:v>
      </x:c>
      <x:c r="B236" s="4" t="str">
        <x:v>level</x:v>
      </x:c>
      <x:c r="C236" s="17" t="str">
        <x:v>level</x:v>
      </x:c>
      <x:c r="D236" s="4" t="str">
        <x:v>4</x:v>
      </x:c>
      <x:c r="E236" s="4" t="str">
        <x:v>Int</x:v>
      </x:c>
      <x:c r="F236" s="4" t="str">
        <x:v>YES</x:v>
      </x:c>
      <x:c r="G236" s="4" t="str">
        <x:v>1|2|3</x:v>
      </x:c>
      <x:c r="H236" s="17" t="str">
        <x:v>INTERNAL</x:v>
      </x:c>
      <x:c r="I236" s="17" t="str">
        <x:v>按资源权限与数据域访问；公开DTO另行白名单</x:v>
      </x:c>
      <x:c r="J236" s="17" t="str">
        <x:v>数据库实体不得直接序列化为响应</x:v>
      </x:c>
      <x:c r="K236" s="17" t="str">
        <x:v>integer 1..3; products bind only level 3</x:v>
      </x:c>
      <x:c r="L236" s="17" t="str">
        <x:v>按实体version或审计日志保留变更证据</x:v>
      </x:c>
      <x:c r="M236" s="4" t="str">
        <x:v>M2</x:v>
      </x:c>
      <x:c r="N236" s="4" t="str">
        <x:v>P0-011</x:v>
      </x:c>
      <x:c r="O236" s="4" t="str">
        <x:v>综合方案§13核心数据模型</x:v>
      </x:c>
      <x:c r="P236" s="4" t="str">
        <x:v>FROZEN_M2_000</x:v>
      </x:c>
    </x:row>
    <x:row r="237" ht="23" customHeight="1">
      <x:c r="A237" s="4" t="str">
        <x:v>Category</x:v>
      </x:c>
      <x:c r="B237" s="4" t="str">
        <x:v>sortWeight</x:v>
      </x:c>
      <x:c r="C237" s="17" t="str">
        <x:v>sortWeight</x:v>
      </x:c>
      <x:c r="D237" s="4" t="str">
        <x:v>5</x:v>
      </x:c>
      <x:c r="E237" s="4" t="str">
        <x:v>Int</x:v>
      </x:c>
      <x:c r="F237" s="4" t="str">
        <x:v>YES</x:v>
      </x:c>
      <x:c r="G237" s="4" t="str">
        <x:v>signed integer sort weight</x:v>
      </x:c>
      <x:c r="H237" s="17" t="str">
        <x:v>INTERNAL</x:v>
      </x:c>
      <x:c r="I237" s="17" t="str">
        <x:v>按资源权限与数据域访问；公开DTO另行白名单</x:v>
      </x:c>
      <x:c r="J237" s="17" t="str">
        <x:v>数据库实体不得直接序列化为响应</x:v>
      </x:c>
      <x:c r="K237" s="17" t="str">
        <x:v>DTO whitelist; length/enum/ownership/state validation; client-derived ownership rejected</x:v>
      </x:c>
      <x:c r="L237" s="17" t="str">
        <x:v>按实体version或审计日志保留变更证据</x:v>
      </x:c>
      <x:c r="M237" s="4" t="str">
        <x:v>M2</x:v>
      </x:c>
      <x:c r="N237" s="4" t="str">
        <x:v>P0-011</x:v>
      </x:c>
      <x:c r="O237" s="4" t="str">
        <x:v>综合方案§13核心数据模型</x:v>
      </x:c>
      <x:c r="P237" s="4" t="str">
        <x:v>FROZEN_M2_000</x:v>
      </x:c>
    </x:row>
    <x:row r="238" ht="23" customHeight="1">
      <x:c r="A238" s="4" t="str">
        <x:v>Category</x:v>
      </x:c>
      <x:c r="B238" s="4" t="str">
        <x:v>status</x:v>
      </x:c>
      <x:c r="C238" s="17" t="str">
        <x:v>status</x:v>
      </x:c>
      <x:c r="D238" s="4" t="str">
        <x:v>6</x:v>
      </x:c>
      <x:c r="E238" s="4" t="str">
        <x:v>Enum&lt;CategoryStatus&gt;</x:v>
      </x:c>
      <x:c r="F238" s="4" t="str">
        <x:v>YES</x:v>
      </x:c>
      <x:c r="G238" s="4" t="str">
        <x:v>ENABLED|DISABLED</x:v>
      </x:c>
      <x:c r="H238" s="17" t="str">
        <x:v>INTERNAL</x:v>
      </x:c>
      <x:c r="I238" s="17" t="str">
        <x:v>按资源权限与数据域访问；公开DTO另行白名单</x:v>
      </x:c>
      <x:c r="J238" s="17" t="str">
        <x:v>数据库实体不得直接序列化为响应</x:v>
      </x:c>
      <x:c r="K238" s="17" t="str">
        <x:v>enum value and legal transition enforced by domain state machine</x:v>
      </x:c>
      <x:c r="L238" s="17" t="str">
        <x:v>按实体version或审计日志保留变更证据</x:v>
      </x:c>
      <x:c r="M238" s="4" t="str">
        <x:v>M2</x:v>
      </x:c>
      <x:c r="N238" s="4" t="str">
        <x:v>P0-011</x:v>
      </x:c>
      <x:c r="O238" s="4" t="str">
        <x:v>综合方案§13核心数据模型</x:v>
      </x:c>
      <x:c r="P238" s="4" t="str">
        <x:v>FROZEN_M2_000</x:v>
      </x:c>
    </x:row>
    <x:row r="239" ht="23" customHeight="1">
      <x:c r="A239" s="4" t="str">
        <x:v>CategoryTemplate</x:v>
      </x:c>
      <x:c r="B239" s="4" t="str">
        <x:v>id</x:v>
      </x:c>
      <x:c r="C239" s="17" t="str">
        <x:v>id</x:v>
      </x:c>
      <x:c r="D239" s="4" t="str">
        <x:v>1</x:v>
      </x:c>
      <x:c r="E239" s="4" t="str">
        <x:v>String(36)</x:v>
      </x:c>
      <x:c r="F239" s="4" t="str">
        <x:v>YES</x:v>
      </x:c>
      <x:c r="G239" s="4" t="str">
        <x:v>UUID v4</x:v>
      </x:c>
      <x:c r="H239" s="17" t="str">
        <x:v>INTERNAL</x:v>
      </x:c>
      <x:c r="I239" s="17" t="str">
        <x:v>按角色、对象归属及配送阶段脱敏/解密</x:v>
      </x:c>
      <x:c r="J239" s="17" t="str">
        <x:v>禁止跨供应商、越阶段或批量无审批导出</x:v>
      </x:c>
      <x:c r="K239" s="17" t="str">
        <x:v>server-owned identifier; ownership verified before lookup result</x:v>
      </x:c>
      <x:c r="L239" s="17" t="str">
        <x:v>按实体version或审计日志保留变更证据</x:v>
      </x:c>
      <x:c r="M239" s="4" t="str">
        <x:v>M2</x:v>
      </x:c>
      <x:c r="N239" s="4" t="str">
        <x:v>P0-012,P0-013,P0-014,P0-015,P0-016,P0-017,P0-018</x:v>
      </x:c>
      <x:c r="O239" s="4" t="str">
        <x:v>综合方案§13核心数据模型</x:v>
      </x:c>
      <x:c r="P239" s="4" t="str">
        <x:v>FROZEN_M2_000</x:v>
      </x:c>
    </x:row>
    <x:row r="240" ht="23" customHeight="1">
      <x:c r="A240" s="4" t="str">
        <x:v>CategoryTemplate</x:v>
      </x:c>
      <x:c r="B240" s="4" t="str">
        <x:v>categoryId</x:v>
      </x:c>
      <x:c r="C240" s="17" t="str">
        <x:v>categoryId</x:v>
      </x:c>
      <x:c r="D240" s="4" t="str">
        <x:v>2</x:v>
      </x:c>
      <x:c r="E240" s="4" t="str">
        <x:v>String(36)</x:v>
      </x:c>
      <x:c r="F240" s="4" t="str">
        <x:v>YES</x:v>
      </x:c>
      <x:c r="G240" s="4" t="str">
        <x:v>UUID v4</x:v>
      </x:c>
      <x:c r="H240" s="17" t="str">
        <x:v>INTERNAL</x:v>
      </x:c>
      <x:c r="I240" s="17" t="str">
        <x:v>按角色、对象归属及配送阶段脱敏/解密</x:v>
      </x:c>
      <x:c r="J240" s="17" t="str">
        <x:v>禁止跨供应商、越阶段或批量无审批导出</x:v>
      </x:c>
      <x:c r="K240" s="17" t="str">
        <x:v>must reference an enabled leaf category for product submission</x:v>
      </x:c>
      <x:c r="L240" s="17" t="str">
        <x:v>按实体version或审计日志保留变更证据</x:v>
      </x:c>
      <x:c r="M240" s="4" t="str">
        <x:v>M2</x:v>
      </x:c>
      <x:c r="N240" s="4" t="str">
        <x:v>P0-012,P0-013,P0-014,P0-015,P0-016,P0-017,P0-018</x:v>
      </x:c>
      <x:c r="O240" s="4" t="str">
        <x:v>综合方案§13核心数据模型</x:v>
      </x:c>
      <x:c r="P240" s="4" t="str">
        <x:v>FROZEN_M2_000</x:v>
      </x:c>
    </x:row>
    <x:row r="241" ht="23" customHeight="1">
      <x:c r="A241" s="4" t="str">
        <x:v>CategoryTemplate</x:v>
      </x:c>
      <x:c r="B241" s="4" t="str">
        <x:v>version</x:v>
      </x:c>
      <x:c r="C241" s="17" t="str">
        <x:v>version</x:v>
      </x:c>
      <x:c r="D241" s="4" t="str">
        <x:v>3</x:v>
      </x:c>
      <x:c r="E241" s="4" t="str">
        <x:v>Int</x:v>
      </x:c>
      <x:c r="F241" s="4" t="str">
        <x:v>YES</x:v>
      </x:c>
      <x:c r="G241" s="4" t="str">
        <x:v>positive monotonic integer</x:v>
      </x:c>
      <x:c r="H241" s="17" t="str">
        <x:v>INTERNAL</x:v>
      </x:c>
      <x:c r="I241" s="17" t="str">
        <x:v>按角色、对象归属及配送阶段脱敏/解密</x:v>
      </x:c>
      <x:c r="J241" s="17" t="str">
        <x:v>禁止跨供应商、越阶段或批量无审批导出</x:v>
      </x:c>
      <x:c r="K241" s="17" t="str">
        <x:v>optimistic lock; increment exactly once per successful write</x:v>
      </x:c>
      <x:c r="L241" s="17" t="str">
        <x:v>按实体version或审计日志保留变更证据</x:v>
      </x:c>
      <x:c r="M241" s="4" t="str">
        <x:v>M2</x:v>
      </x:c>
      <x:c r="N241" s="4" t="str">
        <x:v>P0-012,P0-013,P0-014,P0-015,P0-016,P0-017,P0-018</x:v>
      </x:c>
      <x:c r="O241" s="4" t="str">
        <x:v>综合方案§13核心数据模型</x:v>
      </x:c>
      <x:c r="P241" s="4" t="str">
        <x:v>FROZEN_M2_000</x:v>
      </x:c>
    </x:row>
    <x:row r="242" ht="23" customHeight="1">
      <x:c r="A242" s="4" t="str">
        <x:v>CategoryTemplate</x:v>
      </x:c>
      <x:c r="B242" s="4" t="str">
        <x:v>fieldSchema</x:v>
      </x:c>
      <x:c r="C242" s="17" t="str">
        <x:v>fieldSchema</x:v>
      </x:c>
      <x:c r="D242" s="4" t="str">
        <x:v>4</x:v>
      </x:c>
      <x:c r="E242" s="4" t="str">
        <x:v>Json</x:v>
      </x:c>
      <x:c r="F242" s="4" t="str">
        <x:v>YES</x:v>
      </x:c>
      <x:c r="G242" s="4" t="str">
        <x:v>canonical JSON object; schema-versioned</x:v>
      </x:c>
      <x:c r="H242" s="17" t="str">
        <x:v>INTERNAL</x:v>
      </x:c>
      <x:c r="I242" s="17" t="str">
        <x:v>按角色、对象归属及配送阶段脱敏/解密</x:v>
      </x:c>
      <x:c r="J242" s="17" t="str">
        <x:v>禁止跨供应商、越阶段或批量无审批导出</x:v>
      </x:c>
      <x:c r="K242" s="17" t="str">
        <x:v>server validates immutable profile discriminator plus field type, required, unit, enum, dependency and display-module schema; FOOD, FRESH, APPAREL, DIGITAL and GIFT_BOX enforce frozen product fields and SKU dimensions; GIFT_BOX bundle-items require name, positive quantity, specification and minimumExpiryDays</x:v>
      </x:c>
      <x:c r="L242" s="17" t="str">
        <x:v>按实体version或审计日志保留变更证据</x:v>
      </x:c>
      <x:c r="M242" s="4" t="str">
        <x:v>M2</x:v>
      </x:c>
      <x:c r="N242" s="4" t="str">
        <x:v>P0-012,P0-013,P0-014,P0-015,P0-016,P0-017,P0-018</x:v>
      </x:c>
      <x:c r="O242" s="4" t="str">
        <x:v>综合方案§13核心数据模型</x:v>
      </x:c>
      <x:c r="P242" s="4" t="str">
        <x:v>IMPLEMENTED_P0_017</x:v>
      </x:c>
    </x:row>
    <x:row r="243" ht="23" customHeight="1">
      <x:c r="A243" s="4" t="str">
        <x:v>CategoryTemplate</x:v>
      </x:c>
      <x:c r="B243" s="4" t="str">
        <x:v>skuDimensions</x:v>
      </x:c>
      <x:c r="C243" s="17" t="str">
        <x:v>skuDimensions</x:v>
      </x:c>
      <x:c r="D243" s="4" t="str">
        <x:v>5</x:v>
      </x:c>
      <x:c r="E243" s="4" t="str">
        <x:v>String(191)</x:v>
      </x:c>
      <x:c r="F243" s="4" t="str">
        <x:v>YES</x:v>
      </x:c>
      <x:c r="G243" s="4" t="str">
        <x:v>UTF-8; max 191 chars</x:v>
      </x:c>
      <x:c r="H243" s="17" t="str">
        <x:v>INTERNAL</x:v>
      </x:c>
      <x:c r="I243" s="17" t="str">
        <x:v>按角色、对象归属及配送阶段脱敏/解密</x:v>
      </x:c>
      <x:c r="J243" s="17" t="str">
        <x:v>禁止跨供应商、越阶段或批量无审批导出</x:v>
      </x:c>
      <x:c r="K243" s="17" t="str">
        <x:v>new version only after publication; referenced versions cannot be overwritten</x:v>
      </x:c>
      <x:c r="L243" s="17" t="str">
        <x:v>按实体version或审计日志保留变更证据</x:v>
      </x:c>
      <x:c r="M243" s="4" t="str">
        <x:v>M2</x:v>
      </x:c>
      <x:c r="N243" s="4" t="str">
        <x:v>P0-012,P0-013,P0-014,P0-015,P0-016,P0-017,P0-018</x:v>
      </x:c>
      <x:c r="O243" s="4" t="str">
        <x:v>综合方案§13核心数据模型</x:v>
      </x:c>
      <x:c r="P243" s="4" t="str">
        <x:v>FROZEN_M2_000</x:v>
      </x:c>
    </x:row>
    <x:row r="244" ht="23" customHeight="1">
      <x:c r="A244" s="4" t="str">
        <x:v>CategoryTemplate</x:v>
      </x:c>
      <x:c r="B244" s="4" t="str">
        <x:v>qualificationRules</x:v>
      </x:c>
      <x:c r="C244" s="17" t="str">
        <x:v>qualificationRules</x:v>
      </x:c>
      <x:c r="D244" s="4" t="str">
        <x:v>6</x:v>
      </x:c>
      <x:c r="E244" s="4" t="str">
        <x:v>Json</x:v>
      </x:c>
      <x:c r="F244" s="4" t="str">
        <x:v>YES</x:v>
      </x:c>
      <x:c r="G244" s="4" t="str">
        <x:v>canonical JSON object; schema-versioned</x:v>
      </x:c>
      <x:c r="H244" s="17" t="str">
        <x:v>INTERNAL</x:v>
      </x:c>
      <x:c r="I244" s="17" t="str">
        <x:v>公司商品运营按固定职能访问；对客仅返回审核后的展示白名单</x:v>
      </x:c>
      <x:c r="J244" s="17" t="str">
        <x:v>禁止跨供应商、越阶段或返回资质受控对象引用</x:v>
      </x:c>
      <x:c r="K244" s="17" t="str">
        <x:v>HIGH_RISK regulatoryMode要求至少一项required且expiryRequired资质规则；公司显式控制及公司/商品qualificationValidUntil均未过期才能提交/审批/公开</x:v>
      </x:c>
      <x:c r="L244" s="17" t="str">
        <x:v>已发布模板版本不可覆盖；强监管启停由RegulatedCategoryControl版本/历史/幂等命令追加留痕</x:v>
      </x:c>
      <x:c r="M244" s="4" t="str">
        <x:v>M2</x:v>
      </x:c>
      <x:c r="N244" s="4" t="str">
        <x:v>P0-012,P0-013,P0-014,P0-015,P0-016,P0-017,P0-018</x:v>
      </x:c>
      <x:c r="O244" s="4" t="str">
        <x:v>综合方案§5分类模板与§6商品资质</x:v>
      </x:c>
      <x:c r="P244" s="4" t="str">
        <x:v>IMPLEMENTED_P0_018</x:v>
      </x:c>
    </x:row>
    <x:row r="245" ht="23" customHeight="1">
      <x:c r="A245" s="4" t="str">
        <x:v>CategoryTemplate</x:v>
      </x:c>
      <x:c r="B245" s="4" t="str">
        <x:v>detailModules</x:v>
      </x:c>
      <x:c r="C245" s="17" t="str">
        <x:v>detailModules</x:v>
      </x:c>
      <x:c r="D245" s="4" t="str">
        <x:v>7</x:v>
      </x:c>
      <x:c r="E245" s="4" t="str">
        <x:v>Json</x:v>
      </x:c>
      <x:c r="F245" s="4" t="str">
        <x:v>YES</x:v>
      </x:c>
      <x:c r="G245" s="4" t="str">
        <x:v>canonical JSON object; schema-versioned</x:v>
      </x:c>
      <x:c r="H245" s="17" t="str">
        <x:v>INTERNAL</x:v>
      </x:c>
      <x:c r="I245" s="17" t="str">
        <x:v>按角色、对象归属及配送阶段脱敏/解密</x:v>
      </x:c>
      <x:c r="J245" s="17" t="str">
        <x:v>禁止跨供应商、越阶段或批量无审批导出</x:v>
      </x:c>
      <x:c r="K245" s="17" t="str">
        <x:v>new version only after publication; referenced versions cannot be overwritten</x:v>
      </x:c>
      <x:c r="L245" s="17" t="str">
        <x:v>按实体version或审计日志保留变更证据</x:v>
      </x:c>
      <x:c r="M245" s="4" t="str">
        <x:v>M2</x:v>
      </x:c>
      <x:c r="N245" s="4" t="str">
        <x:v>P0-012,P0-013,P0-014,P0-015,P0-016,P0-017,P0-018</x:v>
      </x:c>
      <x:c r="O245" s="4" t="str">
        <x:v>综合方案§13核心数据模型</x:v>
      </x:c>
      <x:c r="P245" s="4" t="str">
        <x:v>FROZEN_M2_000</x:v>
      </x:c>
    </x:row>
    <x:row r="246" ht="23" customHeight="1">
      <x:c r="A246" s="4" t="str">
        <x:v>CategoryTemplate</x:v>
      </x:c>
      <x:c r="B246" s="4" t="str">
        <x:v>afterSaleRules</x:v>
      </x:c>
      <x:c r="C246" s="17" t="str">
        <x:v>afterSaleRules</x:v>
      </x:c>
      <x:c r="D246" s="4" t="str">
        <x:v>8</x:v>
      </x:c>
      <x:c r="E246" s="4" t="str">
        <x:v>Json</x:v>
      </x:c>
      <x:c r="F246" s="4" t="str">
        <x:v>YES</x:v>
      </x:c>
      <x:c r="G246" s="4" t="str">
        <x:v>canonical JSON object; schema-versioned</x:v>
      </x:c>
      <x:c r="H246" s="17" t="str">
        <x:v>INTERNAL</x:v>
      </x:c>
      <x:c r="I246" s="17" t="str">
        <x:v>按角色、对象归属及配送阶段脱敏/解密</x:v>
      </x:c>
      <x:c r="J246" s="17" t="str">
        <x:v>禁止跨供应商、越阶段或批量无审批导出</x:v>
      </x:c>
      <x:c r="K246" s="17" t="str">
        <x:v>new version only after publication; referenced versions cannot be overwritten</x:v>
      </x:c>
      <x:c r="L246" s="17" t="str">
        <x:v>按实体version或审计日志保留变更证据</x:v>
      </x:c>
      <x:c r="M246" s="4" t="str">
        <x:v>M2</x:v>
      </x:c>
      <x:c r="N246" s="4" t="str">
        <x:v>P0-012,P0-013,P0-014,P0-015,P0-016,P0-017,P0-018</x:v>
      </x:c>
      <x:c r="O246" s="4" t="str">
        <x:v>综合方案§13核心数据模型</x:v>
      </x:c>
      <x:c r="P246" s="4" t="str">
        <x:v>FROZEN_M2_000</x:v>
      </x:c>
    </x:row>
    <x:row r="247" ht="23" customHeight="1">
      <x:c r="A247" s="4" t="str">
        <x:v>CategoryTemplate</x:v>
      </x:c>
      <x:c r="B247" s="4" t="str">
        <x:v>status</x:v>
      </x:c>
      <x:c r="C247" s="17" t="str">
        <x:v>status</x:v>
      </x:c>
      <x:c r="D247" s="4" t="str">
        <x:v>9</x:v>
      </x:c>
      <x:c r="E247" s="4" t="str">
        <x:v>Enum&lt;CategoryTemplateStatus&gt;</x:v>
      </x:c>
      <x:c r="F247" s="4" t="str">
        <x:v>YES</x:v>
      </x:c>
      <x:c r="G247" s="4" t="str">
        <x:v>DRAFT|PUBLISHED|RETIRED</x:v>
      </x:c>
      <x:c r="H247" s="17" t="str">
        <x:v>INTERNAL</x:v>
      </x:c>
      <x:c r="I247" s="17" t="str">
        <x:v>按角色、对象归属及配送阶段脱敏/解密</x:v>
      </x:c>
      <x:c r="J247" s="17" t="str">
        <x:v>禁止跨供应商、越阶段或批量无审批导出</x:v>
      </x:c>
      <x:c r="K247" s="17" t="str">
        <x:v>new version only after publication; referenced versions and profile/regulatoryMode discriminators cannot be overwritten; HIGH_RISK defaults denied without explicit valid control</x:v>
      </x:c>
      <x:c r="L247" s="17" t="str">
        <x:v>按实体version或审计日志保留变更证据</x:v>
      </x:c>
      <x:c r="M247" s="4" t="str">
        <x:v>M2</x:v>
      </x:c>
      <x:c r="N247" s="4" t="str">
        <x:v>P0-012,P0-013,P0-014,P0-015,P0-016,P0-017,P0-018</x:v>
      </x:c>
      <x:c r="O247" s="4" t="str">
        <x:v>综合方案§13核心数据模型</x:v>
      </x:c>
      <x:c r="P247" s="4" t="str">
        <x:v>IMPLEMENTED_P0_018</x:v>
      </x:c>
    </x:row>
    <x:row r="248" ht="23" customHeight="1">
      <x:c r="A248" s="4" t="str">
        <x:v>SupplierProduct</x:v>
      </x:c>
      <x:c r="B248" s="4" t="str">
        <x:v>id</x:v>
      </x:c>
      <x:c r="C248" s="17" t="str">
        <x:v>id</x:v>
      </x:c>
      <x:c r="D248" s="4" t="str">
        <x:v>1</x:v>
      </x:c>
      <x:c r="E248" s="4" t="str">
        <x:v>String(36)</x:v>
      </x:c>
      <x:c r="F248" s="4" t="str">
        <x:v>YES</x:v>
      </x:c>
      <x:c r="G248" s="4" t="str">
        <x:v>UUID v4</x:v>
      </x:c>
      <x:c r="H248" s="17" t="str">
        <x:v>INTERNAL</x:v>
      </x:c>
      <x:c r="I248" s="17" t="str">
        <x:v>按资源权限与数据域访问；公开DTO另行白名单</x:v>
      </x:c>
      <x:c r="J248" s="17" t="str">
        <x:v>数据库实体不得直接序列化为响应</x:v>
      </x:c>
      <x:c r="K248" s="17" t="str">
        <x:v>server-owned identifier; ownership verified before lookup result</x:v>
      </x:c>
      <x:c r="L248" s="17" t="str">
        <x:v>按实体version或审计日志保留变更证据</x:v>
      </x:c>
      <x:c r="M248" s="4" t="str">
        <x:v>M2</x:v>
      </x:c>
      <x:c r="N248" s="4" t="str">
        <x:v>P0-006,P0-007,P0-008,P0-061</x:v>
      </x:c>
      <x:c r="O248" s="4" t="str">
        <x:v>综合方案§13核心数据模型</x:v>
      </x:c>
      <x:c r="P248" s="4" t="str">
        <x:v>FROZEN_M2_000</x:v>
      </x:c>
    </x:row>
    <x:row r="249" ht="23" customHeight="1">
      <x:c r="A249" s="4" t="str">
        <x:v>SupplierProduct</x:v>
      </x:c>
      <x:c r="B249" s="4" t="str">
        <x:v>supplierId</x:v>
      </x:c>
      <x:c r="C249" s="17" t="str">
        <x:v>supplierId</x:v>
      </x:c>
      <x:c r="D249" s="4" t="str">
        <x:v>2</x:v>
      </x:c>
      <x:c r="E249" s="4" t="str">
        <x:v>String(36)</x:v>
      </x:c>
      <x:c r="F249" s="4" t="str">
        <x:v>YES</x:v>
      </x:c>
      <x:c r="G249" s="4" t="str">
        <x:v>UUID v4</x:v>
      </x:c>
      <x:c r="H249" s="17" t="str">
        <x:v>INTERNAL</x:v>
      </x:c>
      <x:c r="I249" s="17" t="str">
        <x:v>按资源权限与数据域访问；公开DTO另行白名单</x:v>
      </x:c>
      <x:c r="J249" s="17" t="str">
        <x:v>数据库实体不得直接序列化为响应</x:v>
      </x:c>
      <x:c r="K249" s="17" t="str">
        <x:v>derived from authenticated server session; client value rejected</x:v>
      </x:c>
      <x:c r="L249" s="17" t="str">
        <x:v>按实体version或审计日志保留变更证据</x:v>
      </x:c>
      <x:c r="M249" s="4" t="str">
        <x:v>M2</x:v>
      </x:c>
      <x:c r="N249" s="4" t="str">
        <x:v>P0-006,P0-007,P0-008,P0-061</x:v>
      </x:c>
      <x:c r="O249" s="4" t="str">
        <x:v>综合方案§13核心数据模型</x:v>
      </x:c>
      <x:c r="P249" s="4" t="str">
        <x:v>FROZEN_M2_000</x:v>
      </x:c>
    </x:row>
    <x:row r="250" ht="23" customHeight="1">
      <x:c r="A250" s="4" t="str">
        <x:v>SupplierProduct</x:v>
      </x:c>
      <x:c r="B250" s="4" t="str">
        <x:v>categoryId</x:v>
      </x:c>
      <x:c r="C250" s="17" t="str">
        <x:v>categoryId</x:v>
      </x:c>
      <x:c r="D250" s="4" t="str">
        <x:v>3</x:v>
      </x:c>
      <x:c r="E250" s="4" t="str">
        <x:v>String(36)</x:v>
      </x:c>
      <x:c r="F250" s="4" t="str">
        <x:v>YES</x:v>
      </x:c>
      <x:c r="G250" s="4" t="str">
        <x:v>UUID v4</x:v>
      </x:c>
      <x:c r="H250" s="17" t="str">
        <x:v>INTERNAL</x:v>
      </x:c>
      <x:c r="I250" s="17" t="str">
        <x:v>按资源权限与数据域访问；公开DTO另行白名单</x:v>
      </x:c>
      <x:c r="J250" s="17" t="str">
        <x:v>数据库实体不得直接序列化为响应</x:v>
      </x:c>
      <x:c r="K250" s="17" t="str">
        <x:v>must reference an enabled leaf category for product submission</x:v>
      </x:c>
      <x:c r="L250" s="17" t="str">
        <x:v>按实体version或审计日志保留变更证据</x:v>
      </x:c>
      <x:c r="M250" s="4" t="str">
        <x:v>M2</x:v>
      </x:c>
      <x:c r="N250" s="4" t="str">
        <x:v>P0-006,P0-007,P0-008,P0-061</x:v>
      </x:c>
      <x:c r="O250" s="4" t="str">
        <x:v>综合方案§13核心数据模型</x:v>
      </x:c>
      <x:c r="P250" s="4" t="str">
        <x:v>FROZEN_M2_000</x:v>
      </x:c>
    </x:row>
    <x:row r="251" ht="23" customHeight="1">
      <x:c r="A251" s="4" t="str">
        <x:v>SupplierProduct</x:v>
      </x:c>
      <x:c r="B251" s="4" t="str">
        <x:v>templateVersion</x:v>
      </x:c>
      <x:c r="C251" s="17" t="str">
        <x:v>templateVersion</x:v>
      </x:c>
      <x:c r="D251" s="4" t="str">
        <x:v>4</x:v>
      </x:c>
      <x:c r="E251" s="4" t="str">
        <x:v>Int</x:v>
      </x:c>
      <x:c r="F251" s="4" t="str">
        <x:v>YES</x:v>
      </x:c>
      <x:c r="G251" s="4" t="str">
        <x:v>integer</x:v>
      </x:c>
      <x:c r="H251" s="17" t="str">
        <x:v>INTERNAL</x:v>
      </x:c>
      <x:c r="I251" s="17" t="str">
        <x:v>按角色、对象归属及配送阶段脱敏/解密</x:v>
      </x:c>
      <x:c r="J251" s="17" t="str">
        <x:v>禁止跨供应商、越阶段或批量无审批导出</x:v>
      </x:c>
      <x:c r="K251" s="17" t="str">
        <x:v>must reference an immutable published template version</x:v>
      </x:c>
      <x:c r="L251" s="17" t="str">
        <x:v>按实体version或审计日志保留变更证据</x:v>
      </x:c>
      <x:c r="M251" s="4" t="str">
        <x:v>M2</x:v>
      </x:c>
      <x:c r="N251" s="4" t="str">
        <x:v>P0-006,P0-007,P0-008,P0-061</x:v>
      </x:c>
      <x:c r="O251" s="4" t="str">
        <x:v>综合方案§13核心数据模型</x:v>
      </x:c>
      <x:c r="P251" s="4" t="str">
        <x:v>FROZEN_M2_000</x:v>
      </x:c>
    </x:row>
    <x:row r="252" ht="23" customHeight="1">
      <x:c r="A252" s="4" t="str">
        <x:v>SupplierProduct</x:v>
      </x:c>
      <x:c r="B252" s="4" t="str">
        <x:v>name</x:v>
      </x:c>
      <x:c r="C252" s="17" t="str">
        <x:v>name</x:v>
      </x:c>
      <x:c r="D252" s="4" t="str">
        <x:v>5</x:v>
      </x:c>
      <x:c r="E252" s="4" t="str">
        <x:v>String(200)</x:v>
      </x:c>
      <x:c r="F252" s="4" t="str">
        <x:v>YES</x:v>
      </x:c>
      <x:c r="G252" s="4" t="str">
        <x:v>UTF-8; max 200 chars</x:v>
      </x:c>
      <x:c r="H252" s="17" t="str">
        <x:v>INTERNAL</x:v>
      </x:c>
      <x:c r="I252" s="17" t="str">
        <x:v>按资源权限与数据域访问；公开DTO另行白名单</x:v>
      </x:c>
      <x:c r="J252" s="17" t="str">
        <x:v>数据库实体不得直接序列化为响应</x:v>
      </x:c>
      <x:c r="K252" s="17" t="str">
        <x:v>trimmed; non-empty; uniqueness enforced in owner scope</x:v>
      </x:c>
      <x:c r="L252" s="17" t="str">
        <x:v>按实体version或审计日志保留变更证据</x:v>
      </x:c>
      <x:c r="M252" s="4" t="str">
        <x:v>M2</x:v>
      </x:c>
      <x:c r="N252" s="4" t="str">
        <x:v>P0-006,P0-007,P0-008,P0-061</x:v>
      </x:c>
      <x:c r="O252" s="4" t="str">
        <x:v>综合方案§13核心数据模型</x:v>
      </x:c>
      <x:c r="P252" s="4" t="str">
        <x:v>FROZEN_M2_000</x:v>
      </x:c>
    </x:row>
    <x:row r="253" ht="23" customHeight="1">
      <x:c r="A253" s="4" t="str">
        <x:v>SupplierProduct</x:v>
      </x:c>
      <x:c r="B253" s="4" t="str">
        <x:v>brand</x:v>
      </x:c>
      <x:c r="C253" s="17" t="str">
        <x:v>brand?</x:v>
      </x:c>
      <x:c r="D253" s="4" t="str">
        <x:v>6</x:v>
      </x:c>
      <x:c r="E253" s="4" t="str">
        <x:v>String(120)</x:v>
      </x:c>
      <x:c r="F253" s="4" t="str">
        <x:v>NO</x:v>
      </x:c>
      <x:c r="G253" s="4" t="str">
        <x:v>UTF-8; max 120 chars</x:v>
      </x:c>
      <x:c r="H253" s="17" t="str">
        <x:v>INTERNAL</x:v>
      </x:c>
      <x:c r="I253" s="17" t="str">
        <x:v>按资源权限与数据域访问；公开DTO另行白名单</x:v>
      </x:c>
      <x:c r="J253" s="17" t="str">
        <x:v>数据库实体不得直接序列化为响应</x:v>
      </x:c>
      <x:c r="K253" s="17" t="str">
        <x:v>DTO whitelist; length/enum/ownership/state validation; client-derived ownership rejected</x:v>
      </x:c>
      <x:c r="L253" s="17" t="str">
        <x:v>按实体version或审计日志保留变更证据</x:v>
      </x:c>
      <x:c r="M253" s="4" t="str">
        <x:v>M2</x:v>
      </x:c>
      <x:c r="N253" s="4" t="str">
        <x:v>P0-006,P0-007,P0-008,P0-061</x:v>
      </x:c>
      <x:c r="O253" s="4" t="str">
        <x:v>综合方案§13核心数据模型</x:v>
      </x:c>
      <x:c r="P253" s="4" t="str">
        <x:v>FROZEN_M2_000</x:v>
      </x:c>
    </x:row>
    <x:row r="254" ht="23" customHeight="1">
      <x:c r="A254" s="4" t="str">
        <x:v>SupplierProduct</x:v>
      </x:c>
      <x:c r="B254" s="4" t="str">
        <x:v>attributes</x:v>
      </x:c>
      <x:c r="C254" s="17" t="str">
        <x:v>attributes</x:v>
      </x:c>
      <x:c r="D254" s="4" t="str">
        <x:v>7</x:v>
      </x:c>
      <x:c r="E254" s="4" t="str">
        <x:v>Json</x:v>
      </x:c>
      <x:c r="F254" s="4" t="str">
        <x:v>YES</x:v>
      </x:c>
      <x:c r="G254" s="4" t="str">
        <x:v>canonical JSON object; schema-versioned</x:v>
      </x:c>
      <x:c r="H254" s="17" t="str">
        <x:v>INTERNAL</x:v>
      </x:c>
      <x:c r="I254" s="17" t="str">
        <x:v>按资源权限与数据域访问；公开DTO另行白名单</x:v>
      </x:c>
      <x:c r="J254" s="17" t="str">
        <x:v>数据库实体不得直接序列化为响应</x:v>
      </x:c>
      <x:c r="K254" s="17" t="str">
        <x:v>validated against frozen schema; canonicalized; dangerous rich-text content rejected</x:v>
      </x:c>
      <x:c r="L254" s="17" t="str">
        <x:v>按实体version或审计日志保留变更证据</x:v>
      </x:c>
      <x:c r="M254" s="4" t="str">
        <x:v>M2</x:v>
      </x:c>
      <x:c r="N254" s="4" t="str">
        <x:v>P0-006,P0-007,P0-008,P0-061</x:v>
      </x:c>
      <x:c r="O254" s="4" t="str">
        <x:v>综合方案§13核心数据模型</x:v>
      </x:c>
      <x:c r="P254" s="4" t="str">
        <x:v>FROZEN_M2_000</x:v>
      </x:c>
    </x:row>
    <x:row r="255" ht="23" customHeight="1">
      <x:c r="A255" s="4" t="str">
        <x:v>SupplierProduct</x:v>
      </x:c>
      <x:c r="B255" s="4" t="str">
        <x:v>qualificationSnapshot</x:v>
      </x:c>
      <x:c r="C255" s="17" t="str">
        <x:v>qualificationSnapshot</x:v>
      </x:c>
      <x:c r="D255" s="4" t="str">
        <x:v>8</x:v>
      </x:c>
      <x:c r="E255" s="4" t="str">
        <x:v>Json</x:v>
      </x:c>
      <x:c r="F255" s="4" t="str">
        <x:v>YES</x:v>
      </x:c>
      <x:c r="G255" s="4" t="str">
        <x:v>canonical JSON object; schema-versioned</x:v>
      </x:c>
      <x:c r="H255" s="17" t="str">
        <x:v>PERSONAL_OR_SENSITIVE</x:v>
      </x:c>
      <x:c r="I255" s="17" t="str">
        <x:v>仅本供应商商品职能与公司商品运营授权可见；公开DTO另行白名单</x:v>
      </x:c>
      <x:c r="J255" s="17" t="str">
        <x:v>数据库实体及资质对象引用不得直接序列化为响应</x:v>
      </x:c>
      <x:c r="K255" s="17" t="str">
        <x:v>HIGH_RISK按模板required规则校验引用数并要求伴随qualificationValidUntil晚于服务端当前时间</x:v>
      </x:c>
      <x:c r="L255" s="17" t="str">
        <x:v>固化到资料版本和Product资质有效期快照；不回写历史</x:v>
      </x:c>
      <x:c r="M255" s="4" t="str">
        <x:v>M2</x:v>
      </x:c>
      <x:c r="N255" s="4" t="str">
        <x:v>P0-006,P0-007,P0-008,P0-018,P0-061</x:v>
      </x:c>
      <x:c r="O255" s="4" t="str">
        <x:v>综合方案§6商品资质</x:v>
      </x:c>
      <x:c r="P255" s="4" t="str">
        <x:v>IMPLEMENTED_P0_018</x:v>
      </x:c>
    </x:row>
    <x:row r="256" ht="23" customHeight="1">
      <x:c r="A256" s="4" t="str">
        <x:v>SupplierProduct</x:v>
      </x:c>
      <x:c r="B256" s="4" t="str">
        <x:v>isRetailEnabled</x:v>
      </x:c>
      <x:c r="C256" s="17" t="str">
        <x:v>isRetailEnabled</x:v>
      </x:c>
      <x:c r="D256" s="4" t="str">
        <x:v>9</x:v>
      </x:c>
      <x:c r="E256" s="4" t="str">
        <x:v>Boolean</x:v>
      </x:c>
      <x:c r="F256" s="4" t="str">
        <x:v>YES</x:v>
      </x:c>
      <x:c r="G256" s="4" t="str">
        <x:v>true|false</x:v>
      </x:c>
      <x:c r="H256" s="17" t="str">
        <x:v>INTERNAL</x:v>
      </x:c>
      <x:c r="I256" s="17" t="str">
        <x:v>按资源权限与数据域访问；公开DTO另行白名单</x:v>
      </x:c>
      <x:c r="J256" s="17" t="str">
        <x:v>数据库实体不得直接序列化为响应</x:v>
      </x:c>
      <x:c r="K256" s="17" t="str">
        <x:v>DTO whitelist; length/enum/ownership/state validation; client-derived ownership rejected</x:v>
      </x:c>
      <x:c r="L256" s="17" t="str">
        <x:v>按实体version或审计日志保留变更证据</x:v>
      </x:c>
      <x:c r="M256" s="4" t="str">
        <x:v>M2</x:v>
      </x:c>
      <x:c r="N256" s="4" t="str">
        <x:v>P0-006,P0-007,P0-008,P0-061</x:v>
      </x:c>
      <x:c r="O256" s="4" t="str">
        <x:v>综合方案§13核心数据模型</x:v>
      </x:c>
      <x:c r="P256" s="4" t="str">
        <x:v>FROZEN_M2_000</x:v>
      </x:c>
    </x:row>
    <x:row r="257" ht="23" customHeight="1">
      <x:c r="A257" s="4" t="str">
        <x:v>SupplierProduct</x:v>
      </x:c>
      <x:c r="B257" s="4" t="str">
        <x:v>isEnterpriseProcurementEnabled</x:v>
      </x:c>
      <x:c r="C257" s="17" t="str">
        <x:v>isEnterpriseProcurementEnabled</x:v>
      </x:c>
      <x:c r="D257" s="4" t="str">
        <x:v>10</x:v>
      </x:c>
      <x:c r="E257" s="4" t="str">
        <x:v>Boolean</x:v>
      </x:c>
      <x:c r="F257" s="4" t="str">
        <x:v>YES</x:v>
      </x:c>
      <x:c r="G257" s="4" t="str">
        <x:v>true|false</x:v>
      </x:c>
      <x:c r="H257" s="17" t="str">
        <x:v>INTERNAL</x:v>
      </x:c>
      <x:c r="I257" s="17" t="str">
        <x:v>按资源权限与数据域访问；公开DTO另行白名单</x:v>
      </x:c>
      <x:c r="J257" s="17" t="str">
        <x:v>数据库实体不得直接序列化为响应</x:v>
      </x:c>
      <x:c r="K257" s="17" t="str">
        <x:v>true exposes only after Product ACTIVE, enterprise price effective, and shared inventory available</x:v>
      </x:c>
      <x:c r="L257" s="17" t="str">
        <x:v>按实体version或审计日志保留变更证据</x:v>
      </x:c>
      <x:c r="M257" s="4" t="str">
        <x:v>M2</x:v>
      </x:c>
      <x:c r="N257" s="4" t="str">
        <x:v>P0-006,P0-007,P0-008,P0-061</x:v>
      </x:c>
      <x:c r="O257" s="4" t="str">
        <x:v>综合方案§13核心数据模型</x:v>
      </x:c>
      <x:c r="P257" s="4" t="str">
        <x:v>FROZEN_M2_000</x:v>
      </x:c>
    </x:row>
    <x:row r="258" ht="23" customHeight="1">
      <x:c r="A258" s="4" t="str">
        <x:v>SupplierProduct</x:v>
      </x:c>
      <x:c r="B258" s="4" t="str">
        <x:v>enterpriseMinOrderQty</x:v>
      </x:c>
      <x:c r="C258" s="17" t="str">
        <x:v>enterpriseMinOrderQty</x:v>
      </x:c>
      <x:c r="D258" s="4" t="str">
        <x:v>11</x:v>
      </x:c>
      <x:c r="E258" s="4" t="str">
        <x:v>Int</x:v>
      </x:c>
      <x:c r="F258" s="4" t="str">
        <x:v>YES</x:v>
      </x:c>
      <x:c r="G258" s="4" t="str">
        <x:v>non-negative integer quantity</x:v>
      </x:c>
      <x:c r="H258" s="17" t="str">
        <x:v>INTERNAL</x:v>
      </x:c>
      <x:c r="I258" s="17" t="str">
        <x:v>按资源权限与数据域访问；公开DTO另行白名单</x:v>
      </x:c>
      <x:c r="J258" s="17" t="str">
        <x:v>数据库实体不得直接序列化为响应</x:v>
      </x:c>
      <x:c r="K258" s="17" t="str">
        <x:v>positive integer when enterprise procurement is enabled</x:v>
      </x:c>
      <x:c r="L258" s="17" t="str">
        <x:v>按实体version或审计日志保留变更证据</x:v>
      </x:c>
      <x:c r="M258" s="4" t="str">
        <x:v>M2</x:v>
      </x:c>
      <x:c r="N258" s="4" t="str">
        <x:v>P0-006,P0-007,P0-008,P0-061</x:v>
      </x:c>
      <x:c r="O258" s="4" t="str">
        <x:v>综合方案§13核心数据模型</x:v>
      </x:c>
      <x:c r="P258" s="4" t="str">
        <x:v>FROZEN_M2_000</x:v>
      </x:c>
    </x:row>
    <x:row r="259" ht="23" customHeight="1">
      <x:c r="A259" s="4" t="str">
        <x:v>SupplierProduct</x:v>
      </x:c>
      <x:c r="B259" s="4" t="str">
        <x:v>enterprisePackageMultiple</x:v>
      </x:c>
      <x:c r="C259" s="17" t="str">
        <x:v>enterprisePackageMultiple</x:v>
      </x:c>
      <x:c r="D259" s="4" t="str">
        <x:v>12</x:v>
      </x:c>
      <x:c r="E259" s="4" t="str">
        <x:v>Int</x:v>
      </x:c>
      <x:c r="F259" s="4" t="str">
        <x:v>YES</x:v>
      </x:c>
      <x:c r="G259" s="4" t="str">
        <x:v>non-negative integer quantity</x:v>
      </x:c>
      <x:c r="H259" s="17" t="str">
        <x:v>INTERNAL</x:v>
      </x:c>
      <x:c r="I259" s="17" t="str">
        <x:v>按角色、对象归属及配送阶段脱敏/解密</x:v>
      </x:c>
      <x:c r="J259" s="17" t="str">
        <x:v>禁止跨供应商、越阶段或批量无审批导出</x:v>
      </x:c>
      <x:c r="K259" s="17" t="str">
        <x:v>positive integer when enterprise procurement is enabled</x:v>
      </x:c>
      <x:c r="L259" s="17" t="str">
        <x:v>按实体version或审计日志保留变更证据</x:v>
      </x:c>
      <x:c r="M259" s="4" t="str">
        <x:v>M2</x:v>
      </x:c>
      <x:c r="N259" s="4" t="str">
        <x:v>P0-006,P0-007,P0-008,P0-061</x:v>
      </x:c>
      <x:c r="O259" s="4" t="str">
        <x:v>综合方案§13核心数据模型</x:v>
      </x:c>
      <x:c r="P259" s="4" t="str">
        <x:v>FROZEN_M2_000</x:v>
      </x:c>
    </x:row>
    <x:row r="260" ht="23" customHeight="1">
      <x:c r="A260" s="4" t="str">
        <x:v>SupplierProduct</x:v>
      </x:c>
      <x:c r="B260" s="4" t="str">
        <x:v>preparationMinutes</x:v>
      </x:c>
      <x:c r="C260" s="17" t="str">
        <x:v>preparationMinutes</x:v>
      </x:c>
      <x:c r="D260" s="4" t="str">
        <x:v>13</x:v>
      </x:c>
      <x:c r="E260" s="4" t="str">
        <x:v>Int</x:v>
      </x:c>
      <x:c r="F260" s="4" t="str">
        <x:v>YES</x:v>
      </x:c>
      <x:c r="G260" s="4" t="str">
        <x:v>non-negative integer quantity</x:v>
      </x:c>
      <x:c r="H260" s="17" t="str">
        <x:v>INTERNAL</x:v>
      </x:c>
      <x:c r="I260" s="17" t="str">
        <x:v>按资源权限与数据域访问；公开DTO另行白名单</x:v>
      </x:c>
      <x:c r="J260" s="17" t="str">
        <x:v>数据库实体不得直接序列化为响应</x:v>
      </x:c>
      <x:c r="K260" s="17" t="str">
        <x:v>DTO whitelist; length/enum/ownership/state validation; client-derived ownership rejected</x:v>
      </x:c>
      <x:c r="L260" s="17" t="str">
        <x:v>按实体version或审计日志保留变更证据</x:v>
      </x:c>
      <x:c r="M260" s="4" t="str">
        <x:v>M2</x:v>
      </x:c>
      <x:c r="N260" s="4" t="str">
        <x:v>P0-006,P0-007,P0-008,P0-061</x:v>
      </x:c>
      <x:c r="O260" s="4" t="str">
        <x:v>综合方案§13核心数据模型</x:v>
      </x:c>
      <x:c r="P260" s="4" t="str">
        <x:v>FROZEN_M2_000</x:v>
      </x:c>
    </x:row>
    <x:row r="261" ht="23" customHeight="1">
      <x:c r="A261" s="4" t="str">
        <x:v>SupplierProduct</x:v>
      </x:c>
      <x:c r="B261" s="4" t="str">
        <x:v>status</x:v>
      </x:c>
      <x:c r="C261" s="17" t="str">
        <x:v>status</x:v>
      </x:c>
      <x:c r="D261" s="4" t="str">
        <x:v>14</x:v>
      </x:c>
      <x:c r="E261" s="4" t="str">
        <x:v>Enum&lt;SupplierProductStatus&gt;</x:v>
      </x:c>
      <x:c r="F261" s="4" t="str">
        <x:v>YES</x:v>
      </x:c>
      <x:c r="G261" s="4" t="str">
        <x:v>DRAFT|PENDING_MATERIAL_REVIEW|CORRECTION_REQUIRED|MATERIAL_APPROVED|ACTIVE|OFF_SHELF|REJECTED|ARCHIVED</x:v>
      </x:c>
      <x:c r="H261" s="17" t="str">
        <x:v>INTERNAL</x:v>
      </x:c>
      <x:c r="I261" s="17" t="str">
        <x:v>按资源权限与数据域访问；公开DTO另行白名单</x:v>
      </x:c>
      <x:c r="J261" s="17" t="str">
        <x:v>数据库实体不得直接序列化为响应</x:v>
      </x:c>
      <x:c r="K261" s="17" t="str">
        <x:v>enum value and legal transition enforced by domain state machine</x:v>
      </x:c>
      <x:c r="L261" s="17" t="str">
        <x:v>按实体version或审计日志保留变更证据</x:v>
      </x:c>
      <x:c r="M261" s="4" t="str">
        <x:v>M2</x:v>
      </x:c>
      <x:c r="N261" s="4" t="str">
        <x:v>P0-006,P0-007,P0-008,P0-061</x:v>
      </x:c>
      <x:c r="O261" s="4" t="str">
        <x:v>综合方案§13核心数据模型</x:v>
      </x:c>
      <x:c r="P261" s="4" t="str">
        <x:v>FROZEN_M2_000</x:v>
      </x:c>
    </x:row>
    <x:row r="262" ht="23" customHeight="1">
      <x:c r="A262" s="4" t="str">
        <x:v>SupplierProduct</x:v>
      </x:c>
      <x:c r="B262" s="4" t="str">
        <x:v>version</x:v>
      </x:c>
      <x:c r="C262" s="17" t="str">
        <x:v>version</x:v>
      </x:c>
      <x:c r="D262" s="4" t="str">
        <x:v>15</x:v>
      </x:c>
      <x:c r="E262" s="4" t="str">
        <x:v>Int</x:v>
      </x:c>
      <x:c r="F262" s="4" t="str">
        <x:v>YES</x:v>
      </x:c>
      <x:c r="G262" s="4" t="str">
        <x:v>positive monotonic integer</x:v>
      </x:c>
      <x:c r="H262" s="17" t="str">
        <x:v>INTERNAL</x:v>
      </x:c>
      <x:c r="I262" s="17" t="str">
        <x:v>按资源权限与数据域访问；公开DTO另行白名单</x:v>
      </x:c>
      <x:c r="J262" s="17" t="str">
        <x:v>数据库实体不得直接序列化为响应</x:v>
      </x:c>
      <x:c r="K262" s="17" t="str">
        <x:v>optimistic lock; increment exactly once per successful write</x:v>
      </x:c>
      <x:c r="L262" s="17" t="str">
        <x:v>按实体version或审计日志保留变更证据</x:v>
      </x:c>
      <x:c r="M262" s="4" t="str">
        <x:v>M2</x:v>
      </x:c>
      <x:c r="N262" s="4" t="str">
        <x:v>P0-006,P0-007,P0-008,P0-061</x:v>
      </x:c>
      <x:c r="O262" s="4" t="str">
        <x:v>综合方案§13核心数据模型</x:v>
      </x:c>
      <x:c r="P262" s="4" t="str">
        <x:v>FROZEN_M2_000</x:v>
      </x:c>
    </x:row>
    <x:row r="263" ht="23" customHeight="1">
      <x:c r="A263" s="4" t="str">
        <x:v>SupplierProductSku</x:v>
      </x:c>
      <x:c r="B263" s="4" t="str">
        <x:v>id</x:v>
      </x:c>
      <x:c r="C263" s="17" t="str">
        <x:v>id</x:v>
      </x:c>
      <x:c r="D263" s="4" t="str">
        <x:v>1</x:v>
      </x:c>
      <x:c r="E263" s="4" t="str">
        <x:v>String(36)</x:v>
      </x:c>
      <x:c r="F263" s="4" t="str">
        <x:v>YES</x:v>
      </x:c>
      <x:c r="G263" s="4" t="str">
        <x:v>UUID v4</x:v>
      </x:c>
      <x:c r="H263" s="17" t="str">
        <x:v>INTERNAL</x:v>
      </x:c>
      <x:c r="I263" s="17" t="str">
        <x:v>按资源权限与数据域访问；公开DTO另行白名单</x:v>
      </x:c>
      <x:c r="J263" s="17" t="str">
        <x:v>数据库实体不得直接序列化为响应</x:v>
      </x:c>
      <x:c r="K263" s="17" t="str">
        <x:v>server-owned identifier; ownership verified before lookup result</x:v>
      </x:c>
      <x:c r="L263" s="17" t="str">
        <x:v>按实体version或审计日志保留变更证据</x:v>
      </x:c>
      <x:c r="M263" s="4" t="str">
        <x:v>M2</x:v>
      </x:c>
      <x:c r="N263" s="4" t="str">
        <x:v>P0-006,P0-007,P0-008,P0-019,P0-061,P0-063</x:v>
      </x:c>
      <x:c r="O263" s="4" t="str">
        <x:v>综合方案§13核心数据模型</x:v>
      </x:c>
      <x:c r="P263" s="4" t="str">
        <x:v>FROZEN_M2_000</x:v>
      </x:c>
    </x:row>
    <x:row r="264" ht="23" customHeight="1">
      <x:c r="A264" s="4" t="str">
        <x:v>SupplierProductSku</x:v>
      </x:c>
      <x:c r="B264" s="4" t="str">
        <x:v>supplierProductId</x:v>
      </x:c>
      <x:c r="C264" s="17" t="str">
        <x:v>supplierProductId</x:v>
      </x:c>
      <x:c r="D264" s="4" t="str">
        <x:v>2</x:v>
      </x:c>
      <x:c r="E264" s="4" t="str">
        <x:v>String(36)</x:v>
      </x:c>
      <x:c r="F264" s="4" t="str">
        <x:v>YES</x:v>
      </x:c>
      <x:c r="G264" s="4" t="str">
        <x:v>UUID v4</x:v>
      </x:c>
      <x:c r="H264" s="17" t="str">
        <x:v>INTERNAL</x:v>
      </x:c>
      <x:c r="I264" s="17" t="str">
        <x:v>按资源权限与数据域访问；公开DTO另行白名单</x:v>
      </x:c>
      <x:c r="J264" s="17" t="str">
        <x:v>数据库实体不得直接序列化为响应</x:v>
      </x:c>
      <x:c r="K264" s="17" t="str">
        <x:v>server-owned identifier; ownership verified before lookup result</x:v>
      </x:c>
      <x:c r="L264" s="17" t="str">
        <x:v>按实体version或审计日志保留变更证据</x:v>
      </x:c>
      <x:c r="M264" s="4" t="str">
        <x:v>M2</x:v>
      </x:c>
      <x:c r="N264" s="4" t="str">
        <x:v>P0-006,P0-007,P0-008,P0-019,P0-061,P0-063</x:v>
      </x:c>
      <x:c r="O264" s="4" t="str">
        <x:v>综合方案§13核心数据模型</x:v>
      </x:c>
      <x:c r="P264" s="4" t="str">
        <x:v>FROZEN_M2_000</x:v>
      </x:c>
    </x:row>
    <x:row r="265" ht="23" customHeight="1">
      <x:c r="A265" s="4" t="str">
        <x:v>SupplierProductSku</x:v>
      </x:c>
      <x:c r="B265" s="4" t="str">
        <x:v>supplierSkuCode</x:v>
      </x:c>
      <x:c r="C265" s="17" t="str">
        <x:v>supplierSkuCode</x:v>
      </x:c>
      <x:c r="D265" s="4" t="str">
        <x:v>3</x:v>
      </x:c>
      <x:c r="E265" s="4" t="str">
        <x:v>String(64)</x:v>
      </x:c>
      <x:c r="F265" s="4" t="str">
        <x:v>YES</x:v>
      </x:c>
      <x:c r="G265" s="4" t="str">
        <x:v>UTF-8; max 64 chars</x:v>
      </x:c>
      <x:c r="H265" s="17" t="str">
        <x:v>INTERNAL</x:v>
      </x:c>
      <x:c r="I265" s="17" t="str">
        <x:v>按资源权限与数据域访问；公开DTO另行白名单</x:v>
      </x:c>
      <x:c r="J265" s="17" t="str">
        <x:v>数据库实体不得直接序列化为响应</x:v>
      </x:c>
      <x:c r="K265" s="17" t="str">
        <x:v>DTO whitelist; length/enum/ownership/state validation; client-derived ownership rejected</x:v>
      </x:c>
      <x:c r="L265" s="17" t="str">
        <x:v>按实体version或审计日志保留变更证据</x:v>
      </x:c>
      <x:c r="M265" s="4" t="str">
        <x:v>M2</x:v>
      </x:c>
      <x:c r="N265" s="4" t="str">
        <x:v>P0-006,P0-007,P0-008,P0-019,P0-061,P0-063</x:v>
      </x:c>
      <x:c r="O265" s="4" t="str">
        <x:v>综合方案§13核心数据模型</x:v>
      </x:c>
      <x:c r="P265" s="4" t="str">
        <x:v>FROZEN_M2_000</x:v>
      </x:c>
    </x:row>
    <x:row r="266" ht="23" customHeight="1">
      <x:c r="A266" s="4" t="str">
        <x:v>SupplierProductSku</x:v>
      </x:c>
      <x:c r="B266" s="4" t="str">
        <x:v>attributes</x:v>
      </x:c>
      <x:c r="C266" s="17" t="str">
        <x:v>attributes</x:v>
      </x:c>
      <x:c r="D266" s="4" t="str">
        <x:v>4</x:v>
      </x:c>
      <x:c r="E266" s="4" t="str">
        <x:v>Json</x:v>
      </x:c>
      <x:c r="F266" s="4" t="str">
        <x:v>YES</x:v>
      </x:c>
      <x:c r="G266" s="4" t="str">
        <x:v>canonical JSON object; schema-versioned</x:v>
      </x:c>
      <x:c r="H266" s="17" t="str">
        <x:v>INTERNAL</x:v>
      </x:c>
      <x:c r="I266" s="17" t="str">
        <x:v>按资源权限与数据域访问；公开DTO另行白名单</x:v>
      </x:c>
      <x:c r="J266" s="17" t="str">
        <x:v>数据库实体不得直接序列化为响应</x:v>
      </x:c>
      <x:c r="K266" s="17" t="str">
        <x:v>validated against frozen schema; canonicalized; dangerous rich-text content rejected</x:v>
      </x:c>
      <x:c r="L266" s="17" t="str">
        <x:v>按实体version或审计日志保留变更证据</x:v>
      </x:c>
      <x:c r="M266" s="4" t="str">
        <x:v>M2</x:v>
      </x:c>
      <x:c r="N266" s="4" t="str">
        <x:v>P0-006,P0-007,P0-008,P0-019,P0-061,P0-063</x:v>
      </x:c>
      <x:c r="O266" s="4" t="str">
        <x:v>综合方案§13核心数据模型</x:v>
      </x:c>
      <x:c r="P266" s="4" t="str">
        <x:v>FROZEN_M2_000</x:v>
      </x:c>
    </x:row>
    <x:row r="267" ht="23" customHeight="1">
      <x:c r="A267" s="4" t="str">
        <x:v>SupplierProductSku</x:v>
      </x:c>
      <x:c r="B267" s="4" t="str">
        <x:v>requestedSupplyPrice</x:v>
      </x:c>
      <x:c r="C267" s="17" t="str">
        <x:v>requestedSupplyPrice</x:v>
      </x:c>
      <x:c r="D267" s="4" t="str">
        <x:v>5</x:v>
      </x:c>
      <x:c r="E267" s="4" t="str">
        <x:v>Int</x:v>
      </x:c>
      <x:c r="F267" s="4" t="str">
        <x:v>YES</x:v>
      </x:c>
      <x:c r="G267" s="4" t="str">
        <x:v>integer cents; &gt;=0</x:v>
      </x:c>
      <x:c r="H267" s="17" t="str">
        <x:v>STRICT_INTERNAL_SUPPLY_PRICE</x:v>
      </x:c>
      <x:c r="I267" s="17" t="str">
        <x:v>仅公司价格/财务及本供应商价格/财务职能可见</x:v>
      </x:c>
      <x:c r="J267" s="17" t="str">
        <x:v>禁止出现在消费者端、企业采购端、门户公开端及非授权日志</x:v>
      </x:c>
      <x:c r="K267" s="17" t="str">
        <x:v>integer cents; supplier pricing/company price review scope only; never public</x:v>
      </x:c>
      <x:c r="L267" s="17" t="str">
        <x:v>按实体version或审计日志保留变更证据</x:v>
      </x:c>
      <x:c r="M267" s="4" t="str">
        <x:v>M2</x:v>
      </x:c>
      <x:c r="N267" s="4" t="str">
        <x:v>P0-006,P0-007,P0-008,P0-019,P0-061,P0-063</x:v>
      </x:c>
      <x:c r="O267" s="4" t="str">
        <x:v>综合方案§13核心数据模型</x:v>
      </x:c>
      <x:c r="P267" s="4" t="str">
        <x:v>FROZEN_M2_000</x:v>
      </x:c>
    </x:row>
    <x:row r="268" ht="23" customHeight="1">
      <x:c r="A268" s="4" t="str">
        <x:v>SupplierProductSku</x:v>
      </x:c>
      <x:c r="B268" s="4" t="str">
        <x:v>requestedRetailSalePrice</x:v>
      </x:c>
      <x:c r="C268" s="17" t="str">
        <x:v>requestedRetailSalePrice</x:v>
      </x:c>
      <x:c r="D268" s="4" t="str">
        <x:v>6</x:v>
      </x:c>
      <x:c r="E268" s="4" t="str">
        <x:v>Int</x:v>
      </x:c>
      <x:c r="F268" s="4" t="str">
        <x:v>YES</x:v>
      </x:c>
      <x:c r="G268" s="4" t="str">
        <x:v>integer cents; &gt;=0</x:v>
      </x:c>
      <x:c r="H268" s="17" t="str">
        <x:v>INTERNAL</x:v>
      </x:c>
      <x:c r="I268" s="17" t="str">
        <x:v>按资源权限与数据域访问；公开DTO另行白名单</x:v>
      </x:c>
      <x:c r="J268" s="17" t="str">
        <x:v>数据库实体不得直接序列化为响应</x:v>
      </x:c>
      <x:c r="K268" s="17" t="str">
        <x:v>integer cents; pricing role only; versioned effective time; no approval task after listing</x:v>
      </x:c>
      <x:c r="L268" s="17" t="str">
        <x:v>按实体version或审计日志保留变更证据</x:v>
      </x:c>
      <x:c r="M268" s="4" t="str">
        <x:v>M2</x:v>
      </x:c>
      <x:c r="N268" s="4" t="str">
        <x:v>P0-006,P0-007,P0-008,P0-019,P0-061,P0-063</x:v>
      </x:c>
      <x:c r="O268" s="4" t="str">
        <x:v>综合方案§13核心数据模型</x:v>
      </x:c>
      <x:c r="P268" s="4" t="str">
        <x:v>FROZEN_M2_000</x:v>
      </x:c>
    </x:row>
    <x:row r="269" ht="23" customHeight="1">
      <x:c r="A269" s="4" t="str">
        <x:v>SupplierProductSku</x:v>
      </x:c>
      <x:c r="B269" s="4" t="str">
        <x:v>requestedEnterpriseSalePrice</x:v>
      </x:c>
      <x:c r="C269" s="17" t="str">
        <x:v>requestedEnterpriseSalePrice</x:v>
      </x:c>
      <x:c r="D269" s="4" t="str">
        <x:v>7</x:v>
      </x:c>
      <x:c r="E269" s="4" t="str">
        <x:v>Int</x:v>
      </x:c>
      <x:c r="F269" s="4" t="str">
        <x:v>YES</x:v>
      </x:c>
      <x:c r="G269" s="4" t="str">
        <x:v>integer cents; &gt;=0</x:v>
      </x:c>
      <x:c r="H269" s="17" t="str">
        <x:v>INTERNAL</x:v>
      </x:c>
      <x:c r="I269" s="17" t="str">
        <x:v>按资源权限与数据域访问；公开DTO另行白名单</x:v>
      </x:c>
      <x:c r="J269" s="17" t="str">
        <x:v>数据库实体不得直接序列化为响应</x:v>
      </x:c>
      <x:c r="K269" s="17" t="str">
        <x:v>integer cents; pricing role only; versioned effective time; no approval task after listing</x:v>
      </x:c>
      <x:c r="L269" s="17" t="str">
        <x:v>按实体version或审计日志保留变更证据</x:v>
      </x:c>
      <x:c r="M269" s="4" t="str">
        <x:v>M2</x:v>
      </x:c>
      <x:c r="N269" s="4" t="str">
        <x:v>P0-006,P0-007,P0-008,P0-019,P0-061,P0-063</x:v>
      </x:c>
      <x:c r="O269" s="4" t="str">
        <x:v>综合方案§13核心数据模型</x:v>
      </x:c>
      <x:c r="P269" s="4" t="str">
        <x:v>FROZEN_M2_000</x:v>
      </x:c>
    </x:row>
    <x:row r="270" ht="23" customHeight="1">
      <x:c r="A270" s="4" t="str">
        <x:v>SupplierProductSku</x:v>
      </x:c>
      <x:c r="B270" s="4" t="str">
        <x:v>initialStock</x:v>
      </x:c>
      <x:c r="C270" s="17" t="str">
        <x:v>initialStock</x:v>
      </x:c>
      <x:c r="D270" s="4" t="str">
        <x:v>8</x:v>
      </x:c>
      <x:c r="E270" s="4" t="str">
        <x:v>Int</x:v>
      </x:c>
      <x:c r="F270" s="4" t="str">
        <x:v>YES</x:v>
      </x:c>
      <x:c r="G270" s="4" t="str">
        <x:v>non-negative integer quantity</x:v>
      </x:c>
      <x:c r="H270" s="17" t="str">
        <x:v>INTERNAL</x:v>
      </x:c>
      <x:c r="I270" s="17" t="str">
        <x:v>按资源权限与数据域访问；公开DTO另行白名单</x:v>
      </x:c>
      <x:c r="J270" s="17" t="str">
        <x:v>数据库实体不得直接序列化为响应</x:v>
      </x:c>
      <x:c r="K270" s="17" t="str">
        <x:v>non-negative requested setup value; never a transaction inventory truth</x:v>
      </x:c>
      <x:c r="L270" s="17" t="str">
        <x:v>按实体version或审计日志保留变更证据</x:v>
      </x:c>
      <x:c r="M270" s="4" t="str">
        <x:v>M2</x:v>
      </x:c>
      <x:c r="N270" s="4" t="str">
        <x:v>P0-006,P0-007,P0-008,P0-019,P0-061,P0-063</x:v>
      </x:c>
      <x:c r="O270" s="4" t="str">
        <x:v>综合方案§13核心数据模型</x:v>
      </x:c>
      <x:c r="P270" s="4" t="str">
        <x:v>FROZEN_M2_000</x:v>
      </x:c>
    </x:row>
    <x:row r="271" ht="23" customHeight="1">
      <x:c r="A271" s="4" t="str">
        <x:v>SupplierProductSku</x:v>
      </x:c>
      <x:c r="B271" s="4" t="str">
        <x:v>status</x:v>
      </x:c>
      <x:c r="C271" s="17" t="str">
        <x:v>status</x:v>
      </x:c>
      <x:c r="D271" s="4" t="str">
        <x:v>9</x:v>
      </x:c>
      <x:c r="E271" s="4" t="str">
        <x:v>Enum&lt;SupplierProductSkuStatus&gt;</x:v>
      </x:c>
      <x:c r="F271" s="4" t="str">
        <x:v>YES</x:v>
      </x:c>
      <x:c r="G271" s="4" t="str">
        <x:v>DRAFT|ACTIVE|INACTIVE|ARCHIVED</x:v>
      </x:c>
      <x:c r="H271" s="17" t="str">
        <x:v>INTERNAL</x:v>
      </x:c>
      <x:c r="I271" s="17" t="str">
        <x:v>按资源权限与数据域访问；公开DTO另行白名单</x:v>
      </x:c>
      <x:c r="J271" s="17" t="str">
        <x:v>数据库实体不得直接序列化为响应</x:v>
      </x:c>
      <x:c r="K271" s="17" t="str">
        <x:v>enum value and legal transition enforced by domain state machine</x:v>
      </x:c>
      <x:c r="L271" s="17" t="str">
        <x:v>按实体version或审计日志保留变更证据</x:v>
      </x:c>
      <x:c r="M271" s="4" t="str">
        <x:v>M2</x:v>
      </x:c>
      <x:c r="N271" s="4" t="str">
        <x:v>P0-006,P0-007,P0-008,P0-019,P0-061,P0-063</x:v>
      </x:c>
      <x:c r="O271" s="4" t="str">
        <x:v>综合方案§13核心数据模型</x:v>
      </x:c>
      <x:c r="P271" s="4" t="str">
        <x:v>FROZEN_M2_000</x:v>
      </x:c>
    </x:row>
    <x:row r="272" ht="23" customHeight="1">
      <x:c r="A272" s="4" t="str">
        <x:v>Product</x:v>
      </x:c>
      <x:c r="B272" s="4" t="str">
        <x:v>id</x:v>
      </x:c>
      <x:c r="C272" s="17" t="str">
        <x:v>id</x:v>
      </x:c>
      <x:c r="D272" s="4" t="str">
        <x:v>1</x:v>
      </x:c>
      <x:c r="E272" s="4" t="str">
        <x:v>String(36)</x:v>
      </x:c>
      <x:c r="F272" s="4" t="str">
        <x:v>YES</x:v>
      </x:c>
      <x:c r="G272" s="4" t="str">
        <x:v>UUID v4</x:v>
      </x:c>
      <x:c r="H272" s="17" t="str">
        <x:v>INTERNAL</x:v>
      </x:c>
      <x:c r="I272" s="17" t="str">
        <x:v>按资源权限与数据域访问；公开DTO另行白名单</x:v>
      </x:c>
      <x:c r="J272" s="17" t="str">
        <x:v>数据库实体不得直接序列化为响应</x:v>
      </x:c>
      <x:c r="K272" s="17" t="str">
        <x:v>server-owned identifier; ownership verified before lookup result</x:v>
      </x:c>
      <x:c r="L272" s="17" t="str">
        <x:v>按实体version或审计日志保留变更证据</x:v>
      </x:c>
      <x:c r="M272" s="4" t="str">
        <x:v>M2</x:v>
      </x:c>
      <x:c r="N272" s="4" t="str">
        <x:v>P0-006,P0-007,P0-009,P0-010,P0-011,P0-012,P0-018,P0-021,P0-061</x:v>
      </x:c>
      <x:c r="O272" s="4" t="str">
        <x:v>综合方案§13核心数据模型</x:v>
      </x:c>
      <x:c r="P272" s="4" t="str">
        <x:v>FROZEN_M2_000</x:v>
      </x:c>
    </x:row>
    <x:row r="273" ht="23" customHeight="1">
      <x:c r="A273" s="4" t="str">
        <x:v>Product</x:v>
      </x:c>
      <x:c r="B273" s="4" t="str">
        <x:v>companyId</x:v>
      </x:c>
      <x:c r="C273" s="17" t="str">
        <x:v>companyId</x:v>
      </x:c>
      <x:c r="D273" s="4" t="str">
        <x:v>2</x:v>
      </x:c>
      <x:c r="E273" s="4" t="str">
        <x:v>String(36)</x:v>
      </x:c>
      <x:c r="F273" s="4" t="str">
        <x:v>YES</x:v>
      </x:c>
      <x:c r="G273" s="4" t="str">
        <x:v>UUID v4</x:v>
      </x:c>
      <x:c r="H273" s="17" t="str">
        <x:v>INTERNAL</x:v>
      </x:c>
      <x:c r="I273" s="17" t="str">
        <x:v>按资源权限与数据域访问；公开DTO另行白名单</x:v>
      </x:c>
      <x:c r="J273" s="17" t="str">
        <x:v>数据库实体不得直接序列化为响应</x:v>
      </x:c>
      <x:c r="K273" s="17" t="str">
        <x:v>derived from authenticated server session; client value rejected</x:v>
      </x:c>
      <x:c r="L273" s="17" t="str">
        <x:v>按实体version或审计日志保留变更证据</x:v>
      </x:c>
      <x:c r="M273" s="4" t="str">
        <x:v>M2</x:v>
      </x:c>
      <x:c r="N273" s="4" t="str">
        <x:v>P0-006,P0-007,P0-009,P0-010,P0-011,P0-012,P0-018,P0-021,P0-061</x:v>
      </x:c>
      <x:c r="O273" s="4" t="str">
        <x:v>综合方案§13核心数据模型</x:v>
      </x:c>
      <x:c r="P273" s="4" t="str">
        <x:v>FROZEN_M2_000</x:v>
      </x:c>
    </x:row>
    <x:row r="274" ht="23" customHeight="1">
      <x:c r="A274" s="4" t="str">
        <x:v>Product</x:v>
      </x:c>
      <x:c r="B274" s="4" t="str">
        <x:v>supplierId</x:v>
      </x:c>
      <x:c r="C274" s="17" t="str">
        <x:v>supplierId</x:v>
      </x:c>
      <x:c r="D274" s="4" t="str">
        <x:v>3</x:v>
      </x:c>
      <x:c r="E274" s="4" t="str">
        <x:v>String(36)</x:v>
      </x:c>
      <x:c r="F274" s="4" t="str">
        <x:v>YES</x:v>
      </x:c>
      <x:c r="G274" s="4" t="str">
        <x:v>UUID v4</x:v>
      </x:c>
      <x:c r="H274" s="17" t="str">
        <x:v>INTERNAL</x:v>
      </x:c>
      <x:c r="I274" s="17" t="str">
        <x:v>按资源权限与数据域访问；公开DTO另行白名单</x:v>
      </x:c>
      <x:c r="J274" s="17" t="str">
        <x:v>数据库实体不得直接序列化为响应</x:v>
      </x:c>
      <x:c r="K274" s="17" t="str">
        <x:v>derived from authenticated server session; client value rejected</x:v>
      </x:c>
      <x:c r="L274" s="17" t="str">
        <x:v>按实体version或审计日志保留变更证据</x:v>
      </x:c>
      <x:c r="M274" s="4" t="str">
        <x:v>M2</x:v>
      </x:c>
      <x:c r="N274" s="4" t="str">
        <x:v>P0-006,P0-007,P0-009,P0-010,P0-011,P0-012,P0-018,P0-021,P0-061</x:v>
      </x:c>
      <x:c r="O274" s="4" t="str">
        <x:v>综合方案§13核心数据模型</x:v>
      </x:c>
      <x:c r="P274" s="4" t="str">
        <x:v>FROZEN_M2_000</x:v>
      </x:c>
    </x:row>
    <x:row r="275" ht="23" customHeight="1">
      <x:c r="A275" s="4" t="str">
        <x:v>Product</x:v>
      </x:c>
      <x:c r="B275" s="4" t="str">
        <x:v>supplierProductId</x:v>
      </x:c>
      <x:c r="C275" s="17" t="str">
        <x:v>supplierProductId</x:v>
      </x:c>
      <x:c r="D275" s="4" t="str">
        <x:v>4</x:v>
      </x:c>
      <x:c r="E275" s="4" t="str">
        <x:v>String(36)</x:v>
      </x:c>
      <x:c r="F275" s="4" t="str">
        <x:v>YES</x:v>
      </x:c>
      <x:c r="G275" s="4" t="str">
        <x:v>UUID v4</x:v>
      </x:c>
      <x:c r="H275" s="17" t="str">
        <x:v>INTERNAL</x:v>
      </x:c>
      <x:c r="I275" s="17" t="str">
        <x:v>按资源权限与数据域访问；公开DTO另行白名单</x:v>
      </x:c>
      <x:c r="J275" s="17" t="str">
        <x:v>数据库实体不得直接序列化为响应</x:v>
      </x:c>
      <x:c r="K275" s="17" t="str">
        <x:v>server-owned identifier; ownership verified before lookup result</x:v>
      </x:c>
      <x:c r="L275" s="17" t="str">
        <x:v>按实体version或审计日志保留变更证据</x:v>
      </x:c>
      <x:c r="M275" s="4" t="str">
        <x:v>M2</x:v>
      </x:c>
      <x:c r="N275" s="4" t="str">
        <x:v>P0-006,P0-007,P0-009,P0-010,P0-011,P0-012,P0-018,P0-021,P0-061</x:v>
      </x:c>
      <x:c r="O275" s="4" t="str">
        <x:v>综合方案§13核心数据模型</x:v>
      </x:c>
      <x:c r="P275" s="4" t="str">
        <x:v>FROZEN_M2_000</x:v>
      </x:c>
    </x:row>
    <x:row r="276" ht="23" customHeight="1">
      <x:c r="A276" s="4" t="str">
        <x:v>Product</x:v>
      </x:c>
      <x:c r="B276" s="4" t="str">
        <x:v>categoryId</x:v>
      </x:c>
      <x:c r="C276" s="17" t="str">
        <x:v>categoryId</x:v>
      </x:c>
      <x:c r="D276" s="4" t="str">
        <x:v>5</x:v>
      </x:c>
      <x:c r="E276" s="4" t="str">
        <x:v>String(36)</x:v>
      </x:c>
      <x:c r="F276" s="4" t="str">
        <x:v>YES</x:v>
      </x:c>
      <x:c r="G276" s="4" t="str">
        <x:v>UUID v4</x:v>
      </x:c>
      <x:c r="H276" s="17" t="str">
        <x:v>INTERNAL</x:v>
      </x:c>
      <x:c r="I276" s="17" t="str">
        <x:v>按资源权限与数据域访问；公开DTO另行白名单</x:v>
      </x:c>
      <x:c r="J276" s="17" t="str">
        <x:v>数据库实体不得直接序列化为响应</x:v>
      </x:c>
      <x:c r="K276" s="17" t="str">
        <x:v>must reference an enabled leaf category for product submission</x:v>
      </x:c>
      <x:c r="L276" s="17" t="str">
        <x:v>按实体version或审计日志保留变更证据</x:v>
      </x:c>
      <x:c r="M276" s="4" t="str">
        <x:v>M2</x:v>
      </x:c>
      <x:c r="N276" s="4" t="str">
        <x:v>P0-006,P0-007,P0-009,P0-010,P0-011,P0-012,P0-018,P0-021,P0-061</x:v>
      </x:c>
      <x:c r="O276" s="4" t="str">
        <x:v>综合方案§13核心数据模型</x:v>
      </x:c>
      <x:c r="P276" s="4" t="str">
        <x:v>FROZEN_M2_000</x:v>
      </x:c>
    </x:row>
    <x:row r="277" ht="23" customHeight="1">
      <x:c r="A277" s="4" t="str">
        <x:v>Product</x:v>
      </x:c>
      <x:c r="B277" s="4" t="str">
        <x:v>templateVersion</x:v>
      </x:c>
      <x:c r="C277" s="17" t="str">
        <x:v>templateVersion</x:v>
      </x:c>
      <x:c r="D277" s="4" t="str">
        <x:v>6</x:v>
      </x:c>
      <x:c r="E277" s="4" t="str">
        <x:v>Int</x:v>
      </x:c>
      <x:c r="F277" s="4" t="str">
        <x:v>YES</x:v>
      </x:c>
      <x:c r="G277" s="4" t="str">
        <x:v>integer</x:v>
      </x:c>
      <x:c r="H277" s="17" t="str">
        <x:v>INTERNAL</x:v>
      </x:c>
      <x:c r="I277" s="17" t="str">
        <x:v>按角色、对象归属及配送阶段脱敏/解密</x:v>
      </x:c>
      <x:c r="J277" s="17" t="str">
        <x:v>禁止跨供应商、越阶段或批量无审批导出</x:v>
      </x:c>
      <x:c r="K277" s="17" t="str">
        <x:v>must reference an immutable published template version</x:v>
      </x:c>
      <x:c r="L277" s="17" t="str">
        <x:v>按实体version或审计日志保留变更证据</x:v>
      </x:c>
      <x:c r="M277" s="4" t="str">
        <x:v>M2</x:v>
      </x:c>
      <x:c r="N277" s="4" t="str">
        <x:v>P0-006,P0-007,P0-009,P0-010,P0-011,P0-012,P0-018,P0-021,P0-061</x:v>
      </x:c>
      <x:c r="O277" s="4" t="str">
        <x:v>综合方案§13核心数据模型</x:v>
      </x:c>
      <x:c r="P277" s="4" t="str">
        <x:v>FROZEN_M2_000</x:v>
      </x:c>
    </x:row>
    <x:row r="278" ht="23" customHeight="1">
      <x:c r="A278" s="4" t="str">
        <x:v>Product</x:v>
      </x:c>
      <x:c r="B278" s="4" t="str">
        <x:v>name</x:v>
      </x:c>
      <x:c r="C278" s="17" t="str">
        <x:v>name</x:v>
      </x:c>
      <x:c r="D278" s="4" t="str">
        <x:v>7</x:v>
      </x:c>
      <x:c r="E278" s="4" t="str">
        <x:v>String(200)</x:v>
      </x:c>
      <x:c r="F278" s="4" t="str">
        <x:v>YES</x:v>
      </x:c>
      <x:c r="G278" s="4" t="str">
        <x:v>UTF-8; max 200 chars</x:v>
      </x:c>
      <x:c r="H278" s="17" t="str">
        <x:v>INTERNAL</x:v>
      </x:c>
      <x:c r="I278" s="17" t="str">
        <x:v>按资源权限与数据域访问；公开DTO另行白名单</x:v>
      </x:c>
      <x:c r="J278" s="17" t="str">
        <x:v>数据库实体不得直接序列化为响应</x:v>
      </x:c>
      <x:c r="K278" s="17" t="str">
        <x:v>trimmed; non-empty; uniqueness enforced in owner scope</x:v>
      </x:c>
      <x:c r="L278" s="17" t="str">
        <x:v>按实体version或审计日志保留变更证据</x:v>
      </x:c>
      <x:c r="M278" s="4" t="str">
        <x:v>M2</x:v>
      </x:c>
      <x:c r="N278" s="4" t="str">
        <x:v>P0-006,P0-007,P0-009,P0-010,P0-011,P0-012,P0-018,P0-021,P0-061</x:v>
      </x:c>
      <x:c r="O278" s="4" t="str">
        <x:v>综合方案§13核心数据模型</x:v>
      </x:c>
      <x:c r="P278" s="4" t="str">
        <x:v>FROZEN_M2_000</x:v>
      </x:c>
    </x:row>
    <x:row r="279" ht="23" customHeight="1">
      <x:c r="A279" s="4" t="str">
        <x:v>Product</x:v>
      </x:c>
      <x:c r="B279" s="4" t="str">
        <x:v>saleStatus</x:v>
      </x:c>
      <x:c r="C279" s="17" t="str">
        <x:v>saleStatus</x:v>
      </x:c>
      <x:c r="D279" s="4" t="str">
        <x:v>8</x:v>
      </x:c>
      <x:c r="E279" s="4" t="str">
        <x:v>Enum&lt;ProductSaleStatus&gt;</x:v>
      </x:c>
      <x:c r="F279" s="4" t="str">
        <x:v>YES</x:v>
      </x:c>
      <x:c r="G279" s="4" t="str">
        <x:v>DRAFT|READY_TO_PUBLISH|ACTIVE|OFF_SHELF|FORCE_OFFLINE|ARCHIVED</x:v>
      </x:c>
      <x:c r="H279" s="17" t="str">
        <x:v>INTERNAL</x:v>
      </x:c>
      <x:c r="I279" s="17" t="str">
        <x:v>按资源权限与数据域访问；公开DTO另行白名单</x:v>
      </x:c>
      <x:c r="J279" s="17" t="str">
        <x:v>数据库实体不得直接序列化为响应</x:v>
      </x:c>
      <x:c r="K279" s="17" t="str">
        <x:v>ACTIVE仍须通过动态可售门禁；HIGH_RISK要求显式ENABLED控制以及公司/商品资质有效期未过期，否则公开目录默认拒绝</x:v>
      </x:c>
      <x:c r="L279" s="17" t="str">
        <x:v>状态历史和商品资质有效期快照均不回写历史</x:v>
      </x:c>
      <x:c r="M279" s="4" t="str">
        <x:v>M2</x:v>
      </x:c>
      <x:c r="N279" s="4" t="str">
        <x:v>P0-006,P0-007,P0-009,P0-010,P0-011,P0-012,P0-018,P0-021,P0-061</x:v>
      </x:c>
      <x:c r="O279" s="4" t="str">
        <x:v>综合方案§13核心数据模型</x:v>
      </x:c>
      <x:c r="P279" s="4" t="str">
        <x:v>IMPLEMENTED_P0_018</x:v>
      </x:c>
    </x:row>
    <x:row r="280" ht="23" customHeight="1">
      <x:c r="A280" s="4" t="str">
        <x:v>Product</x:v>
      </x:c>
      <x:c r="B280" s="4" t="str">
        <x:v>isRetailEnabled</x:v>
      </x:c>
      <x:c r="C280" s="17" t="str">
        <x:v>isRetailEnabled</x:v>
      </x:c>
      <x:c r="D280" s="4" t="str">
        <x:v>9</x:v>
      </x:c>
      <x:c r="E280" s="4" t="str">
        <x:v>Boolean</x:v>
      </x:c>
      <x:c r="F280" s="4" t="str">
        <x:v>YES</x:v>
      </x:c>
      <x:c r="G280" s="4" t="str">
        <x:v>true|false</x:v>
      </x:c>
      <x:c r="H280" s="17" t="str">
        <x:v>INTERNAL</x:v>
      </x:c>
      <x:c r="I280" s="17" t="str">
        <x:v>按资源权限与数据域访问；公开DTO另行白名单</x:v>
      </x:c>
      <x:c r="J280" s="17" t="str">
        <x:v>数据库实体不得直接序列化为响应</x:v>
      </x:c>
      <x:c r="K280" s="17" t="str">
        <x:v>DTO whitelist; length/enum/ownership/state validation; client-derived ownership rejected</x:v>
      </x:c>
      <x:c r="L280" s="17" t="str">
        <x:v>按实体version或审计日志保留变更证据</x:v>
      </x:c>
      <x:c r="M280" s="4" t="str">
        <x:v>M2</x:v>
      </x:c>
      <x:c r="N280" s="4" t="str">
        <x:v>P0-006,P0-007,P0-009,P0-010,P0-011,P0-012,P0-018,P0-021,P0-061</x:v>
      </x:c>
      <x:c r="O280" s="4" t="str">
        <x:v>综合方案§13核心数据模型</x:v>
      </x:c>
      <x:c r="P280" s="4" t="str">
        <x:v>FROZEN_M2_000</x:v>
      </x:c>
    </x:row>
    <x:row r="281" ht="23" customHeight="1">
      <x:c r="A281" s="4" t="str">
        <x:v>Product</x:v>
      </x:c>
      <x:c r="B281" s="4" t="str">
        <x:v>isEnterpriseProcurementEnabled</x:v>
      </x:c>
      <x:c r="C281" s="17" t="str">
        <x:v>isEnterpriseProcurementEnabled</x:v>
      </x:c>
      <x:c r="D281" s="4" t="str">
        <x:v>10</x:v>
      </x:c>
      <x:c r="E281" s="4" t="str">
        <x:v>Boolean</x:v>
      </x:c>
      <x:c r="F281" s="4" t="str">
        <x:v>YES</x:v>
      </x:c>
      <x:c r="G281" s="4" t="str">
        <x:v>true|false</x:v>
      </x:c>
      <x:c r="H281" s="17" t="str">
        <x:v>INTERNAL</x:v>
      </x:c>
      <x:c r="I281" s="17" t="str">
        <x:v>按资源权限与数据域访问；公开DTO另行白名单</x:v>
      </x:c>
      <x:c r="J281" s="17" t="str">
        <x:v>数据库实体不得直接序列化为响应</x:v>
      </x:c>
      <x:c r="K281" s="17" t="str">
        <x:v>true exposes only after Product ACTIVE, enterprise price effective, and shared inventory available</x:v>
      </x:c>
      <x:c r="L281" s="17" t="str">
        <x:v>按实体version或审计日志保留变更证据</x:v>
      </x:c>
      <x:c r="M281" s="4" t="str">
        <x:v>M2</x:v>
      </x:c>
      <x:c r="N281" s="4" t="str">
        <x:v>P0-006,P0-007,P0-009,P0-010,P0-011,P0-012,P0-018,P0-021,P0-061</x:v>
      </x:c>
      <x:c r="O281" s="4" t="str">
        <x:v>综合方案§13核心数据模型</x:v>
      </x:c>
      <x:c r="P281" s="4" t="str">
        <x:v>FROZEN_M2_000</x:v>
      </x:c>
    </x:row>
    <x:row r="282" ht="23" customHeight="1">
      <x:c r="A282" s="4" t="str">
        <x:v>Product</x:v>
      </x:c>
      <x:c r="B282" s="4" t="str">
        <x:v>detailSnapshot</x:v>
      </x:c>
      <x:c r="C282" s="17" t="str">
        <x:v>detailSnapshot</x:v>
      </x:c>
      <x:c r="D282" s="4" t="str">
        <x:v>11</x:v>
      </x:c>
      <x:c r="E282" s="4" t="str">
        <x:v>Json</x:v>
      </x:c>
      <x:c r="F282" s="4" t="str">
        <x:v>YES</x:v>
      </x:c>
      <x:c r="G282" s="4" t="str">
        <x:v>canonical JSON object; schema-versioned</x:v>
      </x:c>
      <x:c r="H282" s="17" t="str">
        <x:v>INTERNAL</x:v>
      </x:c>
      <x:c r="I282" s="17" t="str">
        <x:v>按资源权限与数据域访问；公开DTO另行白名单</x:v>
      </x:c>
      <x:c r="J282" s="17" t="str">
        <x:v>数据库实体不得直接序列化为响应</x:v>
      </x:c>
      <x:c r="K282" s="17" t="str">
        <x:v>validated against frozen schema; canonicalized; dangerous rich-text content rejected</x:v>
      </x:c>
      <x:c r="L282" s="17" t="str">
        <x:v>按实体version或审计日志保留变更证据</x:v>
      </x:c>
      <x:c r="M282" s="4" t="str">
        <x:v>M2</x:v>
      </x:c>
      <x:c r="N282" s="4" t="str">
        <x:v>P0-006,P0-007,P0-009,P0-010,P0-011,P0-012,P0-018,P0-021,P0-061</x:v>
      </x:c>
      <x:c r="O282" s="4" t="str">
        <x:v>综合方案§13核心数据模型</x:v>
      </x:c>
      <x:c r="P282" s="4" t="str">
        <x:v>FROZEN_M2_000</x:v>
      </x:c>
    </x:row>
    <x:row r="283" ht="23" customHeight="1">
      <x:c r="A283" s="4" t="str">
        <x:v>Product</x:v>
      </x:c>
      <x:c r="B283" s="4" t="str">
        <x:v>afterSaleSnapshot</x:v>
      </x:c>
      <x:c r="C283" s="17" t="str">
        <x:v>afterSaleSnapshot</x:v>
      </x:c>
      <x:c r="D283" s="4" t="str">
        <x:v>12</x:v>
      </x:c>
      <x:c r="E283" s="4" t="str">
        <x:v>Json</x:v>
      </x:c>
      <x:c r="F283" s="4" t="str">
        <x:v>YES</x:v>
      </x:c>
      <x:c r="G283" s="4" t="str">
        <x:v>canonical JSON object; schema-versioned</x:v>
      </x:c>
      <x:c r="H283" s="17" t="str">
        <x:v>INTERNAL</x:v>
      </x:c>
      <x:c r="I283" s="17" t="str">
        <x:v>按资源权限与数据域访问；公开DTO另行白名单</x:v>
      </x:c>
      <x:c r="J283" s="17" t="str">
        <x:v>数据库实体不得直接序列化为响应</x:v>
      </x:c>
      <x:c r="K283" s="17" t="str">
        <x:v>validated against frozen schema; canonicalized; dangerous rich-text content rejected</x:v>
      </x:c>
      <x:c r="L283" s="17" t="str">
        <x:v>按实体version或审计日志保留变更证据</x:v>
      </x:c>
      <x:c r="M283" s="4" t="str">
        <x:v>M2</x:v>
      </x:c>
      <x:c r="N283" s="4" t="str">
        <x:v>P0-006,P0-007,P0-009,P0-010,P0-011,P0-012,P0-018,P0-021,P0-061</x:v>
      </x:c>
      <x:c r="O283" s="4" t="str">
        <x:v>综合方案§13核心数据模型</x:v>
      </x:c>
      <x:c r="P283" s="4" t="str">
        <x:v>FROZEN_M2_000</x:v>
      </x:c>
    </x:row>
    <x:row r="284" ht="23" customHeight="1">
      <x:c r="A284" s="4" t="str">
        <x:v>Product</x:v>
      </x:c>
      <x:c r="B284" s="4" t="str">
        <x:v>deliveryRuleId</x:v>
      </x:c>
      <x:c r="C284" s="17" t="str">
        <x:v>deliveryRuleId</x:v>
      </x:c>
      <x:c r="D284" s="4" t="str">
        <x:v>13</x:v>
      </x:c>
      <x:c r="E284" s="4" t="str">
        <x:v>String(36)</x:v>
      </x:c>
      <x:c r="F284" s="4" t="str">
        <x:v>YES</x:v>
      </x:c>
      <x:c r="G284" s="4" t="str">
        <x:v>UUID v4</x:v>
      </x:c>
      <x:c r="H284" s="17" t="str">
        <x:v>INTERNAL</x:v>
      </x:c>
      <x:c r="I284" s="17" t="str">
        <x:v>按资源权限与数据域访问；公开DTO另行白名单</x:v>
      </x:c>
      <x:c r="J284" s="17" t="str">
        <x:v>数据库实体不得直接序列化为响应</x:v>
      </x:c>
      <x:c r="K284" s="17" t="str">
        <x:v>server-owned identifier; ownership verified before lookup result</x:v>
      </x:c>
      <x:c r="L284" s="17" t="str">
        <x:v>按实体version或审计日志保留变更证据</x:v>
      </x:c>
      <x:c r="M284" s="4" t="str">
        <x:v>M2</x:v>
      </x:c>
      <x:c r="N284" s="4" t="str">
        <x:v>P0-006,P0-007,P0-009,P0-010,P0-011,P0-012,P0-018,P0-021,P0-061</x:v>
      </x:c>
      <x:c r="O284" s="4" t="str">
        <x:v>综合方案§13核心数据模型</x:v>
      </x:c>
      <x:c r="P284" s="4" t="str">
        <x:v>FROZEN_M2_000</x:v>
      </x:c>
    </x:row>
    <x:row r="285" ht="23" customHeight="1">
      <x:c r="A285" s="4" t="str">
        <x:v>Product</x:v>
      </x:c>
      <x:c r="B285" s="4" t="str">
        <x:v>version</x:v>
      </x:c>
      <x:c r="C285" s="17" t="str">
        <x:v>version</x:v>
      </x:c>
      <x:c r="D285" s="4" t="str">
        <x:v>14</x:v>
      </x:c>
      <x:c r="E285" s="4" t="str">
        <x:v>Int</x:v>
      </x:c>
      <x:c r="F285" s="4" t="str">
        <x:v>YES</x:v>
      </x:c>
      <x:c r="G285" s="4" t="str">
        <x:v>positive monotonic integer</x:v>
      </x:c>
      <x:c r="H285" s="17" t="str">
        <x:v>INTERNAL</x:v>
      </x:c>
      <x:c r="I285" s="17" t="str">
        <x:v>按资源权限与数据域访问；公开DTO另行白名单</x:v>
      </x:c>
      <x:c r="J285" s="17" t="str">
        <x:v>数据库实体不得直接序列化为响应</x:v>
      </x:c>
      <x:c r="K285" s="17" t="str">
        <x:v>optimistic lock; increment exactly once per successful write</x:v>
      </x:c>
      <x:c r="L285" s="17" t="str">
        <x:v>按实体version或审计日志保留变更证据</x:v>
      </x:c>
      <x:c r="M285" s="4" t="str">
        <x:v>M2</x:v>
      </x:c>
      <x:c r="N285" s="4" t="str">
        <x:v>P0-006,P0-007,P0-009,P0-010,P0-011,P0-012,P0-018,P0-021,P0-061</x:v>
      </x:c>
      <x:c r="O285" s="4" t="str">
        <x:v>综合方案§13核心数据模型</x:v>
      </x:c>
      <x:c r="P285" s="4" t="str">
        <x:v>FROZEN_M2_000</x:v>
      </x:c>
    </x:row>
    <x:row r="286" ht="23" customHeight="1">
      <x:c r="A286" s="4" t="str">
        <x:v>Sku</x:v>
      </x:c>
      <x:c r="B286" s="4" t="str">
        <x:v>id</x:v>
      </x:c>
      <x:c r="C286" s="17" t="str">
        <x:v>id</x:v>
      </x:c>
      <x:c r="D286" s="4" t="str">
        <x:v>1</x:v>
      </x:c>
      <x:c r="E286" s="4" t="str">
        <x:v>String(36)</x:v>
      </x:c>
      <x:c r="F286" s="4" t="str">
        <x:v>YES</x:v>
      </x:c>
      <x:c r="G286" s="4" t="str">
        <x:v>UUID v4</x:v>
      </x:c>
      <x:c r="H286" s="17" t="str">
        <x:v>INTERNAL</x:v>
      </x:c>
      <x:c r="I286" s="17" t="str">
        <x:v>按资源权限与数据域访问；公开DTO另行白名单</x:v>
      </x:c>
      <x:c r="J286" s="17" t="str">
        <x:v>数据库实体不得直接序列化为响应</x:v>
      </x:c>
      <x:c r="K286" s="17" t="str">
        <x:v>server-owned identifier; ownership verified before lookup result</x:v>
      </x:c>
      <x:c r="L286" s="17" t="str">
        <x:v>按实体version或审计日志保留变更证据</x:v>
      </x:c>
      <x:c r="M286" s="4" t="str">
        <x:v>M2</x:v>
      </x:c>
      <x:c r="N286" s="4" t="str">
        <x:v>P0-019,P0-021,P0-063,P0-071</x:v>
      </x:c>
      <x:c r="O286" s="4" t="str">
        <x:v>综合方案§13核心数据模型</x:v>
      </x:c>
      <x:c r="P286" s="4" t="str">
        <x:v>FROZEN_M2_000</x:v>
      </x:c>
    </x:row>
    <x:row r="287" ht="23" customHeight="1">
      <x:c r="A287" s="4" t="str">
        <x:v>Sku</x:v>
      </x:c>
      <x:c r="B287" s="4" t="str">
        <x:v>productId</x:v>
      </x:c>
      <x:c r="C287" s="17" t="str">
        <x:v>productId</x:v>
      </x:c>
      <x:c r="D287" s="4" t="str">
        <x:v>2</x:v>
      </x:c>
      <x:c r="E287" s="4" t="str">
        <x:v>String(36)</x:v>
      </x:c>
      <x:c r="F287" s="4" t="str">
        <x:v>YES</x:v>
      </x:c>
      <x:c r="G287" s="4" t="str">
        <x:v>UUID v4</x:v>
      </x:c>
      <x:c r="H287" s="17" t="str">
        <x:v>INTERNAL</x:v>
      </x:c>
      <x:c r="I287" s="17" t="str">
        <x:v>按资源权限与数据域访问；公开DTO另行白名单</x:v>
      </x:c>
      <x:c r="J287" s="17" t="str">
        <x:v>数据库实体不得直接序列化为响应</x:v>
      </x:c>
      <x:c r="K287" s="17" t="str">
        <x:v>server-owned identifier; ownership verified before lookup result</x:v>
      </x:c>
      <x:c r="L287" s="17" t="str">
        <x:v>按实体version或审计日志保留变更证据</x:v>
      </x:c>
      <x:c r="M287" s="4" t="str">
        <x:v>M2</x:v>
      </x:c>
      <x:c r="N287" s="4" t="str">
        <x:v>P0-019,P0-021,P0-063,P0-071</x:v>
      </x:c>
      <x:c r="O287" s="4" t="str">
        <x:v>综合方案§13核心数据模型</x:v>
      </x:c>
      <x:c r="P287" s="4" t="str">
        <x:v>FROZEN_M2_000</x:v>
      </x:c>
    </x:row>
    <x:row r="288" ht="23" customHeight="1">
      <x:c r="A288" s="4" t="str">
        <x:v>Sku</x:v>
      </x:c>
      <x:c r="B288" s="4" t="str">
        <x:v>supplierProductSkuId</x:v>
      </x:c>
      <x:c r="C288" s="17" t="str">
        <x:v>supplierProductSkuId</x:v>
      </x:c>
      <x:c r="D288" s="4" t="str">
        <x:v>3</x:v>
      </x:c>
      <x:c r="E288" s="4" t="str">
        <x:v>String(36)</x:v>
      </x:c>
      <x:c r="F288" s="4" t="str">
        <x:v>YES</x:v>
      </x:c>
      <x:c r="G288" s="4" t="str">
        <x:v>UUID v4</x:v>
      </x:c>
      <x:c r="H288" s="17" t="str">
        <x:v>INTERNAL</x:v>
      </x:c>
      <x:c r="I288" s="17" t="str">
        <x:v>按资源权限与数据域访问；公开DTO另行白名单</x:v>
      </x:c>
      <x:c r="J288" s="17" t="str">
        <x:v>数据库实体不得直接序列化为响应</x:v>
      </x:c>
      <x:c r="K288" s="17" t="str">
        <x:v>server-owned identifier; ownership verified before lookup result</x:v>
      </x:c>
      <x:c r="L288" s="17" t="str">
        <x:v>按实体version或审计日志保留变更证据</x:v>
      </x:c>
      <x:c r="M288" s="4" t="str">
        <x:v>M2</x:v>
      </x:c>
      <x:c r="N288" s="4" t="str">
        <x:v>P0-019,P0-021,P0-063,P0-071</x:v>
      </x:c>
      <x:c r="O288" s="4" t="str">
        <x:v>综合方案§13核心数据模型</x:v>
      </x:c>
      <x:c r="P288" s="4" t="str">
        <x:v>FROZEN_M2_000</x:v>
      </x:c>
    </x:row>
    <x:row r="289" ht="23" customHeight="1">
      <x:c r="A289" s="4" t="str">
        <x:v>Sku</x:v>
      </x:c>
      <x:c r="B289" s="4" t="str">
        <x:v>skuCode</x:v>
      </x:c>
      <x:c r="C289" s="17" t="str">
        <x:v>skuCode</x:v>
      </x:c>
      <x:c r="D289" s="4" t="str">
        <x:v>4</x:v>
      </x:c>
      <x:c r="E289" s="4" t="str">
        <x:v>String(64)</x:v>
      </x:c>
      <x:c r="F289" s="4" t="str">
        <x:v>YES</x:v>
      </x:c>
      <x:c r="G289" s="4" t="str">
        <x:v>UTF-8; max 64 chars</x:v>
      </x:c>
      <x:c r="H289" s="17" t="str">
        <x:v>INTERNAL</x:v>
      </x:c>
      <x:c r="I289" s="17" t="str">
        <x:v>按资源权限与数据域访问；公开DTO另行白名单</x:v>
      </x:c>
      <x:c r="J289" s="17" t="str">
        <x:v>数据库实体不得直接序列化为响应</x:v>
      </x:c>
      <x:c r="K289" s="17" t="str">
        <x:v>DTO whitelist; length/enum/ownership/state validation; client-derived ownership rejected</x:v>
      </x:c>
      <x:c r="L289" s="17" t="str">
        <x:v>按实体version或审计日志保留变更证据</x:v>
      </x:c>
      <x:c r="M289" s="4" t="str">
        <x:v>M2</x:v>
      </x:c>
      <x:c r="N289" s="4" t="str">
        <x:v>P0-019,P0-021,P0-063,P0-071</x:v>
      </x:c>
      <x:c r="O289" s="4" t="str">
        <x:v>综合方案§13核心数据模型</x:v>
      </x:c>
      <x:c r="P289" s="4" t="str">
        <x:v>FROZEN_M2_000</x:v>
      </x:c>
    </x:row>
    <x:row r="290" ht="23" customHeight="1">
      <x:c r="A290" s="4" t="str">
        <x:v>Sku</x:v>
      </x:c>
      <x:c r="B290" s="4" t="str">
        <x:v>approvedSupplyPrice</x:v>
      </x:c>
      <x:c r="C290" s="17" t="str">
        <x:v>approvedSupplyPrice</x:v>
      </x:c>
      <x:c r="D290" s="4" t="str">
        <x:v>5</x:v>
      </x:c>
      <x:c r="E290" s="4" t="str">
        <x:v>Int</x:v>
      </x:c>
      <x:c r="F290" s="4" t="str">
        <x:v>YES</x:v>
      </x:c>
      <x:c r="G290" s="4" t="str">
        <x:v>integer cents; &gt;=0</x:v>
      </x:c>
      <x:c r="H290" s="17" t="str">
        <x:v>STRICT_INTERNAL_SUPPLY_PRICE</x:v>
      </x:c>
      <x:c r="I290" s="17" t="str">
        <x:v>仅公司价格/财务及本供应商价格/财务职能可见</x:v>
      </x:c>
      <x:c r="J290" s="17" t="str">
        <x:v>禁止出现在消费者端、企业采购端、门户公开端及非授权日志</x:v>
      </x:c>
      <x:c r="K290" s="17" t="str">
        <x:v>integer cents; supplier pricing/company price review scope only; never public</x:v>
      </x:c>
      <x:c r="L290" s="17" t="str">
        <x:v>按实体version或审计日志保留变更证据</x:v>
      </x:c>
      <x:c r="M290" s="4" t="str">
        <x:v>M2</x:v>
      </x:c>
      <x:c r="N290" s="4" t="str">
        <x:v>P0-019,P0-021,P0-063,P0-071</x:v>
      </x:c>
      <x:c r="O290" s="4" t="str">
        <x:v>综合方案§13核心数据模型</x:v>
      </x:c>
      <x:c r="P290" s="4" t="str">
        <x:v>FROZEN_M2_000</x:v>
      </x:c>
    </x:row>
    <x:row r="291" ht="23" customHeight="1">
      <x:c r="A291" s="4" t="str">
        <x:v>Sku</x:v>
      </x:c>
      <x:c r="B291" s="4" t="str">
        <x:v>currentRetailSalePrice</x:v>
      </x:c>
      <x:c r="C291" s="17" t="str">
        <x:v>currentRetailSalePrice</x:v>
      </x:c>
      <x:c r="D291" s="4" t="str">
        <x:v>6</x:v>
      </x:c>
      <x:c r="E291" s="4" t="str">
        <x:v>Int</x:v>
      </x:c>
      <x:c r="F291" s="4" t="str">
        <x:v>YES</x:v>
      </x:c>
      <x:c r="G291" s="4" t="str">
        <x:v>integer cents; &gt;=0</x:v>
      </x:c>
      <x:c r="H291" s="17" t="str">
        <x:v>INTERNAL</x:v>
      </x:c>
      <x:c r="I291" s="17" t="str">
        <x:v>按资源权限与数据域访问；公开DTO另行白名单</x:v>
      </x:c>
      <x:c r="J291" s="17" t="str">
        <x:v>数据库实体不得直接序列化为响应</x:v>
      </x:c>
      <x:c r="K291" s="17" t="str">
        <x:v>integer cents; pricing role only; versioned effective time; no approval task after listing</x:v>
      </x:c>
      <x:c r="L291" s="17" t="str">
        <x:v>按实体version或审计日志保留变更证据</x:v>
      </x:c>
      <x:c r="M291" s="4" t="str">
        <x:v>M2</x:v>
      </x:c>
      <x:c r="N291" s="4" t="str">
        <x:v>P0-019,P0-021,P0-063,P0-071</x:v>
      </x:c>
      <x:c r="O291" s="4" t="str">
        <x:v>综合方案§13核心数据模型</x:v>
      </x:c>
      <x:c r="P291" s="4" t="str">
        <x:v>FROZEN_M2_000</x:v>
      </x:c>
    </x:row>
    <x:row r="292" ht="23" customHeight="1">
      <x:c r="A292" s="4" t="str">
        <x:v>Sku</x:v>
      </x:c>
      <x:c r="B292" s="4" t="str">
        <x:v>currentEnterpriseSalePrice</x:v>
      </x:c>
      <x:c r="C292" s="17" t="str">
        <x:v>currentEnterpriseSalePrice</x:v>
      </x:c>
      <x:c r="D292" s="4" t="str">
        <x:v>7</x:v>
      </x:c>
      <x:c r="E292" s="4" t="str">
        <x:v>Int</x:v>
      </x:c>
      <x:c r="F292" s="4" t="str">
        <x:v>YES</x:v>
      </x:c>
      <x:c r="G292" s="4" t="str">
        <x:v>integer cents; &gt;=0</x:v>
      </x:c>
      <x:c r="H292" s="17" t="str">
        <x:v>INTERNAL</x:v>
      </x:c>
      <x:c r="I292" s="17" t="str">
        <x:v>按资源权限与数据域访问；公开DTO另行白名单</x:v>
      </x:c>
      <x:c r="J292" s="17" t="str">
        <x:v>数据库实体不得直接序列化为响应</x:v>
      </x:c>
      <x:c r="K292" s="17" t="str">
        <x:v>integer cents; pricing role only; versioned effective time; no approval task after listing</x:v>
      </x:c>
      <x:c r="L292" s="17" t="str">
        <x:v>按实体version或审计日志保留变更证据</x:v>
      </x:c>
      <x:c r="M292" s="4" t="str">
        <x:v>M2</x:v>
      </x:c>
      <x:c r="N292" s="4" t="str">
        <x:v>P0-019,P0-021,P0-063,P0-071</x:v>
      </x:c>
      <x:c r="O292" s="4" t="str">
        <x:v>综合方案§13核心数据模型</x:v>
      </x:c>
      <x:c r="P292" s="4" t="str">
        <x:v>FROZEN_M2_000</x:v>
      </x:c>
    </x:row>
    <x:row r="293" ht="23" customHeight="1">
      <x:c r="A293" s="4" t="str">
        <x:v>Sku</x:v>
      </x:c>
      <x:c r="B293" s="4" t="str">
        <x:v>marketPrice</x:v>
      </x:c>
      <x:c r="C293" s="17" t="str">
        <x:v>marketPrice</x:v>
      </x:c>
      <x:c r="D293" s="4" t="str">
        <x:v>8</x:v>
      </x:c>
      <x:c r="E293" s="4" t="str">
        <x:v>Int</x:v>
      </x:c>
      <x:c r="F293" s="4" t="str">
        <x:v>YES</x:v>
      </x:c>
      <x:c r="G293" s="4" t="str">
        <x:v>integer cents; &gt;=0</x:v>
      </x:c>
      <x:c r="H293" s="17" t="str">
        <x:v>INTERNAL</x:v>
      </x:c>
      <x:c r="I293" s="17" t="str">
        <x:v>按资源权限与数据域访问；公开DTO另行白名单</x:v>
      </x:c>
      <x:c r="J293" s="17" t="str">
        <x:v>数据库实体不得直接序列化为响应</x:v>
      </x:c>
      <x:c r="K293" s="17" t="str">
        <x:v>DTO whitelist; length/enum/ownership/state validation; client-derived ownership rejected</x:v>
      </x:c>
      <x:c r="L293" s="17" t="str">
        <x:v>按实体version或审计日志保留变更证据</x:v>
      </x:c>
      <x:c r="M293" s="4" t="str">
        <x:v>M2</x:v>
      </x:c>
      <x:c r="N293" s="4" t="str">
        <x:v>P0-019,P0-021,P0-063,P0-071</x:v>
      </x:c>
      <x:c r="O293" s="4" t="str">
        <x:v>综合方案§13核心数据模型</x:v>
      </x:c>
      <x:c r="P293" s="4" t="str">
        <x:v>FROZEN_M2_000</x:v>
      </x:c>
    </x:row>
    <x:row r="294" ht="23" customHeight="1">
      <x:c r="A294" s="4" t="str">
        <x:v>Sku</x:v>
      </x:c>
      <x:c r="B294" s="4" t="str">
        <x:v>supplyPriceVersion</x:v>
      </x:c>
      <x:c r="C294" s="17" t="str">
        <x:v>supplyPriceVersion</x:v>
      </x:c>
      <x:c r="D294" s="4" t="str">
        <x:v>9</x:v>
      </x:c>
      <x:c r="E294" s="4" t="str">
        <x:v>Int</x:v>
      </x:c>
      <x:c r="F294" s="4" t="str">
        <x:v>YES</x:v>
      </x:c>
      <x:c r="G294" s="4" t="str">
        <x:v>positive monotonic integer</x:v>
      </x:c>
      <x:c r="H294" s="17" t="str">
        <x:v>STRICT_INTERNAL_SUPPLY_PRICE</x:v>
      </x:c>
      <x:c r="I294" s="17" t="str">
        <x:v>仅公司价格/财务及本供应商价格/财务职能可见</x:v>
      </x:c>
      <x:c r="J294" s="17" t="str">
        <x:v>禁止出现在消费者端、企业采购端、门户公开端及非授权日志</x:v>
      </x:c>
      <x:c r="K294" s="17" t="str">
        <x:v>optimistic lock; increment exactly once per successful write</x:v>
      </x:c>
      <x:c r="L294" s="17" t="str">
        <x:v>按实体version或审计日志保留变更证据</x:v>
      </x:c>
      <x:c r="M294" s="4" t="str">
        <x:v>M2</x:v>
      </x:c>
      <x:c r="N294" s="4" t="str">
        <x:v>P0-019,P0-021,P0-063,P0-071</x:v>
      </x:c>
      <x:c r="O294" s="4" t="str">
        <x:v>综合方案§13核心数据模型</x:v>
      </x:c>
      <x:c r="P294" s="4" t="str">
        <x:v>FROZEN_M2_000</x:v>
      </x:c>
    </x:row>
    <x:row r="295" ht="23" customHeight="1">
      <x:c r="A295" s="4" t="str">
        <x:v>Sku</x:v>
      </x:c>
      <x:c r="B295" s="4" t="str">
        <x:v>retailPriceVersion</x:v>
      </x:c>
      <x:c r="C295" s="17" t="str">
        <x:v>retailPriceVersion</x:v>
      </x:c>
      <x:c r="D295" s="4" t="str">
        <x:v>10</x:v>
      </x:c>
      <x:c r="E295" s="4" t="str">
        <x:v>Int</x:v>
      </x:c>
      <x:c r="F295" s="4" t="str">
        <x:v>YES</x:v>
      </x:c>
      <x:c r="G295" s="4" t="str">
        <x:v>positive monotonic integer</x:v>
      </x:c>
      <x:c r="H295" s="17" t="str">
        <x:v>INTERNAL</x:v>
      </x:c>
      <x:c r="I295" s="17" t="str">
        <x:v>按资源权限与数据域访问；公开DTO另行白名单</x:v>
      </x:c>
      <x:c r="J295" s="17" t="str">
        <x:v>数据库实体不得直接序列化为响应</x:v>
      </x:c>
      <x:c r="K295" s="17" t="str">
        <x:v>optimistic lock; increment exactly once per successful write</x:v>
      </x:c>
      <x:c r="L295" s="17" t="str">
        <x:v>按实体version或审计日志保留变更证据</x:v>
      </x:c>
      <x:c r="M295" s="4" t="str">
        <x:v>M2</x:v>
      </x:c>
      <x:c r="N295" s="4" t="str">
        <x:v>P0-019,P0-021,P0-063,P0-071</x:v>
      </x:c>
      <x:c r="O295" s="4" t="str">
        <x:v>综合方案§13核心数据模型</x:v>
      </x:c>
      <x:c r="P295" s="4" t="str">
        <x:v>FROZEN_M2_000</x:v>
      </x:c>
    </x:row>
    <x:row r="296" ht="23" customHeight="1">
      <x:c r="A296" s="4" t="str">
        <x:v>Sku</x:v>
      </x:c>
      <x:c r="B296" s="4" t="str">
        <x:v>enterprisePriceVersion</x:v>
      </x:c>
      <x:c r="C296" s="17" t="str">
        <x:v>enterprisePriceVersion</x:v>
      </x:c>
      <x:c r="D296" s="4" t="str">
        <x:v>11</x:v>
      </x:c>
      <x:c r="E296" s="4" t="str">
        <x:v>Int</x:v>
      </x:c>
      <x:c r="F296" s="4" t="str">
        <x:v>YES</x:v>
      </x:c>
      <x:c r="G296" s="4" t="str">
        <x:v>positive monotonic integer</x:v>
      </x:c>
      <x:c r="H296" s="17" t="str">
        <x:v>INTERNAL</x:v>
      </x:c>
      <x:c r="I296" s="17" t="str">
        <x:v>按资源权限与数据域访问；公开DTO另行白名单</x:v>
      </x:c>
      <x:c r="J296" s="17" t="str">
        <x:v>数据库实体不得直接序列化为响应</x:v>
      </x:c>
      <x:c r="K296" s="17" t="str">
        <x:v>optimistic lock; increment exactly once per successful write</x:v>
      </x:c>
      <x:c r="L296" s="17" t="str">
        <x:v>按实体version或审计日志保留变更证据</x:v>
      </x:c>
      <x:c r="M296" s="4" t="str">
        <x:v>M2</x:v>
      </x:c>
      <x:c r="N296" s="4" t="str">
        <x:v>P0-019,P0-021,P0-063,P0-071</x:v>
      </x:c>
      <x:c r="O296" s="4" t="str">
        <x:v>综合方案§13核心数据模型</x:v>
      </x:c>
      <x:c r="P296" s="4" t="str">
        <x:v>FROZEN_M2_000</x:v>
      </x:c>
    </x:row>
    <x:row r="297" ht="23" customHeight="1">
      <x:c r="A297" s="4" t="str">
        <x:v>Sku</x:v>
      </x:c>
      <x:c r="B297" s="4" t="str">
        <x:v>status</x:v>
      </x:c>
      <x:c r="C297" s="17" t="str">
        <x:v>status</x:v>
      </x:c>
      <x:c r="D297" s="4" t="str">
        <x:v>12</x:v>
      </x:c>
      <x:c r="E297" s="4" t="str">
        <x:v>Enum&lt;SkuStatus&gt;</x:v>
      </x:c>
      <x:c r="F297" s="4" t="str">
        <x:v>YES</x:v>
      </x:c>
      <x:c r="G297" s="4" t="str">
        <x:v>DRAFT|ACTIVE|INACTIVE|ARCHIVED</x:v>
      </x:c>
      <x:c r="H297" s="17" t="str">
        <x:v>INTERNAL</x:v>
      </x:c>
      <x:c r="I297" s="17" t="str">
        <x:v>按资源权限与数据域访问；公开DTO另行白名单</x:v>
      </x:c>
      <x:c r="J297" s="17" t="str">
        <x:v>数据库实体不得直接序列化为响应</x:v>
      </x:c>
      <x:c r="K297" s="17" t="str">
        <x:v>enum value and legal transition enforced by domain state machine</x:v>
      </x:c>
      <x:c r="L297" s="17" t="str">
        <x:v>按实体version或审计日志保留变更证据</x:v>
      </x:c>
      <x:c r="M297" s="4" t="str">
        <x:v>M2</x:v>
      </x:c>
      <x:c r="N297" s="4" t="str">
        <x:v>P0-019,P0-021,P0-063,P0-071</x:v>
      </x:c>
      <x:c r="O297" s="4" t="str">
        <x:v>综合方案§13核心数据模型</x:v>
      </x:c>
      <x:c r="P297" s="4" t="str">
        <x:v>FROZEN_M2_000</x:v>
      </x:c>
    </x:row>
    <x:row r="298" ht="23" customHeight="1">
      <x:c r="A298" s="4" t="str">
        <x:v>SupplyPriceChangeRequest</x:v>
      </x:c>
      <x:c r="B298" s="4" t="str">
        <x:v>id</x:v>
      </x:c>
      <x:c r="C298" s="17" t="str">
        <x:v>id</x:v>
      </x:c>
      <x:c r="D298" s="4" t="str">
        <x:v>1</x:v>
      </x:c>
      <x:c r="E298" s="4" t="str">
        <x:v>String(36)</x:v>
      </x:c>
      <x:c r="F298" s="4" t="str">
        <x:v>YES</x:v>
      </x:c>
      <x:c r="G298" s="4" t="str">
        <x:v>UUID v4</x:v>
      </x:c>
      <x:c r="H298" s="17" t="str">
        <x:v>STRICT_INTERNAL_SUPPLY_PRICE</x:v>
      </x:c>
      <x:c r="I298" s="17" t="str">
        <x:v>仅公司价格/财务及本供应商价格/财务职能可见</x:v>
      </x:c>
      <x:c r="J298" s="17" t="str">
        <x:v>禁止出现在消费者端、企业采购端、门户公开端及非授权日志</x:v>
      </x:c>
      <x:c r="K298" s="17" t="str">
        <x:v>server-owned identifier; ownership verified before lookup result</x:v>
      </x:c>
      <x:c r="L298" s="17" t="str">
        <x:v>追加/版本/快照，不覆盖已生效历史</x:v>
      </x:c>
      <x:c r="M298" s="4" t="str">
        <x:v>M2</x:v>
      </x:c>
      <x:c r="N298" s="4" t="str">
        <x:v>P0-019,P0-071</x:v>
      </x:c>
      <x:c r="O298" s="4" t="str">
        <x:v>综合方案§13核心数据模型</x:v>
      </x:c>
      <x:c r="P298" s="4" t="str">
        <x:v>FROZEN_M2_000</x:v>
      </x:c>
    </x:row>
    <x:row r="299" ht="23" customHeight="1">
      <x:c r="A299" s="4" t="str">
        <x:v>SupplyPriceChangeRequest</x:v>
      </x:c>
      <x:c r="B299" s="4" t="str">
        <x:v>supplierId</x:v>
      </x:c>
      <x:c r="C299" s="17" t="str">
        <x:v>supplierId</x:v>
      </x:c>
      <x:c r="D299" s="4" t="str">
        <x:v>2</x:v>
      </x:c>
      <x:c r="E299" s="4" t="str">
        <x:v>String(36)</x:v>
      </x:c>
      <x:c r="F299" s="4" t="str">
        <x:v>YES</x:v>
      </x:c>
      <x:c r="G299" s="4" t="str">
        <x:v>UUID v4</x:v>
      </x:c>
      <x:c r="H299" s="17" t="str">
        <x:v>STRICT_INTERNAL_SUPPLY_PRICE</x:v>
      </x:c>
      <x:c r="I299" s="17" t="str">
        <x:v>仅公司价格/财务及本供应商价格/财务职能可见</x:v>
      </x:c>
      <x:c r="J299" s="17" t="str">
        <x:v>禁止出现在消费者端、企业采购端、门户公开端及非授权日志</x:v>
      </x:c>
      <x:c r="K299" s="17" t="str">
        <x:v>derived from authenticated server session; client value rejected</x:v>
      </x:c>
      <x:c r="L299" s="17" t="str">
        <x:v>追加/版本/快照，不覆盖已生效历史</x:v>
      </x:c>
      <x:c r="M299" s="4" t="str">
        <x:v>M2</x:v>
      </x:c>
      <x:c r="N299" s="4" t="str">
        <x:v>P0-019,P0-071</x:v>
      </x:c>
      <x:c r="O299" s="4" t="str">
        <x:v>综合方案§13核心数据模型</x:v>
      </x:c>
      <x:c r="P299" s="4" t="str">
        <x:v>FROZEN_M2_000</x:v>
      </x:c>
    </x:row>
    <x:row r="300" ht="23" customHeight="1">
      <x:c r="A300" s="4" t="str">
        <x:v>SupplyPriceChangeRequest</x:v>
      </x:c>
      <x:c r="B300" s="4" t="str">
        <x:v>productId</x:v>
      </x:c>
      <x:c r="C300" s="17" t="str">
        <x:v>productId</x:v>
      </x:c>
      <x:c r="D300" s="4" t="str">
        <x:v>3</x:v>
      </x:c>
      <x:c r="E300" s="4" t="str">
        <x:v>String(36)</x:v>
      </x:c>
      <x:c r="F300" s="4" t="str">
        <x:v>YES</x:v>
      </x:c>
      <x:c r="G300" s="4" t="str">
        <x:v>UUID v4</x:v>
      </x:c>
      <x:c r="H300" s="17" t="str">
        <x:v>STRICT_INTERNAL_SUPPLY_PRICE</x:v>
      </x:c>
      <x:c r="I300" s="17" t="str">
        <x:v>仅公司价格/财务及本供应商价格/财务职能可见</x:v>
      </x:c>
      <x:c r="J300" s="17" t="str">
        <x:v>禁止出现在消费者端、企业采购端、门户公开端及非授权日志</x:v>
      </x:c>
      <x:c r="K300" s="17" t="str">
        <x:v>server-owned identifier; ownership verified before lookup result</x:v>
      </x:c>
      <x:c r="L300" s="17" t="str">
        <x:v>追加/版本/快照，不覆盖已生效历史</x:v>
      </x:c>
      <x:c r="M300" s="4" t="str">
        <x:v>M2</x:v>
      </x:c>
      <x:c r="N300" s="4" t="str">
        <x:v>P0-019,P0-071</x:v>
      </x:c>
      <x:c r="O300" s="4" t="str">
        <x:v>综合方案§13核心数据模型</x:v>
      </x:c>
      <x:c r="P300" s="4" t="str">
        <x:v>FROZEN_M2_000</x:v>
      </x:c>
    </x:row>
    <x:row r="301" ht="23" customHeight="1">
      <x:c r="A301" s="4" t="str">
        <x:v>SupplyPriceChangeRequest</x:v>
      </x:c>
      <x:c r="B301" s="4" t="str">
        <x:v>skuId</x:v>
      </x:c>
      <x:c r="C301" s="17" t="str">
        <x:v>skuId</x:v>
      </x:c>
      <x:c r="D301" s="4" t="str">
        <x:v>4</x:v>
      </x:c>
      <x:c r="E301" s="4" t="str">
        <x:v>String(36)</x:v>
      </x:c>
      <x:c r="F301" s="4" t="str">
        <x:v>YES</x:v>
      </x:c>
      <x:c r="G301" s="4" t="str">
        <x:v>UUID v4</x:v>
      </x:c>
      <x:c r="H301" s="17" t="str">
        <x:v>STRICT_INTERNAL_SUPPLY_PRICE</x:v>
      </x:c>
      <x:c r="I301" s="17" t="str">
        <x:v>仅公司价格/财务及本供应商价格/财务职能可见</x:v>
      </x:c>
      <x:c r="J301" s="17" t="str">
        <x:v>禁止出现在消费者端、企业采购端、门户公开端及非授权日志</x:v>
      </x:c>
      <x:c r="K301" s="17" t="str">
        <x:v>server-owned identifier; ownership verified before lookup result</x:v>
      </x:c>
      <x:c r="L301" s="17" t="str">
        <x:v>追加/版本/快照，不覆盖已生效历史</x:v>
      </x:c>
      <x:c r="M301" s="4" t="str">
        <x:v>M2</x:v>
      </x:c>
      <x:c r="N301" s="4" t="str">
        <x:v>P0-019,P0-071</x:v>
      </x:c>
      <x:c r="O301" s="4" t="str">
        <x:v>综合方案§13核心数据模型</x:v>
      </x:c>
      <x:c r="P301" s="4" t="str">
        <x:v>FROZEN_M2_000</x:v>
      </x:c>
    </x:row>
    <x:row r="302" ht="23" customHeight="1">
      <x:c r="A302" s="4" t="str">
        <x:v>SupplyPriceChangeRequest</x:v>
      </x:c>
      <x:c r="B302" s="4" t="str">
        <x:v>oldSupplyPrice</x:v>
      </x:c>
      <x:c r="C302" s="17" t="str">
        <x:v>oldSupplyPrice</x:v>
      </x:c>
      <x:c r="D302" s="4" t="str">
        <x:v>5</x:v>
      </x:c>
      <x:c r="E302" s="4" t="str">
        <x:v>Int</x:v>
      </x:c>
      <x:c r="F302" s="4" t="str">
        <x:v>YES</x:v>
      </x:c>
      <x:c r="G302" s="4" t="str">
        <x:v>integer cents; &gt;=0</x:v>
      </x:c>
      <x:c r="H302" s="17" t="str">
        <x:v>STRICT_INTERNAL_SUPPLY_PRICE</x:v>
      </x:c>
      <x:c r="I302" s="17" t="str">
        <x:v>仅公司价格/财务及本供应商价格/财务职能可见</x:v>
      </x:c>
      <x:c r="J302" s="17" t="str">
        <x:v>禁止出现在消费者端、企业采购端、门户公开端及非授权日志</x:v>
      </x:c>
      <x:c r="K302" s="17" t="str">
        <x:v>integer cents; supplier pricing/company price review scope only; never public</x:v>
      </x:c>
      <x:c r="L302" s="17" t="str">
        <x:v>追加/版本/快照，不覆盖已生效历史</x:v>
      </x:c>
      <x:c r="M302" s="4" t="str">
        <x:v>M2</x:v>
      </x:c>
      <x:c r="N302" s="4" t="str">
        <x:v>P0-019,P0-071</x:v>
      </x:c>
      <x:c r="O302" s="4" t="str">
        <x:v>综合方案§13核心数据模型</x:v>
      </x:c>
      <x:c r="P302" s="4" t="str">
        <x:v>FROZEN_M2_000</x:v>
      </x:c>
    </x:row>
    <x:row r="303" ht="23" customHeight="1">
      <x:c r="A303" s="4" t="str">
        <x:v>SupplyPriceChangeRequest</x:v>
      </x:c>
      <x:c r="B303" s="4" t="str">
        <x:v>requestedSupplyPrice</x:v>
      </x:c>
      <x:c r="C303" s="17" t="str">
        <x:v>requestedSupplyPrice</x:v>
      </x:c>
      <x:c r="D303" s="4" t="str">
        <x:v>6</x:v>
      </x:c>
      <x:c r="E303" s="4" t="str">
        <x:v>Int</x:v>
      </x:c>
      <x:c r="F303" s="4" t="str">
        <x:v>YES</x:v>
      </x:c>
      <x:c r="G303" s="4" t="str">
        <x:v>integer cents; &gt;=0</x:v>
      </x:c>
      <x:c r="H303" s="17" t="str">
        <x:v>STRICT_INTERNAL_SUPPLY_PRICE</x:v>
      </x:c>
      <x:c r="I303" s="17" t="str">
        <x:v>仅公司价格/财务及本供应商价格/财务职能可见</x:v>
      </x:c>
      <x:c r="J303" s="17" t="str">
        <x:v>禁止出现在消费者端、企业采购端、门户公开端及非授权日志</x:v>
      </x:c>
      <x:c r="K303" s="17" t="str">
        <x:v>integer cents; supplier pricing/company price review scope only; never public</x:v>
      </x:c>
      <x:c r="L303" s="17" t="str">
        <x:v>追加/版本/快照，不覆盖已生效历史</x:v>
      </x:c>
      <x:c r="M303" s="4" t="str">
        <x:v>M2</x:v>
      </x:c>
      <x:c r="N303" s="4" t="str">
        <x:v>P0-019,P0-071</x:v>
      </x:c>
      <x:c r="O303" s="4" t="str">
        <x:v>综合方案§13核心数据模型</x:v>
      </x:c>
      <x:c r="P303" s="4" t="str">
        <x:v>FROZEN_M2_000</x:v>
      </x:c>
    </x:row>
    <x:row r="304" ht="23" customHeight="1">
      <x:c r="A304" s="4" t="str">
        <x:v>SupplyPriceChangeRequest</x:v>
      </x:c>
      <x:c r="B304" s="4" t="str">
        <x:v>requestedEffectiveAt</x:v>
      </x:c>
      <x:c r="C304" s="17" t="str">
        <x:v>requestedEffectiveAt</x:v>
      </x:c>
      <x:c r="D304" s="4" t="str">
        <x:v>7</x:v>
      </x:c>
      <x:c r="E304" s="4" t="str">
        <x:v>DateTime</x:v>
      </x:c>
      <x:c r="F304" s="4" t="str">
        <x:v>YES</x:v>
      </x:c>
      <x:c r="G304" s="4" t="str">
        <x:v>UTC ISO-8601</x:v>
      </x:c>
      <x:c r="H304" s="17" t="str">
        <x:v>STRICT_INTERNAL_SUPPLY_PRICE</x:v>
      </x:c>
      <x:c r="I304" s="17" t="str">
        <x:v>仅公司价格/财务及本供应商价格/财务职能可见</x:v>
      </x:c>
      <x:c r="J304" s="17" t="str">
        <x:v>禁止出现在消费者端、企业采购端、门户公开端及非授权日志</x:v>
      </x:c>
      <x:c r="K304" s="17" t="str">
        <x:v>DTO whitelist; length/enum/ownership/state validation; client-derived ownership rejected</x:v>
      </x:c>
      <x:c r="L304" s="17" t="str">
        <x:v>追加/版本/快照，不覆盖已生效历史</x:v>
      </x:c>
      <x:c r="M304" s="4" t="str">
        <x:v>M2</x:v>
      </x:c>
      <x:c r="N304" s="4" t="str">
        <x:v>P0-019,P0-071</x:v>
      </x:c>
      <x:c r="O304" s="4" t="str">
        <x:v>综合方案§13核心数据模型</x:v>
      </x:c>
      <x:c r="P304" s="4" t="str">
        <x:v>FROZEN_M2_000</x:v>
      </x:c>
    </x:row>
    <x:row r="305" ht="23" customHeight="1">
      <x:c r="A305" s="4" t="str">
        <x:v>SupplyPriceChangeRequest</x:v>
      </x:c>
      <x:c r="B305" s="4" t="str">
        <x:v>reviewStatus</x:v>
      </x:c>
      <x:c r="C305" s="17" t="str">
        <x:v>reviewStatus</x:v>
      </x:c>
      <x:c r="D305" s="4" t="str">
        <x:v>8</x:v>
      </x:c>
      <x:c r="E305" s="4" t="str">
        <x:v>Enum&lt;SupplyPriceReviewStatus&gt;</x:v>
      </x:c>
      <x:c r="F305" s="4" t="str">
        <x:v>YES</x:v>
      </x:c>
      <x:c r="G305" s="4" t="str">
        <x:v>DRAFT|SUBMITTED|APPROVED|REJECTED|CANCELLED|EFFECTIVE</x:v>
      </x:c>
      <x:c r="H305" s="17" t="str">
        <x:v>STRICT_INTERNAL_SUPPLY_PRICE</x:v>
      </x:c>
      <x:c r="I305" s="17" t="str">
        <x:v>仅公司价格/财务及本供应商价格/财务职能可见</x:v>
      </x:c>
      <x:c r="J305" s="17" t="str">
        <x:v>禁止出现在消费者端、企业采购端、门户公开端及非授权日志</x:v>
      </x:c>
      <x:c r="K305" s="17" t="str">
        <x:v>enum value and legal transition enforced by domain state machine</x:v>
      </x:c>
      <x:c r="L305" s="17" t="str">
        <x:v>追加/版本/快照，不覆盖已生效历史</x:v>
      </x:c>
      <x:c r="M305" s="4" t="str">
        <x:v>M2</x:v>
      </x:c>
      <x:c r="N305" s="4" t="str">
        <x:v>P0-019,P0-071</x:v>
      </x:c>
      <x:c r="O305" s="4" t="str">
        <x:v>综合方案§13核心数据模型</x:v>
      </x:c>
      <x:c r="P305" s="4" t="str">
        <x:v>FROZEN_M2_000</x:v>
      </x:c>
    </x:row>
    <x:row r="306" ht="23" customHeight="1">
      <x:c r="A306" s="4" t="str">
        <x:v>SupplyPriceChangeRequest</x:v>
      </x:c>
      <x:c r="B306" s="4" t="str">
        <x:v>reviewReason</x:v>
      </x:c>
      <x:c r="C306" s="17" t="str">
        <x:v>reviewReason</x:v>
      </x:c>
      <x:c r="D306" s="4" t="str">
        <x:v>9</x:v>
      </x:c>
      <x:c r="E306" s="4" t="str">
        <x:v>String(1000)</x:v>
      </x:c>
      <x:c r="F306" s="4" t="str">
        <x:v>YES</x:v>
      </x:c>
      <x:c r="G306" s="4" t="str">
        <x:v>UTF-8; max 1000 chars</x:v>
      </x:c>
      <x:c r="H306" s="17" t="str">
        <x:v>STRICT_INTERNAL_SUPPLY_PRICE</x:v>
      </x:c>
      <x:c r="I306" s="17" t="str">
        <x:v>仅公司价格/财务及本供应商价格/财务职能可见</x:v>
      </x:c>
      <x:c r="J306" s="17" t="str">
        <x:v>禁止出现在消费者端、企业采购端、门户公开端及非授权日志</x:v>
      </x:c>
      <x:c r="K306" s="17" t="str">
        <x:v>trimmed non-empty reason for review or change</x:v>
      </x:c>
      <x:c r="L306" s="17" t="str">
        <x:v>追加/版本/快照，不覆盖已生效历史</x:v>
      </x:c>
      <x:c r="M306" s="4" t="str">
        <x:v>M2</x:v>
      </x:c>
      <x:c r="N306" s="4" t="str">
        <x:v>P0-019,P0-071</x:v>
      </x:c>
      <x:c r="O306" s="4" t="str">
        <x:v>综合方案§13核心数据模型</x:v>
      </x:c>
      <x:c r="P306" s="4" t="str">
        <x:v>FROZEN_M2_000</x:v>
      </x:c>
    </x:row>
    <x:row r="307" ht="23" customHeight="1">
      <x:c r="A307" s="4" t="str">
        <x:v>SupplyPriceChangeRequest</x:v>
      </x:c>
      <x:c r="B307" s="4" t="str">
        <x:v>reviewedBy</x:v>
      </x:c>
      <x:c r="C307" s="17" t="str">
        <x:v>reviewedBy</x:v>
      </x:c>
      <x:c r="D307" s="4" t="str">
        <x:v>10</x:v>
      </x:c>
      <x:c r="E307" s="4" t="str">
        <x:v>String(191)</x:v>
      </x:c>
      <x:c r="F307" s="4" t="str">
        <x:v>YES</x:v>
      </x:c>
      <x:c r="G307" s="4" t="str">
        <x:v>UTF-8; max 191 chars</x:v>
      </x:c>
      <x:c r="H307" s="17" t="str">
        <x:v>STRICT_INTERNAL_SUPPLY_PRICE</x:v>
      </x:c>
      <x:c r="I307" s="17" t="str">
        <x:v>仅公司价格/财务及本供应商价格/财务职能可见</x:v>
      </x:c>
      <x:c r="J307" s="17" t="str">
        <x:v>禁止出现在消费者端、企业采购端、门户公开端及非授权日志</x:v>
      </x:c>
      <x:c r="K307" s="17" t="str">
        <x:v>authenticated natural identity; must differ from applicant identity when review separation applies</x:v>
      </x:c>
      <x:c r="L307" s="17" t="str">
        <x:v>追加/版本/快照，不覆盖已生效历史</x:v>
      </x:c>
      <x:c r="M307" s="4" t="str">
        <x:v>M2</x:v>
      </x:c>
      <x:c r="N307" s="4" t="str">
        <x:v>P0-019,P0-071</x:v>
      </x:c>
      <x:c r="O307" s="4" t="str">
        <x:v>综合方案§13核心数据模型</x:v>
      </x:c>
      <x:c r="P307" s="4" t="str">
        <x:v>FROZEN_M2_000</x:v>
      </x:c>
    </x:row>
    <x:row r="308" ht="23" customHeight="1">
      <x:c r="A308" s="4" t="str">
        <x:v>SupplyPriceChangeRequest</x:v>
      </x:c>
      <x:c r="B308" s="4" t="str">
        <x:v>reviewedAt</x:v>
      </x:c>
      <x:c r="C308" s="17" t="str">
        <x:v>reviewedAt</x:v>
      </x:c>
      <x:c r="D308" s="4" t="str">
        <x:v>11</x:v>
      </x:c>
      <x:c r="E308" s="4" t="str">
        <x:v>DateTime</x:v>
      </x:c>
      <x:c r="F308" s="4" t="str">
        <x:v>YES</x:v>
      </x:c>
      <x:c r="G308" s="4" t="str">
        <x:v>UTC ISO-8601</x:v>
      </x:c>
      <x:c r="H308" s="17" t="str">
        <x:v>STRICT_INTERNAL_SUPPLY_PRICE</x:v>
      </x:c>
      <x:c r="I308" s="17" t="str">
        <x:v>仅公司价格/财务及本供应商价格/财务职能可见</x:v>
      </x:c>
      <x:c r="J308" s="17" t="str">
        <x:v>禁止出现在消费者端、企业采购端、门户公开端及非授权日志</x:v>
      </x:c>
      <x:c r="K308" s="17" t="str">
        <x:v>DTO whitelist; length/enum/ownership/state validation; client-derived ownership rejected</x:v>
      </x:c>
      <x:c r="L308" s="17" t="str">
        <x:v>追加/版本/快照，不覆盖已生效历史</x:v>
      </x:c>
      <x:c r="M308" s="4" t="str">
        <x:v>M2</x:v>
      </x:c>
      <x:c r="N308" s="4" t="str">
        <x:v>P0-019,P0-071</x:v>
      </x:c>
      <x:c r="O308" s="4" t="str">
        <x:v>综合方案§13核心数据模型</x:v>
      </x:c>
      <x:c r="P308" s="4" t="str">
        <x:v>FROZEN_M2_000</x:v>
      </x:c>
    </x:row>
    <x:row r="309" ht="23" customHeight="1">
      <x:c r="A309" s="4" t="str">
        <x:v>SupplyPriceChangeRequest</x:v>
      </x:c>
      <x:c r="B309" s="4" t="str">
        <x:v>approvedEffectiveAt</x:v>
      </x:c>
      <x:c r="C309" s="17" t="str">
        <x:v>approvedEffectiveAt</x:v>
      </x:c>
      <x:c r="D309" s="4" t="str">
        <x:v>12</x:v>
      </x:c>
      <x:c r="E309" s="4" t="str">
        <x:v>DateTime</x:v>
      </x:c>
      <x:c r="F309" s="4" t="str">
        <x:v>YES</x:v>
      </x:c>
      <x:c r="G309" s="4" t="str">
        <x:v>UTC ISO-8601</x:v>
      </x:c>
      <x:c r="H309" s="17" t="str">
        <x:v>STRICT_INTERNAL_SUPPLY_PRICE</x:v>
      </x:c>
      <x:c r="I309" s="17" t="str">
        <x:v>仅公司价格/财务及本供应商价格/财务职能可见</x:v>
      </x:c>
      <x:c r="J309" s="17" t="str">
        <x:v>禁止出现在消费者端、企业采购端、门户公开端及非授权日志</x:v>
      </x:c>
      <x:c r="K309" s="17" t="str">
        <x:v>DTO whitelist; length/enum/ownership/state validation; client-derived ownership rejected</x:v>
      </x:c>
      <x:c r="L309" s="17" t="str">
        <x:v>追加/版本/快照，不覆盖已生效历史</x:v>
      </x:c>
      <x:c r="M309" s="4" t="str">
        <x:v>M2</x:v>
      </x:c>
      <x:c r="N309" s="4" t="str">
        <x:v>P0-019,P0-071</x:v>
      </x:c>
      <x:c r="O309" s="4" t="str">
        <x:v>综合方案§13核心数据模型</x:v>
      </x:c>
      <x:c r="P309" s="4" t="str">
        <x:v>FROZEN_M2_000</x:v>
      </x:c>
    </x:row>
    <x:row r="310" ht="23" customHeight="1">
      <x:c r="A310" s="4" t="str">
        <x:v>SupplyPriceChangeRequest</x:v>
      </x:c>
      <x:c r="B310" s="4" t="str">
        <x:v>version</x:v>
      </x:c>
      <x:c r="C310" s="17" t="str">
        <x:v>version</x:v>
      </x:c>
      <x:c r="D310" s="4" t="str">
        <x:v>13</x:v>
      </x:c>
      <x:c r="E310" s="4" t="str">
        <x:v>Int</x:v>
      </x:c>
      <x:c r="F310" s="4" t="str">
        <x:v>YES</x:v>
      </x:c>
      <x:c r="G310" s="4" t="str">
        <x:v>positive monotonic integer</x:v>
      </x:c>
      <x:c r="H310" s="17" t="str">
        <x:v>STRICT_INTERNAL_SUPPLY_PRICE</x:v>
      </x:c>
      <x:c r="I310" s="17" t="str">
        <x:v>仅公司价格/财务及本供应商价格/财务职能可见</x:v>
      </x:c>
      <x:c r="J310" s="17" t="str">
        <x:v>禁止出现在消费者端、企业采购端、门户公开端及非授权日志</x:v>
      </x:c>
      <x:c r="K310" s="17" t="str">
        <x:v>optimistic lock; increment exactly once per successful write</x:v>
      </x:c>
      <x:c r="L310" s="17" t="str">
        <x:v>追加/版本/快照，不覆盖已生效历史</x:v>
      </x:c>
      <x:c r="M310" s="4" t="str">
        <x:v>M2</x:v>
      </x:c>
      <x:c r="N310" s="4" t="str">
        <x:v>P0-019,P0-071</x:v>
      </x:c>
      <x:c r="O310" s="4" t="str">
        <x:v>综合方案§13核心数据模型</x:v>
      </x:c>
      <x:c r="P310" s="4" t="str">
        <x:v>FROZEN_M2_000</x:v>
      </x:c>
    </x:row>
    <x:row r="311" ht="23" customHeight="1">
      <x:c r="A311" s="4" t="str">
        <x:v>SupplyPriceChangeRequest</x:v>
      </x:c>
      <x:c r="B311" s="4" t="str">
        <x:v>createdAt</x:v>
      </x:c>
      <x:c r="C311" s="17" t="str">
        <x:v>createdAt</x:v>
      </x:c>
      <x:c r="D311" s="4" t="str">
        <x:v>14</x:v>
      </x:c>
      <x:c r="E311" s="4" t="str">
        <x:v>DateTime</x:v>
      </x:c>
      <x:c r="F311" s="4" t="str">
        <x:v>YES</x:v>
      </x:c>
      <x:c r="G311" s="4" t="str">
        <x:v>UTC ISO-8601</x:v>
      </x:c>
      <x:c r="H311" s="17" t="str">
        <x:v>STRICT_INTERNAL_SUPPLY_PRICE</x:v>
      </x:c>
      <x:c r="I311" s="17" t="str">
        <x:v>仅公司价格/财务及本供应商价格/财务职能可见</x:v>
      </x:c>
      <x:c r="J311" s="17" t="str">
        <x:v>禁止出现在消费者端、企业采购端、门户公开端及非授权日志</x:v>
      </x:c>
      <x:c r="K311" s="17" t="str">
        <x:v>DTO whitelist; length/enum/ownership/state validation; client-derived ownership rejected</x:v>
      </x:c>
      <x:c r="L311" s="17" t="str">
        <x:v>追加/版本/快照，不覆盖已生效历史</x:v>
      </x:c>
      <x:c r="M311" s="4" t="str">
        <x:v>M2</x:v>
      </x:c>
      <x:c r="N311" s="4" t="str">
        <x:v>P0-019,P0-071</x:v>
      </x:c>
      <x:c r="O311" s="4" t="str">
        <x:v>综合方案§13核心数据模型</x:v>
      </x:c>
      <x:c r="P311" s="4" t="str">
        <x:v>FROZEN_M2_000</x:v>
      </x:c>
    </x:row>
    <x:row r="312" ht="23" customHeight="1">
      <x:c r="A312" s="4" t="str">
        <x:v>PriceChangeLog</x:v>
      </x:c>
      <x:c r="B312" s="4" t="str">
        <x:v>id</x:v>
      </x:c>
      <x:c r="C312" s="17" t="str">
        <x:v>id</x:v>
      </x:c>
      <x:c r="D312" s="4" t="str">
        <x:v>1</x:v>
      </x:c>
      <x:c r="E312" s="4" t="str">
        <x:v>String(36)</x:v>
      </x:c>
      <x:c r="F312" s="4" t="str">
        <x:v>YES</x:v>
      </x:c>
      <x:c r="G312" s="4" t="str">
        <x:v>UUID v4</x:v>
      </x:c>
      <x:c r="H312" s="17" t="str">
        <x:v>INTERNAL</x:v>
      </x:c>
      <x:c r="I312" s="17" t="str">
        <x:v>按资源权限与数据域访问；公开DTO另行白名单</x:v>
      </x:c>
      <x:c r="J312" s="17" t="str">
        <x:v>数据库实体不得直接序列化为响应</x:v>
      </x:c>
      <x:c r="K312" s="17" t="str">
        <x:v>server-owned identifier; ownership verified before lookup result</x:v>
      </x:c>
      <x:c r="L312" s="17" t="str">
        <x:v>追加/版本/快照，不覆盖已生效历史</x:v>
      </x:c>
      <x:c r="M312" s="4" t="str">
        <x:v>M2</x:v>
      </x:c>
      <x:c r="N312" s="4" t="str">
        <x:v>P0-019,P0-021,P0-071</x:v>
      </x:c>
      <x:c r="O312" s="4" t="str">
        <x:v>综合方案§13核心数据模型</x:v>
      </x:c>
      <x:c r="P312" s="4" t="str">
        <x:v>FROZEN_M2_000</x:v>
      </x:c>
    </x:row>
    <x:row r="313" ht="23" customHeight="1">
      <x:c r="A313" s="4" t="str">
        <x:v>PriceChangeLog</x:v>
      </x:c>
      <x:c r="B313" s="4" t="str">
        <x:v>supplierId</x:v>
      </x:c>
      <x:c r="C313" s="17" t="str">
        <x:v>supplierId</x:v>
      </x:c>
      <x:c r="D313" s="4" t="str">
        <x:v>2</x:v>
      </x:c>
      <x:c r="E313" s="4" t="str">
        <x:v>String(36)</x:v>
      </x:c>
      <x:c r="F313" s="4" t="str">
        <x:v>YES</x:v>
      </x:c>
      <x:c r="G313" s="4" t="str">
        <x:v>UUID v4</x:v>
      </x:c>
      <x:c r="H313" s="17" t="str">
        <x:v>INTERNAL</x:v>
      </x:c>
      <x:c r="I313" s="17" t="str">
        <x:v>按资源权限与数据域访问；公开DTO另行白名单</x:v>
      </x:c>
      <x:c r="J313" s="17" t="str">
        <x:v>数据库实体不得直接序列化为响应</x:v>
      </x:c>
      <x:c r="K313" s="17" t="str">
        <x:v>derived from authenticated server session; client value rejected</x:v>
      </x:c>
      <x:c r="L313" s="17" t="str">
        <x:v>追加/版本/快照，不覆盖已生效历史</x:v>
      </x:c>
      <x:c r="M313" s="4" t="str">
        <x:v>M2</x:v>
      </x:c>
      <x:c r="N313" s="4" t="str">
        <x:v>P0-019,P0-021,P0-071</x:v>
      </x:c>
      <x:c r="O313" s="4" t="str">
        <x:v>综合方案§13核心数据模型</x:v>
      </x:c>
      <x:c r="P313" s="4" t="str">
        <x:v>FROZEN_M2_000</x:v>
      </x:c>
    </x:row>
    <x:row r="314" ht="23" customHeight="1">
      <x:c r="A314" s="4" t="str">
        <x:v>PriceChangeLog</x:v>
      </x:c>
      <x:c r="B314" s="4" t="str">
        <x:v>productId</x:v>
      </x:c>
      <x:c r="C314" s="17" t="str">
        <x:v>productId</x:v>
      </x:c>
      <x:c r="D314" s="4" t="str">
        <x:v>3</x:v>
      </x:c>
      <x:c r="E314" s="4" t="str">
        <x:v>String(36)</x:v>
      </x:c>
      <x:c r="F314" s="4" t="str">
        <x:v>YES</x:v>
      </x:c>
      <x:c r="G314" s="4" t="str">
        <x:v>UUID v4</x:v>
      </x:c>
      <x:c r="H314" s="17" t="str">
        <x:v>INTERNAL</x:v>
      </x:c>
      <x:c r="I314" s="17" t="str">
        <x:v>按资源权限与数据域访问；公开DTO另行白名单</x:v>
      </x:c>
      <x:c r="J314" s="17" t="str">
        <x:v>数据库实体不得直接序列化为响应</x:v>
      </x:c>
      <x:c r="K314" s="17" t="str">
        <x:v>server-owned identifier; ownership verified before lookup result</x:v>
      </x:c>
      <x:c r="L314" s="17" t="str">
        <x:v>追加/版本/快照，不覆盖已生效历史</x:v>
      </x:c>
      <x:c r="M314" s="4" t="str">
        <x:v>M2</x:v>
      </x:c>
      <x:c r="N314" s="4" t="str">
        <x:v>P0-019,P0-021,P0-071</x:v>
      </x:c>
      <x:c r="O314" s="4" t="str">
        <x:v>综合方案§13核心数据模型</x:v>
      </x:c>
      <x:c r="P314" s="4" t="str">
        <x:v>FROZEN_M2_000</x:v>
      </x:c>
    </x:row>
    <x:row r="315" ht="23" customHeight="1">
      <x:c r="A315" s="4" t="str">
        <x:v>PriceChangeLog</x:v>
      </x:c>
      <x:c r="B315" s="4" t="str">
        <x:v>skuId</x:v>
      </x:c>
      <x:c r="C315" s="17" t="str">
        <x:v>skuId</x:v>
      </x:c>
      <x:c r="D315" s="4" t="str">
        <x:v>4</x:v>
      </x:c>
      <x:c r="E315" s="4" t="str">
        <x:v>String(36)</x:v>
      </x:c>
      <x:c r="F315" s="4" t="str">
        <x:v>YES</x:v>
      </x:c>
      <x:c r="G315" s="4" t="str">
        <x:v>UUID v4</x:v>
      </x:c>
      <x:c r="H315" s="17" t="str">
        <x:v>INTERNAL</x:v>
      </x:c>
      <x:c r="I315" s="17" t="str">
        <x:v>按资源权限与数据域访问；公开DTO另行白名单</x:v>
      </x:c>
      <x:c r="J315" s="17" t="str">
        <x:v>数据库实体不得直接序列化为响应</x:v>
      </x:c>
      <x:c r="K315" s="17" t="str">
        <x:v>server-owned identifier; ownership verified before lookup result</x:v>
      </x:c>
      <x:c r="L315" s="17" t="str">
        <x:v>追加/版本/快照，不覆盖已生效历史</x:v>
      </x:c>
      <x:c r="M315" s="4" t="str">
        <x:v>M2</x:v>
      </x:c>
      <x:c r="N315" s="4" t="str">
        <x:v>P0-019,P0-021,P0-071</x:v>
      </x:c>
      <x:c r="O315" s="4" t="str">
        <x:v>综合方案§13核心数据模型</x:v>
      </x:c>
      <x:c r="P315" s="4" t="str">
        <x:v>FROZEN_M2_000</x:v>
      </x:c>
    </x:row>
    <x:row r="316" ht="23" customHeight="1">
      <x:c r="A316" s="4" t="str">
        <x:v>PriceChangeLog</x:v>
      </x:c>
      <x:c r="B316" s="4" t="str">
        <x:v>priceType</x:v>
      </x:c>
      <x:c r="C316" s="17" t="str">
        <x:v>priceType</x:v>
      </x:c>
      <x:c r="D316" s="4" t="str">
        <x:v>5</x:v>
      </x:c>
      <x:c r="E316" s="4" t="str">
        <x:v>Enum&lt;PriceType&gt;</x:v>
      </x:c>
      <x:c r="F316" s="4" t="str">
        <x:v>YES</x:v>
      </x:c>
      <x:c r="G316" s="4" t="str">
        <x:v>SUPPLY|RETAIL_SALE|ENTERPRISE_SALE</x:v>
      </x:c>
      <x:c r="H316" s="17" t="str">
        <x:v>INTERNAL</x:v>
      </x:c>
      <x:c r="I316" s="17" t="str">
        <x:v>按资源权限与数据域访问；公开DTO另行白名单</x:v>
      </x:c>
      <x:c r="J316" s="17" t="str">
        <x:v>数据库实体不得直接序列化为响应</x:v>
      </x:c>
      <x:c r="K316" s="17" t="str">
        <x:v>DTO whitelist; length/enum/ownership/state validation; client-derived ownership rejected</x:v>
      </x:c>
      <x:c r="L316" s="17" t="str">
        <x:v>追加/版本/快照，不覆盖已生效历史</x:v>
      </x:c>
      <x:c r="M316" s="4" t="str">
        <x:v>M2</x:v>
      </x:c>
      <x:c r="N316" s="4" t="str">
        <x:v>P0-019,P0-021,P0-071</x:v>
      </x:c>
      <x:c r="O316" s="4" t="str">
        <x:v>综合方案§13核心数据模型</x:v>
      </x:c>
      <x:c r="P316" s="4" t="str">
        <x:v>FROZEN_M2_000</x:v>
      </x:c>
    </x:row>
    <x:row r="317" ht="23" customHeight="1">
      <x:c r="A317" s="4" t="str">
        <x:v>PriceChangeLog</x:v>
      </x:c>
      <x:c r="B317" s="4" t="str">
        <x:v>approvalRequestId</x:v>
      </x:c>
      <x:c r="C317" s="17" t="str">
        <x:v>approvalRequestId?</x:v>
      </x:c>
      <x:c r="D317" s="4" t="str">
        <x:v>6</x:v>
      </x:c>
      <x:c r="E317" s="4" t="str">
        <x:v>String(36)</x:v>
      </x:c>
      <x:c r="F317" s="4" t="str">
        <x:v>NO</x:v>
      </x:c>
      <x:c r="G317" s="4" t="str">
        <x:v>UUID v4; nullable</x:v>
      </x:c>
      <x:c r="H317" s="17" t="str">
        <x:v>INTERNAL</x:v>
      </x:c>
      <x:c r="I317" s="17" t="str">
        <x:v>按资源权限与数据域访问；公开DTO另行白名单</x:v>
      </x:c>
      <x:c r="J317" s="17" t="str">
        <x:v>数据库实体不得直接序列化为响应</x:v>
      </x:c>
      <x:c r="K317" s="17" t="str">
        <x:v>server-owned identifier; ownership verified before lookup result</x:v>
      </x:c>
      <x:c r="L317" s="17" t="str">
        <x:v>追加/版本/快照，不覆盖已生效历史</x:v>
      </x:c>
      <x:c r="M317" s="4" t="str">
        <x:v>M2</x:v>
      </x:c>
      <x:c r="N317" s="4" t="str">
        <x:v>P0-019,P0-021,P0-071</x:v>
      </x:c>
      <x:c r="O317" s="4" t="str">
        <x:v>综合方案§13核心数据模型</x:v>
      </x:c>
      <x:c r="P317" s="4" t="str">
        <x:v>FROZEN_M2_000</x:v>
      </x:c>
    </x:row>
    <x:row r="318" ht="23" customHeight="1">
      <x:c r="A318" s="4" t="str">
        <x:v>PriceChangeLog</x:v>
      </x:c>
      <x:c r="B318" s="4" t="str">
        <x:v>oldSupplyPrice</x:v>
      </x:c>
      <x:c r="C318" s="17" t="str">
        <x:v>oldSupplyPrice</x:v>
      </x:c>
      <x:c r="D318" s="4" t="str">
        <x:v>7</x:v>
      </x:c>
      <x:c r="E318" s="4" t="str">
        <x:v>Int</x:v>
      </x:c>
      <x:c r="F318" s="4" t="str">
        <x:v>YES</x:v>
      </x:c>
      <x:c r="G318" s="4" t="str">
        <x:v>integer cents; &gt;=0</x:v>
      </x:c>
      <x:c r="H318" s="17" t="str">
        <x:v>STRICT_INTERNAL_SUPPLY_PRICE</x:v>
      </x:c>
      <x:c r="I318" s="17" t="str">
        <x:v>仅公司价格/财务及本供应商价格/财务职能可见</x:v>
      </x:c>
      <x:c r="J318" s="17" t="str">
        <x:v>禁止出现在消费者端、企业采购端、门户公开端及非授权日志</x:v>
      </x:c>
      <x:c r="K318" s="17" t="str">
        <x:v>integer cents; supplier pricing/company price review scope only; never public</x:v>
      </x:c>
      <x:c r="L318" s="17" t="str">
        <x:v>追加/版本/快照，不覆盖已生效历史</x:v>
      </x:c>
      <x:c r="M318" s="4" t="str">
        <x:v>M2</x:v>
      </x:c>
      <x:c r="N318" s="4" t="str">
        <x:v>P0-019,P0-021,P0-071</x:v>
      </x:c>
      <x:c r="O318" s="4" t="str">
        <x:v>综合方案§13核心数据模型</x:v>
      </x:c>
      <x:c r="P318" s="4" t="str">
        <x:v>FROZEN_M2_000</x:v>
      </x:c>
    </x:row>
    <x:row r="319" ht="23" customHeight="1">
      <x:c r="A319" s="4" t="str">
        <x:v>PriceChangeLog</x:v>
      </x:c>
      <x:c r="B319" s="4" t="str">
        <x:v>newSupplyPrice</x:v>
      </x:c>
      <x:c r="C319" s="17" t="str">
        <x:v>newSupplyPrice</x:v>
      </x:c>
      <x:c r="D319" s="4" t="str">
        <x:v>8</x:v>
      </x:c>
      <x:c r="E319" s="4" t="str">
        <x:v>Int</x:v>
      </x:c>
      <x:c r="F319" s="4" t="str">
        <x:v>YES</x:v>
      </x:c>
      <x:c r="G319" s="4" t="str">
        <x:v>integer cents; &gt;=0</x:v>
      </x:c>
      <x:c r="H319" s="17" t="str">
        <x:v>STRICT_INTERNAL_SUPPLY_PRICE</x:v>
      </x:c>
      <x:c r="I319" s="17" t="str">
        <x:v>仅公司价格/财务及本供应商价格/财务职能可见</x:v>
      </x:c>
      <x:c r="J319" s="17" t="str">
        <x:v>禁止出现在消费者端、企业采购端、门户公开端及非授权日志</x:v>
      </x:c>
      <x:c r="K319" s="17" t="str">
        <x:v>integer cents; supplier pricing/company price review scope only; never public</x:v>
      </x:c>
      <x:c r="L319" s="17" t="str">
        <x:v>追加/版本/快照，不覆盖已生效历史</x:v>
      </x:c>
      <x:c r="M319" s="4" t="str">
        <x:v>M2</x:v>
      </x:c>
      <x:c r="N319" s="4" t="str">
        <x:v>P0-019,P0-021,P0-071</x:v>
      </x:c>
      <x:c r="O319" s="4" t="str">
        <x:v>综合方案§13核心数据模型</x:v>
      </x:c>
      <x:c r="P319" s="4" t="str">
        <x:v>FROZEN_M2_000</x:v>
      </x:c>
    </x:row>
    <x:row r="320" ht="23" customHeight="1">
      <x:c r="A320" s="4" t="str">
        <x:v>PriceChangeLog</x:v>
      </x:c>
      <x:c r="B320" s="4" t="str">
        <x:v>oldRetailSalePrice</x:v>
      </x:c>
      <x:c r="C320" s="17" t="str">
        <x:v>oldRetailSalePrice</x:v>
      </x:c>
      <x:c r="D320" s="4" t="str">
        <x:v>9</x:v>
      </x:c>
      <x:c r="E320" s="4" t="str">
        <x:v>Int</x:v>
      </x:c>
      <x:c r="F320" s="4" t="str">
        <x:v>YES</x:v>
      </x:c>
      <x:c r="G320" s="4" t="str">
        <x:v>integer cents; &gt;=0</x:v>
      </x:c>
      <x:c r="H320" s="17" t="str">
        <x:v>INTERNAL</x:v>
      </x:c>
      <x:c r="I320" s="17" t="str">
        <x:v>按资源权限与数据域访问；公开DTO另行白名单</x:v>
      </x:c>
      <x:c r="J320" s="17" t="str">
        <x:v>数据库实体不得直接序列化为响应</x:v>
      </x:c>
      <x:c r="K320" s="17" t="str">
        <x:v>integer cents; pricing role only; versioned effective time; no approval task after listing</x:v>
      </x:c>
      <x:c r="L320" s="17" t="str">
        <x:v>追加/版本/快照，不覆盖已生效历史</x:v>
      </x:c>
      <x:c r="M320" s="4" t="str">
        <x:v>M2</x:v>
      </x:c>
      <x:c r="N320" s="4" t="str">
        <x:v>P0-019,P0-021,P0-071</x:v>
      </x:c>
      <x:c r="O320" s="4" t="str">
        <x:v>综合方案§13核心数据模型</x:v>
      </x:c>
      <x:c r="P320" s="4" t="str">
        <x:v>FROZEN_M2_000</x:v>
      </x:c>
    </x:row>
    <x:row r="321" ht="23" customHeight="1">
      <x:c r="A321" s="4" t="str">
        <x:v>PriceChangeLog</x:v>
      </x:c>
      <x:c r="B321" s="4" t="str">
        <x:v>newRetailSalePrice</x:v>
      </x:c>
      <x:c r="C321" s="17" t="str">
        <x:v>newRetailSalePrice</x:v>
      </x:c>
      <x:c r="D321" s="4" t="str">
        <x:v>10</x:v>
      </x:c>
      <x:c r="E321" s="4" t="str">
        <x:v>Int</x:v>
      </x:c>
      <x:c r="F321" s="4" t="str">
        <x:v>YES</x:v>
      </x:c>
      <x:c r="G321" s="4" t="str">
        <x:v>integer cents; &gt;=0</x:v>
      </x:c>
      <x:c r="H321" s="17" t="str">
        <x:v>INTERNAL</x:v>
      </x:c>
      <x:c r="I321" s="17" t="str">
        <x:v>按资源权限与数据域访问；公开DTO另行白名单</x:v>
      </x:c>
      <x:c r="J321" s="17" t="str">
        <x:v>数据库实体不得直接序列化为响应</x:v>
      </x:c>
      <x:c r="K321" s="17" t="str">
        <x:v>integer cents; pricing role only; versioned effective time; no approval task after listing</x:v>
      </x:c>
      <x:c r="L321" s="17" t="str">
        <x:v>追加/版本/快照，不覆盖已生效历史</x:v>
      </x:c>
      <x:c r="M321" s="4" t="str">
        <x:v>M2</x:v>
      </x:c>
      <x:c r="N321" s="4" t="str">
        <x:v>P0-019,P0-021,P0-071</x:v>
      </x:c>
      <x:c r="O321" s="4" t="str">
        <x:v>综合方案§13核心数据模型</x:v>
      </x:c>
      <x:c r="P321" s="4" t="str">
        <x:v>FROZEN_M2_000</x:v>
      </x:c>
    </x:row>
    <x:row r="322" ht="23" customHeight="1">
      <x:c r="A322" s="4" t="str">
        <x:v>PriceChangeLog</x:v>
      </x:c>
      <x:c r="B322" s="4" t="str">
        <x:v>oldEnterpriseSalePrice</x:v>
      </x:c>
      <x:c r="C322" s="17" t="str">
        <x:v>oldEnterpriseSalePrice</x:v>
      </x:c>
      <x:c r="D322" s="4" t="str">
        <x:v>11</x:v>
      </x:c>
      <x:c r="E322" s="4" t="str">
        <x:v>Int</x:v>
      </x:c>
      <x:c r="F322" s="4" t="str">
        <x:v>YES</x:v>
      </x:c>
      <x:c r="G322" s="4" t="str">
        <x:v>integer cents; &gt;=0</x:v>
      </x:c>
      <x:c r="H322" s="17" t="str">
        <x:v>INTERNAL</x:v>
      </x:c>
      <x:c r="I322" s="17" t="str">
        <x:v>按资源权限与数据域访问；公开DTO另行白名单</x:v>
      </x:c>
      <x:c r="J322" s="17" t="str">
        <x:v>数据库实体不得直接序列化为响应</x:v>
      </x:c>
      <x:c r="K322" s="17" t="str">
        <x:v>integer cents; pricing role only; versioned effective time; no approval task after listing</x:v>
      </x:c>
      <x:c r="L322" s="17" t="str">
        <x:v>追加/版本/快照，不覆盖已生效历史</x:v>
      </x:c>
      <x:c r="M322" s="4" t="str">
        <x:v>M2</x:v>
      </x:c>
      <x:c r="N322" s="4" t="str">
        <x:v>P0-019,P0-021,P0-071</x:v>
      </x:c>
      <x:c r="O322" s="4" t="str">
        <x:v>综合方案§13核心数据模型</x:v>
      </x:c>
      <x:c r="P322" s="4" t="str">
        <x:v>FROZEN_M2_000</x:v>
      </x:c>
    </x:row>
    <x:row r="323" ht="23" customHeight="1">
      <x:c r="A323" s="4" t="str">
        <x:v>PriceChangeLog</x:v>
      </x:c>
      <x:c r="B323" s="4" t="str">
        <x:v>newEnterpriseSalePrice</x:v>
      </x:c>
      <x:c r="C323" s="17" t="str">
        <x:v>newEnterpriseSalePrice</x:v>
      </x:c>
      <x:c r="D323" s="4" t="str">
        <x:v>12</x:v>
      </x:c>
      <x:c r="E323" s="4" t="str">
        <x:v>Int</x:v>
      </x:c>
      <x:c r="F323" s="4" t="str">
        <x:v>YES</x:v>
      </x:c>
      <x:c r="G323" s="4" t="str">
        <x:v>integer cents; &gt;=0</x:v>
      </x:c>
      <x:c r="H323" s="17" t="str">
        <x:v>INTERNAL</x:v>
      </x:c>
      <x:c r="I323" s="17" t="str">
        <x:v>按资源权限与数据域访问；公开DTO另行白名单</x:v>
      </x:c>
      <x:c r="J323" s="17" t="str">
        <x:v>数据库实体不得直接序列化为响应</x:v>
      </x:c>
      <x:c r="K323" s="17" t="str">
        <x:v>integer cents; pricing role only; versioned effective time; no approval task after listing</x:v>
      </x:c>
      <x:c r="L323" s="17" t="str">
        <x:v>追加/版本/快照，不覆盖已生效历史</x:v>
      </x:c>
      <x:c r="M323" s="4" t="str">
        <x:v>M2</x:v>
      </x:c>
      <x:c r="N323" s="4" t="str">
        <x:v>P0-019,P0-021,P0-071</x:v>
      </x:c>
      <x:c r="O323" s="4" t="str">
        <x:v>综合方案§13核心数据模型</x:v>
      </x:c>
      <x:c r="P323" s="4" t="str">
        <x:v>FROZEN_M2_000</x:v>
      </x:c>
    </x:row>
    <x:row r="324" ht="23" customHeight="1">
      <x:c r="A324" s="4" t="str">
        <x:v>PriceChangeLog</x:v>
      </x:c>
      <x:c r="B324" s="4" t="str">
        <x:v>effectiveAt</x:v>
      </x:c>
      <x:c r="C324" s="17" t="str">
        <x:v>effectiveAt</x:v>
      </x:c>
      <x:c r="D324" s="4" t="str">
        <x:v>13</x:v>
      </x:c>
      <x:c r="E324" s="4" t="str">
        <x:v>DateTime</x:v>
      </x:c>
      <x:c r="F324" s="4" t="str">
        <x:v>YES</x:v>
      </x:c>
      <x:c r="G324" s="4" t="str">
        <x:v>UTC ISO-8601</x:v>
      </x:c>
      <x:c r="H324" s="17" t="str">
        <x:v>INTERNAL</x:v>
      </x:c>
      <x:c r="I324" s="17" t="str">
        <x:v>按资源权限与数据域访问；公开DTO另行白名单</x:v>
      </x:c>
      <x:c r="J324" s="17" t="str">
        <x:v>数据库实体不得直接序列化为响应</x:v>
      </x:c>
      <x:c r="K324" s="17" t="str">
        <x:v>DTO whitelist; length/enum/ownership/state validation; client-derived ownership rejected</x:v>
      </x:c>
      <x:c r="L324" s="17" t="str">
        <x:v>追加/版本/快照，不覆盖已生效历史</x:v>
      </x:c>
      <x:c r="M324" s="4" t="str">
        <x:v>M2</x:v>
      </x:c>
      <x:c r="N324" s="4" t="str">
        <x:v>P0-019,P0-021,P0-071</x:v>
      </x:c>
      <x:c r="O324" s="4" t="str">
        <x:v>综合方案§13核心数据模型</x:v>
      </x:c>
      <x:c r="P324" s="4" t="str">
        <x:v>FROZEN_M2_000</x:v>
      </x:c>
    </x:row>
    <x:row r="325" ht="23" customHeight="1">
      <x:c r="A325" s="4" t="str">
        <x:v>PriceChangeLog</x:v>
      </x:c>
      <x:c r="B325" s="4" t="str">
        <x:v>changedBy</x:v>
      </x:c>
      <x:c r="C325" s="17" t="str">
        <x:v>changedBy</x:v>
      </x:c>
      <x:c r="D325" s="4" t="str">
        <x:v>14</x:v>
      </x:c>
      <x:c r="E325" s="4" t="str">
        <x:v>String(191)</x:v>
      </x:c>
      <x:c r="F325" s="4" t="str">
        <x:v>YES</x:v>
      </x:c>
      <x:c r="G325" s="4" t="str">
        <x:v>UTF-8; max 191 chars</x:v>
      </x:c>
      <x:c r="H325" s="17" t="str">
        <x:v>INTERNAL</x:v>
      </x:c>
      <x:c r="I325" s="17" t="str">
        <x:v>按资源权限与数据域访问；公开DTO另行白名单</x:v>
      </x:c>
      <x:c r="J325" s="17" t="str">
        <x:v>数据库实体不得直接序列化为响应</x:v>
      </x:c>
      <x:c r="K325" s="17" t="str">
        <x:v>DTO whitelist; length/enum/ownership/state validation; client-derived ownership rejected</x:v>
      </x:c>
      <x:c r="L325" s="17" t="str">
        <x:v>追加/版本/快照，不覆盖已生效历史</x:v>
      </x:c>
      <x:c r="M325" s="4" t="str">
        <x:v>M2</x:v>
      </x:c>
      <x:c r="N325" s="4" t="str">
        <x:v>P0-019,P0-021,P0-071</x:v>
      </x:c>
      <x:c r="O325" s="4" t="str">
        <x:v>综合方案§13核心数据模型</x:v>
      </x:c>
      <x:c r="P325" s="4" t="str">
        <x:v>FROZEN_M2_000</x:v>
      </x:c>
    </x:row>
    <x:row r="326" ht="23" customHeight="1">
      <x:c r="A326" s="4" t="str">
        <x:v>PriceChangeLog</x:v>
      </x:c>
      <x:c r="B326" s="4" t="str">
        <x:v>changeReason</x:v>
      </x:c>
      <x:c r="C326" s="17" t="str">
        <x:v>changeReason</x:v>
      </x:c>
      <x:c r="D326" s="4" t="str">
        <x:v>15</x:v>
      </x:c>
      <x:c r="E326" s="4" t="str">
        <x:v>String(1000)</x:v>
      </x:c>
      <x:c r="F326" s="4" t="str">
        <x:v>YES</x:v>
      </x:c>
      <x:c r="G326" s="4" t="str">
        <x:v>UTF-8; max 1000 chars</x:v>
      </x:c>
      <x:c r="H326" s="17" t="str">
        <x:v>INTERNAL</x:v>
      </x:c>
      <x:c r="I326" s="17" t="str">
        <x:v>按资源权限与数据域访问；公开DTO另行白名单</x:v>
      </x:c>
      <x:c r="J326" s="17" t="str">
        <x:v>数据库实体不得直接序列化为响应</x:v>
      </x:c>
      <x:c r="K326" s="17" t="str">
        <x:v>trimmed non-empty reason for review or change</x:v>
      </x:c>
      <x:c r="L326" s="17" t="str">
        <x:v>追加/版本/快照，不覆盖已生效历史</x:v>
      </x:c>
      <x:c r="M326" s="4" t="str">
        <x:v>M2</x:v>
      </x:c>
      <x:c r="N326" s="4" t="str">
        <x:v>P0-019,P0-021,P0-071</x:v>
      </x:c>
      <x:c r="O326" s="4" t="str">
        <x:v>综合方案§13核心数据模型</x:v>
      </x:c>
      <x:c r="P326" s="4" t="str">
        <x:v>FROZEN_M2_000</x:v>
      </x:c>
    </x:row>
    <x:row r="327" ht="23" customHeight="1">
      <x:c r="A327" s="4" t="str">
        <x:v>PriceChangeLog</x:v>
      </x:c>
      <x:c r="B327" s="4" t="str">
        <x:v>reviewStatus</x:v>
      </x:c>
      <x:c r="C327" s="17" t="str">
        <x:v>reviewStatus</x:v>
      </x:c>
      <x:c r="D327" s="4" t="str">
        <x:v>16</x:v>
      </x:c>
      <x:c r="E327" s="4" t="str">
        <x:v>Enum&lt;PriceReviewStatus&gt;</x:v>
      </x:c>
      <x:c r="F327" s="4" t="str">
        <x:v>YES</x:v>
      </x:c>
      <x:c r="G327" s="4" t="str">
        <x:v>NOT_REQUIRED|PENDING|APPROVED|REJECTED</x:v>
      </x:c>
      <x:c r="H327" s="17" t="str">
        <x:v>INTERNAL</x:v>
      </x:c>
      <x:c r="I327" s="17" t="str">
        <x:v>按资源权限与数据域访问；公开DTO另行白名单</x:v>
      </x:c>
      <x:c r="J327" s="17" t="str">
        <x:v>数据库实体不得直接序列化为响应</x:v>
      </x:c>
      <x:c r="K327" s="17" t="str">
        <x:v>enum value and legal transition enforced by domain state machine</x:v>
      </x:c>
      <x:c r="L327" s="17" t="str">
        <x:v>追加/版本/快照，不覆盖已生效历史</x:v>
      </x:c>
      <x:c r="M327" s="4" t="str">
        <x:v>M2</x:v>
      </x:c>
      <x:c r="N327" s="4" t="str">
        <x:v>P0-019,P0-021,P0-071</x:v>
      </x:c>
      <x:c r="O327" s="4" t="str">
        <x:v>综合方案§13核心数据模型</x:v>
      </x:c>
      <x:c r="P327" s="4" t="str">
        <x:v>FROZEN_M2_000</x:v>
      </x:c>
    </x:row>
    <x:row r="328" ht="23" customHeight="1">
      <x:c r="A328" s="4" t="str">
        <x:v>PriceChangeLog</x:v>
      </x:c>
      <x:c r="B328" s="4" t="str">
        <x:v>riskWarning</x:v>
      </x:c>
      <x:c r="C328" s="17" t="str">
        <x:v>riskWarning</x:v>
      </x:c>
      <x:c r="D328" s="4" t="str">
        <x:v>17</x:v>
      </x:c>
      <x:c r="E328" s="4" t="str">
        <x:v>String(1000)</x:v>
      </x:c>
      <x:c r="F328" s="4" t="str">
        <x:v>YES</x:v>
      </x:c>
      <x:c r="G328" s="4" t="str">
        <x:v>UTF-8; max 1000 chars</x:v>
      </x:c>
      <x:c r="H328" s="17" t="str">
        <x:v>INTERNAL</x:v>
      </x:c>
      <x:c r="I328" s="17" t="str">
        <x:v>按资源权限与数据域访问；公开DTO另行白名单</x:v>
      </x:c>
      <x:c r="J328" s="17" t="str">
        <x:v>数据库实体不得直接序列化为响应</x:v>
      </x:c>
      <x:c r="K328" s="17" t="str">
        <x:v>DTO whitelist; length/enum/ownership/state validation; client-derived ownership rejected</x:v>
      </x:c>
      <x:c r="L328" s="17" t="str">
        <x:v>追加/版本/快照，不覆盖已生效历史</x:v>
      </x:c>
      <x:c r="M328" s="4" t="str">
        <x:v>M2</x:v>
      </x:c>
      <x:c r="N328" s="4" t="str">
        <x:v>P0-019,P0-021,P0-071</x:v>
      </x:c>
      <x:c r="O328" s="4" t="str">
        <x:v>综合方案§13核心数据模型</x:v>
      </x:c>
      <x:c r="P328" s="4" t="str">
        <x:v>FROZEN_M2_000</x:v>
      </x:c>
    </x:row>
    <x:row r="329" ht="23" customHeight="1">
      <x:c r="A329" s="4" t="str">
        <x:v>PriceChangeLog</x:v>
      </x:c>
      <x:c r="B329" s="4" t="str">
        <x:v>createdAt</x:v>
      </x:c>
      <x:c r="C329" s="17" t="str">
        <x:v>createdAt</x:v>
      </x:c>
      <x:c r="D329" s="4" t="str">
        <x:v>18</x:v>
      </x:c>
      <x:c r="E329" s="4" t="str">
        <x:v>DateTime</x:v>
      </x:c>
      <x:c r="F329" s="4" t="str">
        <x:v>YES</x:v>
      </x:c>
      <x:c r="G329" s="4" t="str">
        <x:v>UTC ISO-8601</x:v>
      </x:c>
      <x:c r="H329" s="17" t="str">
        <x:v>INTERNAL</x:v>
      </x:c>
      <x:c r="I329" s="17" t="str">
        <x:v>按资源权限与数据域访问；公开DTO另行白名单</x:v>
      </x:c>
      <x:c r="J329" s="17" t="str">
        <x:v>数据库实体不得直接序列化为响应</x:v>
      </x:c>
      <x:c r="K329" s="17" t="str">
        <x:v>DTO whitelist; length/enum/ownership/state validation; client-derived ownership rejected</x:v>
      </x:c>
      <x:c r="L329" s="17" t="str">
        <x:v>追加/版本/快照，不覆盖已生效历史</x:v>
      </x:c>
      <x:c r="M329" s="4" t="str">
        <x:v>M2</x:v>
      </x:c>
      <x:c r="N329" s="4" t="str">
        <x:v>P0-019,P0-021,P0-071</x:v>
      </x:c>
      <x:c r="O329" s="4" t="str">
        <x:v>综合方案§13核心数据模型</x:v>
      </x:c>
      <x:c r="P329" s="4" t="str">
        <x:v>FROZEN_M2_000</x:v>
      </x:c>
    </x:row>
    <x:row r="330" ht="23" customHeight="1">
      <x:c r="A330" s="4" t="str">
        <x:v>WelfareCardProgram</x:v>
      </x:c>
      <x:c r="B330" s="4" t="str">
        <x:v>id</x:v>
      </x:c>
      <x:c r="C330" s="17" t="str">
        <x:v>id</x:v>
      </x:c>
      <x:c r="D330" s="4" t="str">
        <x:v>1</x:v>
      </x:c>
      <x:c r="E330" s="4" t="str">
        <x:v>String/UUID</x:v>
      </x:c>
      <x:c r="F330" s="4" t="str">
        <x:v>YES</x:v>
      </x:c>
      <x:c r="G330" s="4" t="str">
        <x:v>待M阶段冻结</x:v>
      </x:c>
      <x:c r="H330" s="17" t="str">
        <x:v>INTERNAL</x:v>
      </x:c>
      <x:c r="I330" s="17" t="str">
        <x:v>按资源权限与数据域访问；公开DTO另行白名单</x:v>
      </x:c>
      <x:c r="J330" s="17" t="str">
        <x:v>数据库实体不得直接序列化为响应</x:v>
      </x:c>
      <x:c r="K330" s="17" t="str">
        <x:v>DTO白名单；长度/枚举/归属/状态校验；禁止信任客户端派生值</x:v>
      </x:c>
      <x:c r="L330" s="17" t="str">
        <x:v>按实体version或审计日志保留变更证据</x:v>
      </x:c>
      <x:c r="M330" s="4" t="str">
        <x:v>M3</x:v>
      </x:c>
      <x:c r="N330" s="4" t="str">
        <x:v>P0-051,P0-054</x:v>
      </x:c>
      <x:c r="O330" s="4" t="str">
        <x:v>综合方案§13核心数据模型</x:v>
      </x:c>
      <x:c r="P330" s="4" t="str">
        <x:v>DRAFT_FROM_SCHEME</x:v>
      </x:c>
    </x:row>
    <x:row r="331" ht="23" customHeight="1">
      <x:c r="A331" s="4" t="str">
        <x:v>WelfareCardProgram</x:v>
      </x:c>
      <x:c r="B331" s="4" t="str">
        <x:v>companyId</x:v>
      </x:c>
      <x:c r="C331" s="17" t="str">
        <x:v>companyId</x:v>
      </x:c>
      <x:c r="D331" s="4" t="str">
        <x:v>2</x:v>
      </x:c>
      <x:c r="E331" s="4" t="str">
        <x:v>String/UUID</x:v>
      </x:c>
      <x:c r="F331" s="4" t="str">
        <x:v>YES</x:v>
      </x:c>
      <x:c r="G331" s="4" t="str">
        <x:v>待M阶段冻结</x:v>
      </x:c>
      <x:c r="H331" s="17" t="str">
        <x:v>INTERNAL</x:v>
      </x:c>
      <x:c r="I331" s="17" t="str">
        <x:v>按资源权限与数据域访问；公开DTO另行白名单</x:v>
      </x:c>
      <x:c r="J331" s="17" t="str">
        <x:v>数据库实体不得直接序列化为响应</x:v>
      </x:c>
      <x:c r="K331" s="17" t="str">
        <x:v>DTO白名单；长度/枚举/归属/状态校验；禁止信任客户端派生值</x:v>
      </x:c>
      <x:c r="L331" s="17" t="str">
        <x:v>按实体version或审计日志保留变更证据</x:v>
      </x:c>
      <x:c r="M331" s="4" t="str">
        <x:v>M3</x:v>
      </x:c>
      <x:c r="N331" s="4" t="str">
        <x:v>P0-051,P0-054</x:v>
      </x:c>
      <x:c r="O331" s="4" t="str">
        <x:v>综合方案§13核心数据模型</x:v>
      </x:c>
      <x:c r="P331" s="4" t="str">
        <x:v>DRAFT_FROM_SCHEME</x:v>
      </x:c>
    </x:row>
    <x:row r="332" ht="23" customHeight="1">
      <x:c r="A332" s="4" t="str">
        <x:v>WelfareCardProgram</x:v>
      </x:c>
      <x:c r="B332" s="4" t="str">
        <x:v>name</x:v>
      </x:c>
      <x:c r="C332" s="17" t="str">
        <x:v>name</x:v>
      </x:c>
      <x:c r="D332" s="4" t="str">
        <x:v>3</x:v>
      </x:c>
      <x:c r="E332" s="4" t="str">
        <x:v>String</x:v>
      </x:c>
      <x:c r="F332" s="4" t="str">
        <x:v>YES</x:v>
      </x:c>
      <x:c r="G332" s="4" t="str">
        <x:v>待M阶段冻结</x:v>
      </x:c>
      <x:c r="H332" s="17" t="str">
        <x:v>INTERNAL</x:v>
      </x:c>
      <x:c r="I332" s="17" t="str">
        <x:v>按资源权限与数据域访问；公开DTO另行白名单</x:v>
      </x:c>
      <x:c r="J332" s="17" t="str">
        <x:v>数据库实体不得直接序列化为响应</x:v>
      </x:c>
      <x:c r="K332" s="17" t="str">
        <x:v>DTO白名单；长度/枚举/归属/状态校验；禁止信任客户端派生值</x:v>
      </x:c>
      <x:c r="L332" s="17" t="str">
        <x:v>按实体version或审计日志保留变更证据</x:v>
      </x:c>
      <x:c r="M332" s="4" t="str">
        <x:v>M3</x:v>
      </x:c>
      <x:c r="N332" s="4" t="str">
        <x:v>P0-051,P0-054</x:v>
      </x:c>
      <x:c r="O332" s="4" t="str">
        <x:v>综合方案§13核心数据模型</x:v>
      </x:c>
      <x:c r="P332" s="4" t="str">
        <x:v>DRAFT_FROM_SCHEME</x:v>
      </x:c>
    </x:row>
    <x:row r="333" ht="23" customHeight="1">
      <x:c r="A333" s="4" t="str">
        <x:v>WelfareCardProgram</x:v>
      </x:c>
      <x:c r="B333" s="4" t="str">
        <x:v>fundingType</x:v>
      </x:c>
      <x:c r="C333" s="17" t="str">
        <x:v>fundingType</x:v>
      </x:c>
      <x:c r="D333" s="4" t="str">
        <x:v>4</x:v>
      </x:c>
      <x:c r="E333" s="4" t="str">
        <x:v>Enum/String</x:v>
      </x:c>
      <x:c r="F333" s="4" t="str">
        <x:v>YES</x:v>
      </x:c>
      <x:c r="G333" s="4" t="str">
        <x:v>待M阶段冻结</x:v>
      </x:c>
      <x:c r="H333" s="17" t="str">
        <x:v>INTERNAL</x:v>
      </x:c>
      <x:c r="I333" s="17" t="str">
        <x:v>按资源权限与数据域访问；公开DTO另行白名单</x:v>
      </x:c>
      <x:c r="J333" s="17" t="str">
        <x:v>数据库实体不得直接序列化为响应</x:v>
      </x:c>
      <x:c r="K333" s="17" t="str">
        <x:v>DTO白名单；长度/枚举/归属/状态校验；禁止信任客户端派生值</x:v>
      </x:c>
      <x:c r="L333" s="17" t="str">
        <x:v>按实体version或审计日志保留变更证据</x:v>
      </x:c>
      <x:c r="M333" s="4" t="str">
        <x:v>M3</x:v>
      </x:c>
      <x:c r="N333" s="4" t="str">
        <x:v>P0-051,P0-054</x:v>
      </x:c>
      <x:c r="O333" s="4" t="str">
        <x:v>综合方案§13核心数据模型</x:v>
      </x:c>
      <x:c r="P333" s="4" t="str">
        <x:v>DRAFT_FROM_SCHEME</x:v>
      </x:c>
    </x:row>
    <x:row r="334" ht="23" customHeight="1">
      <x:c r="A334" s="4" t="str">
        <x:v>WelfareCardProgram</x:v>
      </x:c>
      <x:c r="B334" s="4" t="str">
        <x:v>issuerType</x:v>
      </x:c>
      <x:c r="C334" s="17" t="str">
        <x:v>issuerType</x:v>
      </x:c>
      <x:c r="D334" s="4" t="str">
        <x:v>5</x:v>
      </x:c>
      <x:c r="E334" s="4" t="str">
        <x:v>Boolean</x:v>
      </x:c>
      <x:c r="F334" s="4" t="str">
        <x:v>YES</x:v>
      </x:c>
      <x:c r="G334" s="4" t="str">
        <x:v>待M阶段冻结</x:v>
      </x:c>
      <x:c r="H334" s="17" t="str">
        <x:v>INTERNAL</x:v>
      </x:c>
      <x:c r="I334" s="17" t="str">
        <x:v>按资源权限与数据域访问；公开DTO另行白名单</x:v>
      </x:c>
      <x:c r="J334" s="17" t="str">
        <x:v>数据库实体不得直接序列化为响应</x:v>
      </x:c>
      <x:c r="K334" s="17" t="str">
        <x:v>DTO白名单；长度/枚举/归属/状态校验；禁止信任客户端派生值</x:v>
      </x:c>
      <x:c r="L334" s="17" t="str">
        <x:v>按实体version或审计日志保留变更证据</x:v>
      </x:c>
      <x:c r="M334" s="4" t="str">
        <x:v>M3</x:v>
      </x:c>
      <x:c r="N334" s="4" t="str">
        <x:v>P0-051,P0-054</x:v>
      </x:c>
      <x:c r="O334" s="4" t="str">
        <x:v>综合方案§13核心数据模型</x:v>
      </x:c>
      <x:c r="P334" s="4" t="str">
        <x:v>DRAFT_FROM_SCHEME</x:v>
      </x:c>
    </x:row>
    <x:row r="335" ht="23" customHeight="1">
      <x:c r="A335" s="4" t="str">
        <x:v>WelfareCardProgram</x:v>
      </x:c>
      <x:c r="B335" s="4" t="str">
        <x:v>scopeType</x:v>
      </x:c>
      <x:c r="C335" s="17" t="str">
        <x:v>scopeType</x:v>
      </x:c>
      <x:c r="D335" s="4" t="str">
        <x:v>6</x:v>
      </x:c>
      <x:c r="E335" s="4" t="str">
        <x:v>Enum/String</x:v>
      </x:c>
      <x:c r="F335" s="4" t="str">
        <x:v>YES</x:v>
      </x:c>
      <x:c r="G335" s="4" t="str">
        <x:v>待M阶段冻结</x:v>
      </x:c>
      <x:c r="H335" s="17" t="str">
        <x:v>INTERNAL</x:v>
      </x:c>
      <x:c r="I335" s="17" t="str">
        <x:v>按资源权限与数据域访问；公开DTO另行白名单</x:v>
      </x:c>
      <x:c r="J335" s="17" t="str">
        <x:v>数据库实体不得直接序列化为响应</x:v>
      </x:c>
      <x:c r="K335" s="17" t="str">
        <x:v>DTO白名单；长度/枚举/归属/状态校验；禁止信任客户端派生值</x:v>
      </x:c>
      <x:c r="L335" s="17" t="str">
        <x:v>按实体version或审计日志保留变更证据</x:v>
      </x:c>
      <x:c r="M335" s="4" t="str">
        <x:v>M3</x:v>
      </x:c>
      <x:c r="N335" s="4" t="str">
        <x:v>P0-051,P0-054</x:v>
      </x:c>
      <x:c r="O335" s="4" t="str">
        <x:v>综合方案§13核心数据模型</x:v>
      </x:c>
      <x:c r="P335" s="4" t="str">
        <x:v>DRAFT_FROM_SCHEME</x:v>
      </x:c>
    </x:row>
    <x:row r="336" ht="23" customHeight="1">
      <x:c r="A336" s="4" t="str">
        <x:v>WelfareCardProgram</x:v>
      </x:c>
      <x:c r="B336" s="4" t="str">
        <x:v>scopeRules</x:v>
      </x:c>
      <x:c r="C336" s="17" t="str">
        <x:v>scopeRules</x:v>
      </x:c>
      <x:c r="D336" s="4" t="str">
        <x:v>7</x:v>
      </x:c>
      <x:c r="E336" s="4" t="str">
        <x:v>Json</x:v>
      </x:c>
      <x:c r="F336" s="4" t="str">
        <x:v>YES</x:v>
      </x:c>
      <x:c r="G336" s="4" t="str">
        <x:v>待M阶段冻结</x:v>
      </x:c>
      <x:c r="H336" s="17" t="str">
        <x:v>INTERNAL</x:v>
      </x:c>
      <x:c r="I336" s="17" t="str">
        <x:v>按资源权限与数据域访问；公开DTO另行白名单</x:v>
      </x:c>
      <x:c r="J336" s="17" t="str">
        <x:v>数据库实体不得直接序列化为响应</x:v>
      </x:c>
      <x:c r="K336" s="17" t="str">
        <x:v>DTO白名单；长度/枚举/归属/状态校验；禁止信任客户端派生值</x:v>
      </x:c>
      <x:c r="L336" s="17" t="str">
        <x:v>按实体version或审计日志保留变更证据</x:v>
      </x:c>
      <x:c r="M336" s="4" t="str">
        <x:v>M3</x:v>
      </x:c>
      <x:c r="N336" s="4" t="str">
        <x:v>P0-051,P0-054</x:v>
      </x:c>
      <x:c r="O336" s="4" t="str">
        <x:v>综合方案§13核心数据模型</x:v>
      </x:c>
      <x:c r="P336" s="4" t="str">
        <x:v>DRAFT_FROM_SCHEME</x:v>
      </x:c>
    </x:row>
    <x:row r="337" ht="23" customHeight="1">
      <x:c r="A337" s="4" t="str">
        <x:v>WelfareCardProgram</x:v>
      </x:c>
      <x:c r="B337" s="4" t="str">
        <x:v>canPayDeliveryFee</x:v>
      </x:c>
      <x:c r="C337" s="17" t="str">
        <x:v>canPayDeliveryFee</x:v>
      </x:c>
      <x:c r="D337" s="4" t="str">
        <x:v>8</x:v>
      </x:c>
      <x:c r="E337" s="4" t="str">
        <x:v>Int(分)</x:v>
      </x:c>
      <x:c r="F337" s="4" t="str">
        <x:v>YES</x:v>
      </x:c>
      <x:c r="G337" s="4" t="str">
        <x:v>整数分</x:v>
      </x:c>
      <x:c r="H337" s="17" t="str">
        <x:v>INTERNAL</x:v>
      </x:c>
      <x:c r="I337" s="17" t="str">
        <x:v>按资源权限与数据域访问；公开DTO另行白名单</x:v>
      </x:c>
      <x:c r="J337" s="17" t="str">
        <x:v>数据库实体不得直接序列化为响应</x:v>
      </x:c>
      <x:c r="K337" s="17" t="str">
        <x:v>DTO白名单；长度/枚举/归属/状态校验；禁止信任客户端派生值</x:v>
      </x:c>
      <x:c r="L337" s="17" t="str">
        <x:v>按实体version或审计日志保留变更证据</x:v>
      </x:c>
      <x:c r="M337" s="4" t="str">
        <x:v>M3</x:v>
      </x:c>
      <x:c r="N337" s="4" t="str">
        <x:v>P0-051,P0-054</x:v>
      </x:c>
      <x:c r="O337" s="4" t="str">
        <x:v>综合方案§13核心数据模型</x:v>
      </x:c>
      <x:c r="P337" s="4" t="str">
        <x:v>DRAFT_FROM_SCHEME</x:v>
      </x:c>
    </x:row>
    <x:row r="338" ht="23" customHeight="1">
      <x:c r="A338" s="4" t="str">
        <x:v>WelfareCardProgram</x:v>
      </x:c>
      <x:c r="B338" s="4" t="str">
        <x:v>refundPolicy</x:v>
      </x:c>
      <x:c r="C338" s="17" t="str">
        <x:v>refundPolicy</x:v>
      </x:c>
      <x:c r="D338" s="4" t="str">
        <x:v>9</x:v>
      </x:c>
      <x:c r="E338" s="4" t="str">
        <x:v>String</x:v>
      </x:c>
      <x:c r="F338" s="4" t="str">
        <x:v>YES</x:v>
      </x:c>
      <x:c r="G338" s="4" t="str">
        <x:v>待M阶段冻结</x:v>
      </x:c>
      <x:c r="H338" s="17" t="str">
        <x:v>FINANCIAL</x:v>
      </x:c>
      <x:c r="I338" s="17" t="str">
        <x:v>公司财务与必要业务职能；供应商仅本供应商结算视图</x:v>
      </x:c>
      <x:c r="J338" s="17" t="str">
        <x:v>消费者响应仅返回自身交易白名单字段</x:v>
      </x:c>
      <x:c r="K338" s="17" t="str">
        <x:v>DTO白名单；长度/枚举/归属/状态校验；禁止信任客户端派生值</x:v>
      </x:c>
      <x:c r="L338" s="17" t="str">
        <x:v>按实体version或审计日志保留变更证据</x:v>
      </x:c>
      <x:c r="M338" s="4" t="str">
        <x:v>M3</x:v>
      </x:c>
      <x:c r="N338" s="4" t="str">
        <x:v>P0-051,P0-054</x:v>
      </x:c>
      <x:c r="O338" s="4" t="str">
        <x:v>综合方案§13核心数据模型</x:v>
      </x:c>
      <x:c r="P338" s="4" t="str">
        <x:v>DRAFT_FROM_SCHEME</x:v>
      </x:c>
    </x:row>
    <x:row r="339" ht="23" customHeight="1">
      <x:c r="A339" s="4" t="str">
        <x:v>WelfareCardProgram</x:v>
      </x:c>
      <x:c r="B339" s="4" t="str">
        <x:v>complianceStatus</x:v>
      </x:c>
      <x:c r="C339" s="17" t="str">
        <x:v>complianceStatus</x:v>
      </x:c>
      <x:c r="D339" s="4" t="str">
        <x:v>10</x:v>
      </x:c>
      <x:c r="E339" s="4" t="str">
        <x:v>Enum/String</x:v>
      </x:c>
      <x:c r="F339" s="4" t="str">
        <x:v>YES</x:v>
      </x:c>
      <x:c r="G339" s="4" t="str">
        <x:v>待M阶段冻结</x:v>
      </x:c>
      <x:c r="H339" s="17" t="str">
        <x:v>INTERNAL</x:v>
      </x:c>
      <x:c r="I339" s="17" t="str">
        <x:v>按资源权限与数据域访问；公开DTO另行白名单</x:v>
      </x:c>
      <x:c r="J339" s="17" t="str">
        <x:v>数据库实体不得直接序列化为响应</x:v>
      </x:c>
      <x:c r="K339" s="17" t="str">
        <x:v>DTO白名单；长度/枚举/归属/状态校验；禁止信任客户端派生值</x:v>
      </x:c>
      <x:c r="L339" s="17" t="str">
        <x:v>按实体version或审计日志保留变更证据</x:v>
      </x:c>
      <x:c r="M339" s="4" t="str">
        <x:v>M3</x:v>
      </x:c>
      <x:c r="N339" s="4" t="str">
        <x:v>P0-051,P0-054</x:v>
      </x:c>
      <x:c r="O339" s="4" t="str">
        <x:v>综合方案§13核心数据模型</x:v>
      </x:c>
      <x:c r="P339" s="4" t="str">
        <x:v>DRAFT_FROM_SCHEME</x:v>
      </x:c>
    </x:row>
    <x:row r="340" ht="23" customHeight="1">
      <x:c r="A340" s="4" t="str">
        <x:v>WelfareCardProgram</x:v>
      </x:c>
      <x:c r="B340" s="4" t="str">
        <x:v>status</x:v>
      </x:c>
      <x:c r="C340" s="17" t="str">
        <x:v>status</x:v>
      </x:c>
      <x:c r="D340" s="4" t="str">
        <x:v>11</x:v>
      </x:c>
      <x:c r="E340" s="4" t="str">
        <x:v>Enum/String</x:v>
      </x:c>
      <x:c r="F340" s="4" t="str">
        <x:v>YES</x:v>
      </x:c>
      <x:c r="G340" s="4" t="str">
        <x:v>待M阶段冻结</x:v>
      </x:c>
      <x:c r="H340" s="17" t="str">
        <x:v>INTERNAL</x:v>
      </x:c>
      <x:c r="I340" s="17" t="str">
        <x:v>按资源权限与数据域访问；公开DTO另行白名单</x:v>
      </x:c>
      <x:c r="J340" s="17" t="str">
        <x:v>数据库实体不得直接序列化为响应</x:v>
      </x:c>
      <x:c r="K340" s="17" t="str">
        <x:v>DTO白名单；长度/枚举/归属/状态校验；禁止信任客户端派生值</x:v>
      </x:c>
      <x:c r="L340" s="17" t="str">
        <x:v>按实体version或审计日志保留变更证据</x:v>
      </x:c>
      <x:c r="M340" s="4" t="str">
        <x:v>M3</x:v>
      </x:c>
      <x:c r="N340" s="4" t="str">
        <x:v>P0-051,P0-054</x:v>
      </x:c>
      <x:c r="O340" s="4" t="str">
        <x:v>综合方案§13核心数据模型</x:v>
      </x:c>
      <x:c r="P340" s="4" t="str">
        <x:v>DRAFT_FROM_SCHEME</x:v>
      </x:c>
    </x:row>
    <x:row r="341" ht="23" customHeight="1">
      <x:c r="A341" s="4" t="str">
        <x:v>WelfareCardProgram</x:v>
      </x:c>
      <x:c r="B341" s="4" t="str">
        <x:v>version</x:v>
      </x:c>
      <x:c r="C341" s="17" t="str">
        <x:v>version</x:v>
      </x:c>
      <x:c r="D341" s="4" t="str">
        <x:v>12</x:v>
      </x:c>
      <x:c r="E341" s="4" t="str">
        <x:v>Int</x:v>
      </x:c>
      <x:c r="F341" s="4" t="str">
        <x:v>YES</x:v>
      </x:c>
      <x:c r="G341" s="4" t="str">
        <x:v>待M阶段冻结</x:v>
      </x:c>
      <x:c r="H341" s="17" t="str">
        <x:v>INTERNAL</x:v>
      </x:c>
      <x:c r="I341" s="17" t="str">
        <x:v>按资源权限与数据域访问；公开DTO另行白名单</x:v>
      </x:c>
      <x:c r="J341" s="17" t="str">
        <x:v>数据库实体不得直接序列化为响应</x:v>
      </x:c>
      <x:c r="K341" s="17" t="str">
        <x:v>DTO白名单；长度/枚举/归属/状态校验；禁止信任客户端派生值</x:v>
      </x:c>
      <x:c r="L341" s="17" t="str">
        <x:v>按实体version或审计日志保留变更证据</x:v>
      </x:c>
      <x:c r="M341" s="4" t="str">
        <x:v>M3</x:v>
      </x:c>
      <x:c r="N341" s="4" t="str">
        <x:v>P0-051,P0-054</x:v>
      </x:c>
      <x:c r="O341" s="4" t="str">
        <x:v>综合方案§13核心数据模型</x:v>
      </x:c>
      <x:c r="P341" s="4" t="str">
        <x:v>DRAFT_FROM_SCHEME</x:v>
      </x:c>
    </x:row>
    <x:row r="342" ht="23" customHeight="1">
      <x:c r="A342" s="4" t="str">
        <x:v>WelfareCardBatch</x:v>
      </x:c>
      <x:c r="B342" s="4" t="str">
        <x:v>id</x:v>
      </x:c>
      <x:c r="C342" s="17" t="str">
        <x:v>id</x:v>
      </x:c>
      <x:c r="D342" s="4" t="str">
        <x:v>1</x:v>
      </x:c>
      <x:c r="E342" s="4" t="str">
        <x:v>String/UUID</x:v>
      </x:c>
      <x:c r="F342" s="4" t="str">
        <x:v>YES</x:v>
      </x:c>
      <x:c r="G342" s="4" t="str">
        <x:v>待M阶段冻结</x:v>
      </x:c>
      <x:c r="H342" s="17" t="str">
        <x:v>INTERNAL</x:v>
      </x:c>
      <x:c r="I342" s="17" t="str">
        <x:v>按资源权限与数据域访问；公开DTO另行白名单</x:v>
      </x:c>
      <x:c r="J342" s="17" t="str">
        <x:v>数据库实体不得直接序列化为响应</x:v>
      </x:c>
      <x:c r="K342" s="17" t="str">
        <x:v>DTO白名单；长度/枚举/归属/状态校验；禁止信任客户端派生值</x:v>
      </x:c>
      <x:c r="L342" s="17" t="str">
        <x:v>按实体version或审计日志保留变更证据</x:v>
      </x:c>
      <x:c r="M342" s="4" t="str">
        <x:v>M3</x:v>
      </x:c>
      <x:c r="N342" s="4" t="str">
        <x:v>待切片细化</x:v>
      </x:c>
      <x:c r="O342" s="4" t="str">
        <x:v>综合方案§13核心数据模型</x:v>
      </x:c>
      <x:c r="P342" s="4" t="str">
        <x:v>DRAFT_FROM_SCHEME</x:v>
      </x:c>
    </x:row>
    <x:row r="343" ht="23" customHeight="1">
      <x:c r="A343" s="4" t="str">
        <x:v>WelfareCardBatch</x:v>
      </x:c>
      <x:c r="B343" s="4" t="str">
        <x:v>programId</x:v>
      </x:c>
      <x:c r="C343" s="17" t="str">
        <x:v>programId</x:v>
      </x:c>
      <x:c r="D343" s="4" t="str">
        <x:v>2</x:v>
      </x:c>
      <x:c r="E343" s="4" t="str">
        <x:v>String/UUID</x:v>
      </x:c>
      <x:c r="F343" s="4" t="str">
        <x:v>YES</x:v>
      </x:c>
      <x:c r="G343" s="4" t="str">
        <x:v>待M阶段冻结</x:v>
      </x:c>
      <x:c r="H343" s="17" t="str">
        <x:v>INTERNAL</x:v>
      </x:c>
      <x:c r="I343" s="17" t="str">
        <x:v>按资源权限与数据域访问；公开DTO另行白名单</x:v>
      </x:c>
      <x:c r="J343" s="17" t="str">
        <x:v>数据库实体不得直接序列化为响应</x:v>
      </x:c>
      <x:c r="K343" s="17" t="str">
        <x:v>DTO白名单；长度/枚举/归属/状态校验；禁止信任客户端派生值</x:v>
      </x:c>
      <x:c r="L343" s="17" t="str">
        <x:v>按实体version或审计日志保留变更证据</x:v>
      </x:c>
      <x:c r="M343" s="4" t="str">
        <x:v>M3</x:v>
      </x:c>
      <x:c r="N343" s="4" t="str">
        <x:v>待切片细化</x:v>
      </x:c>
      <x:c r="O343" s="4" t="str">
        <x:v>综合方案§13核心数据模型</x:v>
      </x:c>
      <x:c r="P343" s="4" t="str">
        <x:v>DRAFT_FROM_SCHEME</x:v>
      </x:c>
    </x:row>
    <x:row r="344" ht="23" customHeight="1">
      <x:c r="A344" s="4" t="str">
        <x:v>WelfareCardBatch</x:v>
      </x:c>
      <x:c r="B344" s="4" t="str">
        <x:v>enterpriseCustomerId</x:v>
      </x:c>
      <x:c r="C344" s="17" t="str">
        <x:v>enterpriseCustomerId</x:v>
      </x:c>
      <x:c r="D344" s="4" t="str">
        <x:v>3</x:v>
      </x:c>
      <x:c r="E344" s="4" t="str">
        <x:v>String/UUID</x:v>
      </x:c>
      <x:c r="F344" s="4" t="str">
        <x:v>YES</x:v>
      </x:c>
      <x:c r="G344" s="4" t="str">
        <x:v>待M阶段冻结</x:v>
      </x:c>
      <x:c r="H344" s="17" t="str">
        <x:v>INTERNAL</x:v>
      </x:c>
      <x:c r="I344" s="17" t="str">
        <x:v>按资源权限与数据域访问；公开DTO另行白名单</x:v>
      </x:c>
      <x:c r="J344" s="17" t="str">
        <x:v>数据库实体不得直接序列化为响应</x:v>
      </x:c>
      <x:c r="K344" s="17" t="str">
        <x:v>DTO白名单；长度/枚举/归属/状态校验；禁止信任客户端派生值</x:v>
      </x:c>
      <x:c r="L344" s="17" t="str">
        <x:v>按实体version或审计日志保留变更证据</x:v>
      </x:c>
      <x:c r="M344" s="4" t="str">
        <x:v>M3</x:v>
      </x:c>
      <x:c r="N344" s="4" t="str">
        <x:v>待切片细化</x:v>
      </x:c>
      <x:c r="O344" s="4" t="str">
        <x:v>综合方案§13核心数据模型</x:v>
      </x:c>
      <x:c r="P344" s="4" t="str">
        <x:v>DRAFT_FROM_SCHEME</x:v>
      </x:c>
    </x:row>
    <x:row r="345" ht="23" customHeight="1">
      <x:c r="A345" s="4" t="str">
        <x:v>WelfareCardBatch</x:v>
      </x:c>
      <x:c r="B345" s="4" t="str">
        <x:v>batchNo</x:v>
      </x:c>
      <x:c r="C345" s="17" t="str">
        <x:v>batchNo</x:v>
      </x:c>
      <x:c r="D345" s="4" t="str">
        <x:v>4</x:v>
      </x:c>
      <x:c r="E345" s="4" t="str">
        <x:v>String</x:v>
      </x:c>
      <x:c r="F345" s="4" t="str">
        <x:v>YES</x:v>
      </x:c>
      <x:c r="G345" s="4" t="str">
        <x:v>待M阶段冻结</x:v>
      </x:c>
      <x:c r="H345" s="17" t="str">
        <x:v>INTERNAL</x:v>
      </x:c>
      <x:c r="I345" s="17" t="str">
        <x:v>按资源权限与数据域访问；公开DTO另行白名单</x:v>
      </x:c>
      <x:c r="J345" s="17" t="str">
        <x:v>数据库实体不得直接序列化为响应</x:v>
      </x:c>
      <x:c r="K345" s="17" t="str">
        <x:v>DTO白名单；长度/枚举/归属/状态校验；禁止信任客户端派生值</x:v>
      </x:c>
      <x:c r="L345" s="17" t="str">
        <x:v>按实体version或审计日志保留变更证据</x:v>
      </x:c>
      <x:c r="M345" s="4" t="str">
        <x:v>M3</x:v>
      </x:c>
      <x:c r="N345" s="4" t="str">
        <x:v>待切片细化</x:v>
      </x:c>
      <x:c r="O345" s="4" t="str">
        <x:v>综合方案§13核心数据模型</x:v>
      </x:c>
      <x:c r="P345" s="4" t="str">
        <x:v>DRAFT_FROM_SCHEME</x:v>
      </x:c>
    </x:row>
    <x:row r="346" ht="23" customHeight="1">
      <x:c r="A346" s="4" t="str">
        <x:v>WelfareCardBatch</x:v>
      </x:c>
      <x:c r="B346" s="4" t="str">
        <x:v>totalAmount</x:v>
      </x:c>
      <x:c r="C346" s="17" t="str">
        <x:v>totalAmount</x:v>
      </x:c>
      <x:c r="D346" s="4" t="str">
        <x:v>5</x:v>
      </x:c>
      <x:c r="E346" s="4" t="str">
        <x:v>Int(分)</x:v>
      </x:c>
      <x:c r="F346" s="4" t="str">
        <x:v>YES</x:v>
      </x:c>
      <x:c r="G346" s="4" t="str">
        <x:v>整数分</x:v>
      </x:c>
      <x:c r="H346" s="17" t="str">
        <x:v>FINANCIAL</x:v>
      </x:c>
      <x:c r="I346" s="17" t="str">
        <x:v>公司财务与必要业务职能；供应商仅本供应商结算视图</x:v>
      </x:c>
      <x:c r="J346" s="17" t="str">
        <x:v>消费者响应仅返回自身交易白名单字段</x:v>
      </x:c>
      <x:c r="K346" s="17" t="str">
        <x:v>DTO白名单；长度/枚举/归属/状态校验；禁止信任客户端派生值</x:v>
      </x:c>
      <x:c r="L346" s="17" t="str">
        <x:v>按实体version或审计日志保留变更证据</x:v>
      </x:c>
      <x:c r="M346" s="4" t="str">
        <x:v>M3</x:v>
      </x:c>
      <x:c r="N346" s="4" t="str">
        <x:v>待切片细化</x:v>
      </x:c>
      <x:c r="O346" s="4" t="str">
        <x:v>综合方案§13核心数据模型</x:v>
      </x:c>
      <x:c r="P346" s="4" t="str">
        <x:v>DRAFT_FROM_SCHEME</x:v>
      </x:c>
    </x:row>
    <x:row r="347" ht="23" customHeight="1">
      <x:c r="A347" s="4" t="str">
        <x:v>WelfareCardBatch</x:v>
      </x:c>
      <x:c r="B347" s="4" t="str">
        <x:v>unitAmount</x:v>
      </x:c>
      <x:c r="C347" s="17" t="str">
        <x:v>unitAmount</x:v>
      </x:c>
      <x:c r="D347" s="4" t="str">
        <x:v>6</x:v>
      </x:c>
      <x:c r="E347" s="4" t="str">
        <x:v>Int(分)</x:v>
      </x:c>
      <x:c r="F347" s="4" t="str">
        <x:v>YES</x:v>
      </x:c>
      <x:c r="G347" s="4" t="str">
        <x:v>整数分</x:v>
      </x:c>
      <x:c r="H347" s="17" t="str">
        <x:v>FINANCIAL</x:v>
      </x:c>
      <x:c r="I347" s="17" t="str">
        <x:v>公司财务与必要业务职能；供应商仅本供应商结算视图</x:v>
      </x:c>
      <x:c r="J347" s="17" t="str">
        <x:v>消费者响应仅返回自身交易白名单字段</x:v>
      </x:c>
      <x:c r="K347" s="17" t="str">
        <x:v>DTO白名单；长度/枚举/归属/状态校验；禁止信任客户端派生值</x:v>
      </x:c>
      <x:c r="L347" s="17" t="str">
        <x:v>按实体version或审计日志保留变更证据</x:v>
      </x:c>
      <x:c r="M347" s="4" t="str">
        <x:v>M3</x:v>
      </x:c>
      <x:c r="N347" s="4" t="str">
        <x:v>待切片细化</x:v>
      </x:c>
      <x:c r="O347" s="4" t="str">
        <x:v>综合方案§13核心数据模型</x:v>
      </x:c>
      <x:c r="P347" s="4" t="str">
        <x:v>DRAFT_FROM_SCHEME</x:v>
      </x:c>
    </x:row>
    <x:row r="348" ht="23" customHeight="1">
      <x:c r="A348" s="4" t="str">
        <x:v>WelfareCardBatch</x:v>
      </x:c>
      <x:c r="B348" s="4" t="str">
        <x:v>issueCount</x:v>
      </x:c>
      <x:c r="C348" s="17" t="str">
        <x:v>issueCount</x:v>
      </x:c>
      <x:c r="D348" s="4" t="str">
        <x:v>7</x:v>
      </x:c>
      <x:c r="E348" s="4" t="str">
        <x:v>Int</x:v>
      </x:c>
      <x:c r="F348" s="4" t="str">
        <x:v>YES</x:v>
      </x:c>
      <x:c r="G348" s="4" t="str">
        <x:v>待M阶段冻结</x:v>
      </x:c>
      <x:c r="H348" s="17" t="str">
        <x:v>INTERNAL</x:v>
      </x:c>
      <x:c r="I348" s="17" t="str">
        <x:v>按资源权限与数据域访问；公开DTO另行白名单</x:v>
      </x:c>
      <x:c r="J348" s="17" t="str">
        <x:v>数据库实体不得直接序列化为响应</x:v>
      </x:c>
      <x:c r="K348" s="17" t="str">
        <x:v>DTO白名单；长度/枚举/归属/状态校验；禁止信任客户端派生值</x:v>
      </x:c>
      <x:c r="L348" s="17" t="str">
        <x:v>按实体version或审计日志保留变更证据</x:v>
      </x:c>
      <x:c r="M348" s="4" t="str">
        <x:v>M3</x:v>
      </x:c>
      <x:c r="N348" s="4" t="str">
        <x:v>待切片细化</x:v>
      </x:c>
      <x:c r="O348" s="4" t="str">
        <x:v>综合方案§13核心数据模型</x:v>
      </x:c>
      <x:c r="P348" s="4" t="str">
        <x:v>DRAFT_FROM_SCHEME</x:v>
      </x:c>
    </x:row>
    <x:row r="349" ht="23" customHeight="1">
      <x:c r="A349" s="4" t="str">
        <x:v>WelfareCardBatch</x:v>
      </x:c>
      <x:c r="B349" s="4" t="str">
        <x:v>claimMode</x:v>
      </x:c>
      <x:c r="C349" s="17" t="str">
        <x:v>claimMode</x:v>
      </x:c>
      <x:c r="D349" s="4" t="str">
        <x:v>8</x:v>
      </x:c>
      <x:c r="E349" s="4" t="str">
        <x:v>Enum/String</x:v>
      </x:c>
      <x:c r="F349" s="4" t="str">
        <x:v>YES</x:v>
      </x:c>
      <x:c r="G349" s="4" t="str">
        <x:v>待M阶段冻结</x:v>
      </x:c>
      <x:c r="H349" s="17" t="str">
        <x:v>INTERNAL</x:v>
      </x:c>
      <x:c r="I349" s="17" t="str">
        <x:v>按资源权限与数据域访问；公开DTO另行白名单</x:v>
      </x:c>
      <x:c r="J349" s="17" t="str">
        <x:v>数据库实体不得直接序列化为响应</x:v>
      </x:c>
      <x:c r="K349" s="17" t="str">
        <x:v>DTO白名单；长度/枚举/归属/状态校验；禁止信任客户端派生值</x:v>
      </x:c>
      <x:c r="L349" s="17" t="str">
        <x:v>按实体version或审计日志保留变更证据</x:v>
      </x:c>
      <x:c r="M349" s="4" t="str">
        <x:v>M3</x:v>
      </x:c>
      <x:c r="N349" s="4" t="str">
        <x:v>待切片细化</x:v>
      </x:c>
      <x:c r="O349" s="4" t="str">
        <x:v>综合方案§13核心数据模型</x:v>
      </x:c>
      <x:c r="P349" s="4" t="str">
        <x:v>DRAFT_FROM_SCHEME</x:v>
      </x:c>
    </x:row>
    <x:row r="350" ht="23" customHeight="1">
      <x:c r="A350" s="4" t="str">
        <x:v>WelfareCardBatch</x:v>
      </x:c>
      <x:c r="B350" s="4" t="str">
        <x:v>agreementVersion</x:v>
      </x:c>
      <x:c r="C350" s="17" t="str">
        <x:v>agreementVersion</x:v>
      </x:c>
      <x:c r="D350" s="4" t="str">
        <x:v>9</x:v>
      </x:c>
      <x:c r="E350" s="4" t="str">
        <x:v>Int</x:v>
      </x:c>
      <x:c r="F350" s="4" t="str">
        <x:v>YES</x:v>
      </x:c>
      <x:c r="G350" s="4" t="str">
        <x:v>待M阶段冻结</x:v>
      </x:c>
      <x:c r="H350" s="17" t="str">
        <x:v>INTERNAL</x:v>
      </x:c>
      <x:c r="I350" s="17" t="str">
        <x:v>按资源权限与数据域访问；公开DTO另行白名单</x:v>
      </x:c>
      <x:c r="J350" s="17" t="str">
        <x:v>数据库实体不得直接序列化为响应</x:v>
      </x:c>
      <x:c r="K350" s="17" t="str">
        <x:v>DTO白名单；长度/枚举/归属/状态校验；禁止信任客户端派生值</x:v>
      </x:c>
      <x:c r="L350" s="17" t="str">
        <x:v>按实体version或审计日志保留变更证据</x:v>
      </x:c>
      <x:c r="M350" s="4" t="str">
        <x:v>M3</x:v>
      </x:c>
      <x:c r="N350" s="4" t="str">
        <x:v>待切片细化</x:v>
      </x:c>
      <x:c r="O350" s="4" t="str">
        <x:v>综合方案§13核心数据模型</x:v>
      </x:c>
      <x:c r="P350" s="4" t="str">
        <x:v>DRAFT_FROM_SCHEME</x:v>
      </x:c>
    </x:row>
    <x:row r="351" ht="23" customHeight="1">
      <x:c r="A351" s="4" t="str">
        <x:v>WelfareCardBatch</x:v>
      </x:c>
      <x:c r="B351" s="4" t="str">
        <x:v>status</x:v>
      </x:c>
      <x:c r="C351" s="17" t="str">
        <x:v>status</x:v>
      </x:c>
      <x:c r="D351" s="4" t="str">
        <x:v>10</x:v>
      </x:c>
      <x:c r="E351" s="4" t="str">
        <x:v>Enum/String</x:v>
      </x:c>
      <x:c r="F351" s="4" t="str">
        <x:v>YES</x:v>
      </x:c>
      <x:c r="G351" s="4" t="str">
        <x:v>待M阶段冻结</x:v>
      </x:c>
      <x:c r="H351" s="17" t="str">
        <x:v>INTERNAL</x:v>
      </x:c>
      <x:c r="I351" s="17" t="str">
        <x:v>按资源权限与数据域访问；公开DTO另行白名单</x:v>
      </x:c>
      <x:c r="J351" s="17" t="str">
        <x:v>数据库实体不得直接序列化为响应</x:v>
      </x:c>
      <x:c r="K351" s="17" t="str">
        <x:v>DTO白名单；长度/枚举/归属/状态校验；禁止信任客户端派生值</x:v>
      </x:c>
      <x:c r="L351" s="17" t="str">
        <x:v>按实体version或审计日志保留变更证据</x:v>
      </x:c>
      <x:c r="M351" s="4" t="str">
        <x:v>M3</x:v>
      </x:c>
      <x:c r="N351" s="4" t="str">
        <x:v>待切片细化</x:v>
      </x:c>
      <x:c r="O351" s="4" t="str">
        <x:v>综合方案§13核心数据模型</x:v>
      </x:c>
      <x:c r="P351" s="4" t="str">
        <x:v>DRAFT_FROM_SCHEME</x:v>
      </x:c>
    </x:row>
    <x:row r="352" ht="23" customHeight="1">
      <x:c r="A352" s="4" t="str">
        <x:v>WelfareCardBatch</x:v>
      </x:c>
      <x:c r="B352" s="4" t="str">
        <x:v>createdAt</x:v>
      </x:c>
      <x:c r="C352" s="17" t="str">
        <x:v>createdAt</x:v>
      </x:c>
      <x:c r="D352" s="4" t="str">
        <x:v>11</x:v>
      </x:c>
      <x:c r="E352" s="4" t="str">
        <x:v>DateTime</x:v>
      </x:c>
      <x:c r="F352" s="4" t="str">
        <x:v>YES</x:v>
      </x:c>
      <x:c r="G352" s="4" t="str">
        <x:v>ISO-8601+明确时区</x:v>
      </x:c>
      <x:c r="H352" s="17" t="str">
        <x:v>INTERNAL</x:v>
      </x:c>
      <x:c r="I352" s="17" t="str">
        <x:v>按资源权限与数据域访问；公开DTO另行白名单</x:v>
      </x:c>
      <x:c r="J352" s="17" t="str">
        <x:v>数据库实体不得直接序列化为响应</x:v>
      </x:c>
      <x:c r="K352" s="17" t="str">
        <x:v>DTO白名单；长度/枚举/归属/状态校验；禁止信任客户端派生值</x:v>
      </x:c>
      <x:c r="L352" s="17" t="str">
        <x:v>按实体version或审计日志保留变更证据</x:v>
      </x:c>
      <x:c r="M352" s="4" t="str">
        <x:v>M3</x:v>
      </x:c>
      <x:c r="N352" s="4" t="str">
        <x:v>待切片细化</x:v>
      </x:c>
      <x:c r="O352" s="4" t="str">
        <x:v>综合方案§13核心数据模型</x:v>
      </x:c>
      <x:c r="P352" s="4" t="str">
        <x:v>DRAFT_FROM_SCHEME</x:v>
      </x:c>
    </x:row>
    <x:row r="353" ht="23" customHeight="1">
      <x:c r="A353" s="4" t="str">
        <x:v>WelfareCardCode</x:v>
      </x:c>
      <x:c r="B353" s="4" t="str">
        <x:v>id</x:v>
      </x:c>
      <x:c r="C353" s="17" t="str">
        <x:v>id</x:v>
      </x:c>
      <x:c r="D353" s="4" t="str">
        <x:v>1</x:v>
      </x:c>
      <x:c r="E353" s="4" t="str">
        <x:v>String/UUID</x:v>
      </x:c>
      <x:c r="F353" s="4" t="str">
        <x:v>YES</x:v>
      </x:c>
      <x:c r="G353" s="4" t="str">
        <x:v>待M阶段冻结</x:v>
      </x:c>
      <x:c r="H353" s="17" t="str">
        <x:v>INTERNAL</x:v>
      </x:c>
      <x:c r="I353" s="17" t="str">
        <x:v>按资源权限与数据域访问；公开DTO另行白名单</x:v>
      </x:c>
      <x:c r="J353" s="17" t="str">
        <x:v>数据库实体不得直接序列化为响应</x:v>
      </x:c>
      <x:c r="K353" s="17" t="str">
        <x:v>DTO白名单；长度/枚举/归属/状态校验；禁止信任客户端派生值</x:v>
      </x:c>
      <x:c r="L353" s="17" t="str">
        <x:v>按实体version或审计日志保留变更证据</x:v>
      </x:c>
      <x:c r="M353" s="4" t="str">
        <x:v>M3</x:v>
      </x:c>
      <x:c r="N353" s="4" t="str">
        <x:v>待切片细化</x:v>
      </x:c>
      <x:c r="O353" s="4" t="str">
        <x:v>综合方案§13核心数据模型</x:v>
      </x:c>
      <x:c r="P353" s="4" t="str">
        <x:v>DRAFT_FROM_SCHEME</x:v>
      </x:c>
    </x:row>
    <x:row r="354" ht="23" customHeight="1">
      <x:c r="A354" s="4" t="str">
        <x:v>WelfareCardCode</x:v>
      </x:c>
      <x:c r="B354" s="4" t="str">
        <x:v>batchId</x:v>
      </x:c>
      <x:c r="C354" s="17" t="str">
        <x:v>batchId</x:v>
      </x:c>
      <x:c r="D354" s="4" t="str">
        <x:v>2</x:v>
      </x:c>
      <x:c r="E354" s="4" t="str">
        <x:v>String/UUID</x:v>
      </x:c>
      <x:c r="F354" s="4" t="str">
        <x:v>YES</x:v>
      </x:c>
      <x:c r="G354" s="4" t="str">
        <x:v>待M阶段冻结</x:v>
      </x:c>
      <x:c r="H354" s="17" t="str">
        <x:v>INTERNAL</x:v>
      </x:c>
      <x:c r="I354" s="17" t="str">
        <x:v>按资源权限与数据域访问；公开DTO另行白名单</x:v>
      </x:c>
      <x:c r="J354" s="17" t="str">
        <x:v>数据库实体不得直接序列化为响应</x:v>
      </x:c>
      <x:c r="K354" s="17" t="str">
        <x:v>DTO白名单；长度/枚举/归属/状态校验；禁止信任客户端派生值</x:v>
      </x:c>
      <x:c r="L354" s="17" t="str">
        <x:v>按实体version或审计日志保留变更证据</x:v>
      </x:c>
      <x:c r="M354" s="4" t="str">
        <x:v>M3</x:v>
      </x:c>
      <x:c r="N354" s="4" t="str">
        <x:v>待切片细化</x:v>
      </x:c>
      <x:c r="O354" s="4" t="str">
        <x:v>综合方案§13核心数据模型</x:v>
      </x:c>
      <x:c r="P354" s="4" t="str">
        <x:v>DRAFT_FROM_SCHEME</x:v>
      </x:c>
    </x:row>
    <x:row r="355" ht="23" customHeight="1">
      <x:c r="A355" s="4" t="str">
        <x:v>WelfareCardCode</x:v>
      </x:c>
      <x:c r="B355" s="4" t="str">
        <x:v>cardNo</x:v>
      </x:c>
      <x:c r="C355" s="17" t="str">
        <x:v>cardNo</x:v>
      </x:c>
      <x:c r="D355" s="4" t="str">
        <x:v>3</x:v>
      </x:c>
      <x:c r="E355" s="4" t="str">
        <x:v>String</x:v>
      </x:c>
      <x:c r="F355" s="4" t="str">
        <x:v>YES</x:v>
      </x:c>
      <x:c r="G355" s="4" t="str">
        <x:v>待M阶段冻结</x:v>
      </x:c>
      <x:c r="H355" s="17" t="str">
        <x:v>INTERNAL</x:v>
      </x:c>
      <x:c r="I355" s="17" t="str">
        <x:v>按资源权限与数据域访问；公开DTO另行白名单</x:v>
      </x:c>
      <x:c r="J355" s="17" t="str">
        <x:v>数据库实体不得直接序列化为响应</x:v>
      </x:c>
      <x:c r="K355" s="17" t="str">
        <x:v>DTO白名单；长度/枚举/归属/状态校验；禁止信任客户端派生值</x:v>
      </x:c>
      <x:c r="L355" s="17" t="str">
        <x:v>按实体version或审计日志保留变更证据</x:v>
      </x:c>
      <x:c r="M355" s="4" t="str">
        <x:v>M3</x:v>
      </x:c>
      <x:c r="N355" s="4" t="str">
        <x:v>待切片细化</x:v>
      </x:c>
      <x:c r="O355" s="4" t="str">
        <x:v>综合方案§13核心数据模型</x:v>
      </x:c>
      <x:c r="P355" s="4" t="str">
        <x:v>DRAFT_FROM_SCHEME</x:v>
      </x:c>
    </x:row>
    <x:row r="356" ht="23" customHeight="1">
      <x:c r="A356" s="4" t="str">
        <x:v>WelfareCardCode</x:v>
      </x:c>
      <x:c r="B356" s="4" t="str">
        <x:v>secretHash</x:v>
      </x:c>
      <x:c r="C356" s="17" t="str">
        <x:v>secretHash</x:v>
      </x:c>
      <x:c r="D356" s="4" t="str">
        <x:v>4</x:v>
      </x:c>
      <x:c r="E356" s="4" t="str">
        <x:v>String</x:v>
      </x:c>
      <x:c r="F356" s="4" t="str">
        <x:v>YES</x:v>
      </x:c>
      <x:c r="G356" s="4" t="str">
        <x:v>待M阶段冻结</x:v>
      </x:c>
      <x:c r="H356" s="17" t="str">
        <x:v>SECRET_OR_CREDENTIAL</x:v>
      </x:c>
      <x:c r="I356" s="17" t="str">
        <x:v>仅后端最小权限读取，响应永不返回</x:v>
      </x:c>
      <x:c r="J356" s="17" t="str">
        <x:v>禁止提交、日志、快照和前端下发</x:v>
      </x:c>
      <x:c r="K356" s="17" t="str">
        <x:v>DTO白名单；长度/枚举/归属/状态校验；禁止信任客户端派生值</x:v>
      </x:c>
      <x:c r="L356" s="17" t="str">
        <x:v>按实体version或审计日志保留变更证据</x:v>
      </x:c>
      <x:c r="M356" s="4" t="str">
        <x:v>M3</x:v>
      </x:c>
      <x:c r="N356" s="4" t="str">
        <x:v>待切片细化</x:v>
      </x:c>
      <x:c r="O356" s="4" t="str">
        <x:v>综合方案§13核心数据模型</x:v>
      </x:c>
      <x:c r="P356" s="4" t="str">
        <x:v>DRAFT_FROM_SCHEME</x:v>
      </x:c>
    </x:row>
    <x:row r="357" ht="23" customHeight="1">
      <x:c r="A357" s="4" t="str">
        <x:v>WelfareCardCode</x:v>
      </x:c>
      <x:c r="B357" s="4" t="str">
        <x:v>amount</x:v>
      </x:c>
      <x:c r="C357" s="17" t="str">
        <x:v>amount</x:v>
      </x:c>
      <x:c r="D357" s="4" t="str">
        <x:v>5</x:v>
      </x:c>
      <x:c r="E357" s="4" t="str">
        <x:v>Int(分)</x:v>
      </x:c>
      <x:c r="F357" s="4" t="str">
        <x:v>YES</x:v>
      </x:c>
      <x:c r="G357" s="4" t="str">
        <x:v>整数分</x:v>
      </x:c>
      <x:c r="H357" s="17" t="str">
        <x:v>FINANCIAL</x:v>
      </x:c>
      <x:c r="I357" s="17" t="str">
        <x:v>公司财务与必要业务职能；供应商仅本供应商结算视图</x:v>
      </x:c>
      <x:c r="J357" s="17" t="str">
        <x:v>消费者响应仅返回自身交易白名单字段</x:v>
      </x:c>
      <x:c r="K357" s="17" t="str">
        <x:v>DTO白名单；长度/枚举/归属/状态校验；禁止信任客户端派生值</x:v>
      </x:c>
      <x:c r="L357" s="17" t="str">
        <x:v>按实体version或审计日志保留变更证据</x:v>
      </x:c>
      <x:c r="M357" s="4" t="str">
        <x:v>M3</x:v>
      </x:c>
      <x:c r="N357" s="4" t="str">
        <x:v>待切片细化</x:v>
      </x:c>
      <x:c r="O357" s="4" t="str">
        <x:v>综合方案§13核心数据模型</x:v>
      </x:c>
      <x:c r="P357" s="4" t="str">
        <x:v>DRAFT_FROM_SCHEME</x:v>
      </x:c>
    </x:row>
    <x:row r="358" ht="23" customHeight="1">
      <x:c r="A358" s="4" t="str">
        <x:v>WelfareCardCode</x:v>
      </x:c>
      <x:c r="B358" s="4" t="str">
        <x:v>status</x:v>
      </x:c>
      <x:c r="C358" s="17" t="str">
        <x:v>status</x:v>
      </x:c>
      <x:c r="D358" s="4" t="str">
        <x:v>6</x:v>
      </x:c>
      <x:c r="E358" s="4" t="str">
        <x:v>Enum/String</x:v>
      </x:c>
      <x:c r="F358" s="4" t="str">
        <x:v>YES</x:v>
      </x:c>
      <x:c r="G358" s="4" t="str">
        <x:v>待M阶段冻结</x:v>
      </x:c>
      <x:c r="H358" s="17" t="str">
        <x:v>INTERNAL</x:v>
      </x:c>
      <x:c r="I358" s="17" t="str">
        <x:v>按资源权限与数据域访问；公开DTO另行白名单</x:v>
      </x:c>
      <x:c r="J358" s="17" t="str">
        <x:v>数据库实体不得直接序列化为响应</x:v>
      </x:c>
      <x:c r="K358" s="17" t="str">
        <x:v>DTO白名单；长度/枚举/归属/状态校验；禁止信任客户端派生值</x:v>
      </x:c>
      <x:c r="L358" s="17" t="str">
        <x:v>按实体version或审计日志保留变更证据</x:v>
      </x:c>
      <x:c r="M358" s="4" t="str">
        <x:v>M3</x:v>
      </x:c>
      <x:c r="N358" s="4" t="str">
        <x:v>待切片细化</x:v>
      </x:c>
      <x:c r="O358" s="4" t="str">
        <x:v>综合方案§13核心数据模型</x:v>
      </x:c>
      <x:c r="P358" s="4" t="str">
        <x:v>DRAFT_FROM_SCHEME</x:v>
      </x:c>
    </x:row>
    <x:row r="359" ht="23" customHeight="1">
      <x:c r="A359" s="4" t="str">
        <x:v>WelfareCardCode</x:v>
      </x:c>
      <x:c r="B359" s="4" t="str">
        <x:v>claimedByConsumerUserId</x:v>
      </x:c>
      <x:c r="C359" s="17" t="str">
        <x:v>claimedByConsumerUserId</x:v>
      </x:c>
      <x:c r="D359" s="4" t="str">
        <x:v>7</x:v>
      </x:c>
      <x:c r="E359" s="4" t="str">
        <x:v>String/UUID</x:v>
      </x:c>
      <x:c r="F359" s="4" t="str">
        <x:v>YES</x:v>
      </x:c>
      <x:c r="G359" s="4" t="str">
        <x:v>待M阶段冻结</x:v>
      </x:c>
      <x:c r="H359" s="17" t="str">
        <x:v>INTERNAL</x:v>
      </x:c>
      <x:c r="I359" s="17" t="str">
        <x:v>按资源权限与数据域访问；公开DTO另行白名单</x:v>
      </x:c>
      <x:c r="J359" s="17" t="str">
        <x:v>数据库实体不得直接序列化为响应</x:v>
      </x:c>
      <x:c r="K359" s="17" t="str">
        <x:v>DTO白名单；长度/枚举/归属/状态校验；禁止信任客户端派生值</x:v>
      </x:c>
      <x:c r="L359" s="17" t="str">
        <x:v>按实体version或审计日志保留变更证据</x:v>
      </x:c>
      <x:c r="M359" s="4" t="str">
        <x:v>M3</x:v>
      </x:c>
      <x:c r="N359" s="4" t="str">
        <x:v>待切片细化</x:v>
      </x:c>
      <x:c r="O359" s="4" t="str">
        <x:v>综合方案§13核心数据模型</x:v>
      </x:c>
      <x:c r="P359" s="4" t="str">
        <x:v>DRAFT_FROM_SCHEME</x:v>
      </x:c>
    </x:row>
    <x:row r="360" ht="23" customHeight="1">
      <x:c r="A360" s="4" t="str">
        <x:v>WelfareCardCode</x:v>
      </x:c>
      <x:c r="B360" s="4" t="str">
        <x:v>claimedAt</x:v>
      </x:c>
      <x:c r="C360" s="17" t="str">
        <x:v>claimedAt</x:v>
      </x:c>
      <x:c r="D360" s="4" t="str">
        <x:v>8</x:v>
      </x:c>
      <x:c r="E360" s="4" t="str">
        <x:v>DateTime</x:v>
      </x:c>
      <x:c r="F360" s="4" t="str">
        <x:v>YES</x:v>
      </x:c>
      <x:c r="G360" s="4" t="str">
        <x:v>ISO-8601+明确时区</x:v>
      </x:c>
      <x:c r="H360" s="17" t="str">
        <x:v>INTERNAL</x:v>
      </x:c>
      <x:c r="I360" s="17" t="str">
        <x:v>按资源权限与数据域访问；公开DTO另行白名单</x:v>
      </x:c>
      <x:c r="J360" s="17" t="str">
        <x:v>数据库实体不得直接序列化为响应</x:v>
      </x:c>
      <x:c r="K360" s="17" t="str">
        <x:v>DTO白名单；长度/枚举/归属/状态校验；禁止信任客户端派生值</x:v>
      </x:c>
      <x:c r="L360" s="17" t="str">
        <x:v>按实体version或审计日志保留变更证据</x:v>
      </x:c>
      <x:c r="M360" s="4" t="str">
        <x:v>M3</x:v>
      </x:c>
      <x:c r="N360" s="4" t="str">
        <x:v>待切片细化</x:v>
      </x:c>
      <x:c r="O360" s="4" t="str">
        <x:v>综合方案§13核心数据模型</x:v>
      </x:c>
      <x:c r="P360" s="4" t="str">
        <x:v>DRAFT_FROM_SCHEME</x:v>
      </x:c>
    </x:row>
    <x:row r="361" ht="23" customHeight="1">
      <x:c r="A361" s="4" t="str">
        <x:v>WelfareCardAccount</x:v>
      </x:c>
      <x:c r="B361" s="4" t="str">
        <x:v>id</x:v>
      </x:c>
      <x:c r="C361" s="17" t="str">
        <x:v>id</x:v>
      </x:c>
      <x:c r="D361" s="4" t="str">
        <x:v>1</x:v>
      </x:c>
      <x:c r="E361" s="4" t="str">
        <x:v>String/UUID</x:v>
      </x:c>
      <x:c r="F361" s="4" t="str">
        <x:v>YES</x:v>
      </x:c>
      <x:c r="G361" s="4" t="str">
        <x:v>待M阶段冻结</x:v>
      </x:c>
      <x:c r="H361" s="17" t="str">
        <x:v>INTERNAL</x:v>
      </x:c>
      <x:c r="I361" s="17" t="str">
        <x:v>按资源权限与数据域访问；公开DTO另行白名单</x:v>
      </x:c>
      <x:c r="J361" s="17" t="str">
        <x:v>数据库实体不得直接序列化为响应</x:v>
      </x:c>
      <x:c r="K361" s="17" t="str">
        <x:v>DTO白名单；长度/枚举/归属/状态校验；禁止信任客户端派生值</x:v>
      </x:c>
      <x:c r="L361" s="17" t="str">
        <x:v>按实体version或审计日志保留变更证据</x:v>
      </x:c>
      <x:c r="M361" s="4" t="str">
        <x:v>M3</x:v>
      </x:c>
      <x:c r="N361" s="4" t="str">
        <x:v>P0-052,P0-053</x:v>
      </x:c>
      <x:c r="O361" s="4" t="str">
        <x:v>综合方案§13核心数据模型</x:v>
      </x:c>
      <x:c r="P361" s="4" t="str">
        <x:v>DRAFT_FROM_SCHEME</x:v>
      </x:c>
    </x:row>
    <x:row r="362" ht="23" customHeight="1">
      <x:c r="A362" s="4" t="str">
        <x:v>WelfareCardAccount</x:v>
      </x:c>
      <x:c r="B362" s="4" t="str">
        <x:v>consumerUserId</x:v>
      </x:c>
      <x:c r="C362" s="17" t="str">
        <x:v>consumerUserId</x:v>
      </x:c>
      <x:c r="D362" s="4" t="str">
        <x:v>2</x:v>
      </x:c>
      <x:c r="E362" s="4" t="str">
        <x:v>String/UUID</x:v>
      </x:c>
      <x:c r="F362" s="4" t="str">
        <x:v>YES</x:v>
      </x:c>
      <x:c r="G362" s="4" t="str">
        <x:v>待M阶段冻结</x:v>
      </x:c>
      <x:c r="H362" s="17" t="str">
        <x:v>INTERNAL</x:v>
      </x:c>
      <x:c r="I362" s="17" t="str">
        <x:v>按资源权限与数据域访问；公开DTO另行白名单</x:v>
      </x:c>
      <x:c r="J362" s="17" t="str">
        <x:v>数据库实体不得直接序列化为响应</x:v>
      </x:c>
      <x:c r="K362" s="17" t="str">
        <x:v>DTO白名单；长度/枚举/归属/状态校验；禁止信任客户端派生值</x:v>
      </x:c>
      <x:c r="L362" s="17" t="str">
        <x:v>按实体version或审计日志保留变更证据</x:v>
      </x:c>
      <x:c r="M362" s="4" t="str">
        <x:v>M3</x:v>
      </x:c>
      <x:c r="N362" s="4" t="str">
        <x:v>P0-052,P0-053</x:v>
      </x:c>
      <x:c r="O362" s="4" t="str">
        <x:v>综合方案§13核心数据模型</x:v>
      </x:c>
      <x:c r="P362" s="4" t="str">
        <x:v>DRAFT_FROM_SCHEME</x:v>
      </x:c>
    </x:row>
    <x:row r="363" ht="23" customHeight="1">
      <x:c r="A363" s="4" t="str">
        <x:v>WelfareCardAccount</x:v>
      </x:c>
      <x:c r="B363" s="4" t="str">
        <x:v>programId</x:v>
      </x:c>
      <x:c r="C363" s="17" t="str">
        <x:v>programId</x:v>
      </x:c>
      <x:c r="D363" s="4" t="str">
        <x:v>3</x:v>
      </x:c>
      <x:c r="E363" s="4" t="str">
        <x:v>String/UUID</x:v>
      </x:c>
      <x:c r="F363" s="4" t="str">
        <x:v>YES</x:v>
      </x:c>
      <x:c r="G363" s="4" t="str">
        <x:v>待M阶段冻结</x:v>
      </x:c>
      <x:c r="H363" s="17" t="str">
        <x:v>INTERNAL</x:v>
      </x:c>
      <x:c r="I363" s="17" t="str">
        <x:v>按资源权限与数据域访问；公开DTO另行白名单</x:v>
      </x:c>
      <x:c r="J363" s="17" t="str">
        <x:v>数据库实体不得直接序列化为响应</x:v>
      </x:c>
      <x:c r="K363" s="17" t="str">
        <x:v>DTO白名单；长度/枚举/归属/状态校验；禁止信任客户端派生值</x:v>
      </x:c>
      <x:c r="L363" s="17" t="str">
        <x:v>按实体version或审计日志保留变更证据</x:v>
      </x:c>
      <x:c r="M363" s="4" t="str">
        <x:v>M3</x:v>
      </x:c>
      <x:c r="N363" s="4" t="str">
        <x:v>P0-052,P0-053</x:v>
      </x:c>
      <x:c r="O363" s="4" t="str">
        <x:v>综合方案§13核心数据模型</x:v>
      </x:c>
      <x:c r="P363" s="4" t="str">
        <x:v>DRAFT_FROM_SCHEME</x:v>
      </x:c>
    </x:row>
    <x:row r="364" ht="23" customHeight="1">
      <x:c r="A364" s="4" t="str">
        <x:v>WelfareCardAccount</x:v>
      </x:c>
      <x:c r="B364" s="4" t="str">
        <x:v>batchId</x:v>
      </x:c>
      <x:c r="C364" s="17" t="str">
        <x:v>batchId</x:v>
      </x:c>
      <x:c r="D364" s="4" t="str">
        <x:v>4</x:v>
      </x:c>
      <x:c r="E364" s="4" t="str">
        <x:v>String/UUID</x:v>
      </x:c>
      <x:c r="F364" s="4" t="str">
        <x:v>YES</x:v>
      </x:c>
      <x:c r="G364" s="4" t="str">
        <x:v>待M阶段冻结</x:v>
      </x:c>
      <x:c r="H364" s="17" t="str">
        <x:v>INTERNAL</x:v>
      </x:c>
      <x:c r="I364" s="17" t="str">
        <x:v>按资源权限与数据域访问；公开DTO另行白名单</x:v>
      </x:c>
      <x:c r="J364" s="17" t="str">
        <x:v>数据库实体不得直接序列化为响应</x:v>
      </x:c>
      <x:c r="K364" s="17" t="str">
        <x:v>DTO白名单；长度/枚举/归属/状态校验；禁止信任客户端派生值</x:v>
      </x:c>
      <x:c r="L364" s="17" t="str">
        <x:v>按实体version或审计日志保留变更证据</x:v>
      </x:c>
      <x:c r="M364" s="4" t="str">
        <x:v>M3</x:v>
      </x:c>
      <x:c r="N364" s="4" t="str">
        <x:v>P0-052,P0-053</x:v>
      </x:c>
      <x:c r="O364" s="4" t="str">
        <x:v>综合方案§13核心数据模型</x:v>
      </x:c>
      <x:c r="P364" s="4" t="str">
        <x:v>DRAFT_FROM_SCHEME</x:v>
      </x:c>
    </x:row>
    <x:row r="365" ht="23" customHeight="1">
      <x:c r="A365" s="4" t="str">
        <x:v>WelfareCardAccount</x:v>
      </x:c>
      <x:c r="B365" s="4" t="str">
        <x:v>balanceAmount</x:v>
      </x:c>
      <x:c r="C365" s="17" t="str">
        <x:v>balanceAmount</x:v>
      </x:c>
      <x:c r="D365" s="4" t="str">
        <x:v>5</x:v>
      </x:c>
      <x:c r="E365" s="4" t="str">
        <x:v>Int(分)</x:v>
      </x:c>
      <x:c r="F365" s="4" t="str">
        <x:v>YES</x:v>
      </x:c>
      <x:c r="G365" s="4" t="str">
        <x:v>整数分</x:v>
      </x:c>
      <x:c r="H365" s="17" t="str">
        <x:v>FINANCIAL</x:v>
      </x:c>
      <x:c r="I365" s="17" t="str">
        <x:v>公司财务与必要业务职能；供应商仅本供应商结算视图</x:v>
      </x:c>
      <x:c r="J365" s="17" t="str">
        <x:v>消费者响应仅返回自身交易白名单字段</x:v>
      </x:c>
      <x:c r="K365" s="17" t="str">
        <x:v>DTO白名单；长度/枚举/归属/状态校验；禁止信任客户端派生值</x:v>
      </x:c>
      <x:c r="L365" s="17" t="str">
        <x:v>按实体version或审计日志保留变更证据</x:v>
      </x:c>
      <x:c r="M365" s="4" t="str">
        <x:v>M3</x:v>
      </x:c>
      <x:c r="N365" s="4" t="str">
        <x:v>P0-052,P0-053</x:v>
      </x:c>
      <x:c r="O365" s="4" t="str">
        <x:v>综合方案§13核心数据模型</x:v>
      </x:c>
      <x:c r="P365" s="4" t="str">
        <x:v>DRAFT_FROM_SCHEME</x:v>
      </x:c>
    </x:row>
    <x:row r="366" ht="23" customHeight="1">
      <x:c r="A366" s="4" t="str">
        <x:v>WelfareCardAccount</x:v>
      </x:c>
      <x:c r="B366" s="4" t="str">
        <x:v>frozenAmount</x:v>
      </x:c>
      <x:c r="C366" s="17" t="str">
        <x:v>frozenAmount</x:v>
      </x:c>
      <x:c r="D366" s="4" t="str">
        <x:v>6</x:v>
      </x:c>
      <x:c r="E366" s="4" t="str">
        <x:v>Int(分)</x:v>
      </x:c>
      <x:c r="F366" s="4" t="str">
        <x:v>YES</x:v>
      </x:c>
      <x:c r="G366" s="4" t="str">
        <x:v>整数分</x:v>
      </x:c>
      <x:c r="H366" s="17" t="str">
        <x:v>FINANCIAL</x:v>
      </x:c>
      <x:c r="I366" s="17" t="str">
        <x:v>公司财务与必要业务职能；供应商仅本供应商结算视图</x:v>
      </x:c>
      <x:c r="J366" s="17" t="str">
        <x:v>消费者响应仅返回自身交易白名单字段</x:v>
      </x:c>
      <x:c r="K366" s="17" t="str">
        <x:v>DTO白名单；长度/枚举/归属/状态校验；禁止信任客户端派生值</x:v>
      </x:c>
      <x:c r="L366" s="17" t="str">
        <x:v>按实体version或审计日志保留变更证据</x:v>
      </x:c>
      <x:c r="M366" s="4" t="str">
        <x:v>M3</x:v>
      </x:c>
      <x:c r="N366" s="4" t="str">
        <x:v>P0-052,P0-053</x:v>
      </x:c>
      <x:c r="O366" s="4" t="str">
        <x:v>综合方案§13核心数据模型</x:v>
      </x:c>
      <x:c r="P366" s="4" t="str">
        <x:v>DRAFT_FROM_SCHEME</x:v>
      </x:c>
    </x:row>
    <x:row r="367" ht="23" customHeight="1">
      <x:c r="A367" s="4" t="str">
        <x:v>WelfareCardAccount</x:v>
      </x:c>
      <x:c r="B367" s="4" t="str">
        <x:v>status</x:v>
      </x:c>
      <x:c r="C367" s="17" t="str">
        <x:v>status</x:v>
      </x:c>
      <x:c r="D367" s="4" t="str">
        <x:v>7</x:v>
      </x:c>
      <x:c r="E367" s="4" t="str">
        <x:v>Enum/String</x:v>
      </x:c>
      <x:c r="F367" s="4" t="str">
        <x:v>YES</x:v>
      </x:c>
      <x:c r="G367" s="4" t="str">
        <x:v>待M阶段冻结</x:v>
      </x:c>
      <x:c r="H367" s="17" t="str">
        <x:v>INTERNAL</x:v>
      </x:c>
      <x:c r="I367" s="17" t="str">
        <x:v>按资源权限与数据域访问；公开DTO另行白名单</x:v>
      </x:c>
      <x:c r="J367" s="17" t="str">
        <x:v>数据库实体不得直接序列化为响应</x:v>
      </x:c>
      <x:c r="K367" s="17" t="str">
        <x:v>DTO白名单；长度/枚举/归属/状态校验；禁止信任客户端派生值</x:v>
      </x:c>
      <x:c r="L367" s="17" t="str">
        <x:v>按实体version或审计日志保留变更证据</x:v>
      </x:c>
      <x:c r="M367" s="4" t="str">
        <x:v>M3</x:v>
      </x:c>
      <x:c r="N367" s="4" t="str">
        <x:v>P0-052,P0-053</x:v>
      </x:c>
      <x:c r="O367" s="4" t="str">
        <x:v>综合方案§13核心数据模型</x:v>
      </x:c>
      <x:c r="P367" s="4" t="str">
        <x:v>DRAFT_FROM_SCHEME</x:v>
      </x:c>
    </x:row>
    <x:row r="368" ht="23" customHeight="1">
      <x:c r="A368" s="4" t="str">
        <x:v>WelfareCardAccount</x:v>
      </x:c>
      <x:c r="B368" s="4" t="str">
        <x:v>version</x:v>
      </x:c>
      <x:c r="C368" s="17" t="str">
        <x:v>version</x:v>
      </x:c>
      <x:c r="D368" s="4" t="str">
        <x:v>8</x:v>
      </x:c>
      <x:c r="E368" s="4" t="str">
        <x:v>Int</x:v>
      </x:c>
      <x:c r="F368" s="4" t="str">
        <x:v>YES</x:v>
      </x:c>
      <x:c r="G368" s="4" t="str">
        <x:v>待M阶段冻结</x:v>
      </x:c>
      <x:c r="H368" s="17" t="str">
        <x:v>INTERNAL</x:v>
      </x:c>
      <x:c r="I368" s="17" t="str">
        <x:v>按资源权限与数据域访问；公开DTO另行白名单</x:v>
      </x:c>
      <x:c r="J368" s="17" t="str">
        <x:v>数据库实体不得直接序列化为响应</x:v>
      </x:c>
      <x:c r="K368" s="17" t="str">
        <x:v>DTO白名单；长度/枚举/归属/状态校验；禁止信任客户端派生值</x:v>
      </x:c>
      <x:c r="L368" s="17" t="str">
        <x:v>按实体version或审计日志保留变更证据</x:v>
      </x:c>
      <x:c r="M368" s="4" t="str">
        <x:v>M3</x:v>
      </x:c>
      <x:c r="N368" s="4" t="str">
        <x:v>P0-052,P0-053</x:v>
      </x:c>
      <x:c r="O368" s="4" t="str">
        <x:v>综合方案§13核心数据模型</x:v>
      </x:c>
      <x:c r="P368" s="4" t="str">
        <x:v>DRAFT_FROM_SCHEME</x:v>
      </x:c>
    </x:row>
    <x:row r="369" ht="23" customHeight="1">
      <x:c r="A369" s="4" t="str">
        <x:v>WelfareCardLedger</x:v>
      </x:c>
      <x:c r="B369" s="4" t="str">
        <x:v>id</x:v>
      </x:c>
      <x:c r="C369" s="17" t="str">
        <x:v>id</x:v>
      </x:c>
      <x:c r="D369" s="4" t="str">
        <x:v>1</x:v>
      </x:c>
      <x:c r="E369" s="4" t="str">
        <x:v>String/UUID</x:v>
      </x:c>
      <x:c r="F369" s="4" t="str">
        <x:v>YES</x:v>
      </x:c>
      <x:c r="G369" s="4" t="str">
        <x:v>待M阶段冻结</x:v>
      </x:c>
      <x:c r="H369" s="17" t="str">
        <x:v>FINANCIAL</x:v>
      </x:c>
      <x:c r="I369" s="17" t="str">
        <x:v>公司财务与必要业务职能；供应商仅本供应商结算视图</x:v>
      </x:c>
      <x:c r="J369" s="17" t="str">
        <x:v>消费者响应仅返回自身交易白名单字段</x:v>
      </x:c>
      <x:c r="K369" s="17" t="str">
        <x:v>DTO白名单；长度/枚举/归属/状态校验；禁止信任客户端派生值</x:v>
      </x:c>
      <x:c r="L369" s="17" t="str">
        <x:v>追加/版本/快照，不覆盖已生效历史</x:v>
      </x:c>
      <x:c r="M369" s="4" t="str">
        <x:v>M3</x:v>
      </x:c>
      <x:c r="N369" s="4" t="str">
        <x:v>P0-055,P0-056,P0-057,P0-058,P0-059</x:v>
      </x:c>
      <x:c r="O369" s="4" t="str">
        <x:v>综合方案§13核心数据模型</x:v>
      </x:c>
      <x:c r="P369" s="4" t="str">
        <x:v>DRAFT_FROM_SCHEME</x:v>
      </x:c>
    </x:row>
    <x:row r="370" ht="23" customHeight="1">
      <x:c r="A370" s="4" t="str">
        <x:v>WelfareCardLedger</x:v>
      </x:c>
      <x:c r="B370" s="4" t="str">
        <x:v>accountId</x:v>
      </x:c>
      <x:c r="C370" s="17" t="str">
        <x:v>accountId</x:v>
      </x:c>
      <x:c r="D370" s="4" t="str">
        <x:v>2</x:v>
      </x:c>
      <x:c r="E370" s="4" t="str">
        <x:v>String/UUID</x:v>
      </x:c>
      <x:c r="F370" s="4" t="str">
        <x:v>YES</x:v>
      </x:c>
      <x:c r="G370" s="4" t="str">
        <x:v>待M阶段冻结</x:v>
      </x:c>
      <x:c r="H370" s="17" t="str">
        <x:v>FINANCIAL</x:v>
      </x:c>
      <x:c r="I370" s="17" t="str">
        <x:v>公司财务与必要业务职能；供应商仅本供应商结算视图</x:v>
      </x:c>
      <x:c r="J370" s="17" t="str">
        <x:v>消费者响应仅返回自身交易白名单字段</x:v>
      </x:c>
      <x:c r="K370" s="17" t="str">
        <x:v>DTO白名单；长度/枚举/归属/状态校验；禁止信任客户端派生值</x:v>
      </x:c>
      <x:c r="L370" s="17" t="str">
        <x:v>追加/版本/快照，不覆盖已生效历史</x:v>
      </x:c>
      <x:c r="M370" s="4" t="str">
        <x:v>M3</x:v>
      </x:c>
      <x:c r="N370" s="4" t="str">
        <x:v>P0-055,P0-056,P0-057,P0-058,P0-059</x:v>
      </x:c>
      <x:c r="O370" s="4" t="str">
        <x:v>综合方案§13核心数据模型</x:v>
      </x:c>
      <x:c r="P370" s="4" t="str">
        <x:v>DRAFT_FROM_SCHEME</x:v>
      </x:c>
    </x:row>
    <x:row r="371" ht="23" customHeight="1">
      <x:c r="A371" s="4" t="str">
        <x:v>WelfareCardLedger</x:v>
      </x:c>
      <x:c r="B371" s="4" t="str">
        <x:v>orderId</x:v>
      </x:c>
      <x:c r="C371" s="17" t="str">
        <x:v>orderId</x:v>
      </x:c>
      <x:c r="D371" s="4" t="str">
        <x:v>3</x:v>
      </x:c>
      <x:c r="E371" s="4" t="str">
        <x:v>String/UUID</x:v>
      </x:c>
      <x:c r="F371" s="4" t="str">
        <x:v>YES</x:v>
      </x:c>
      <x:c r="G371" s="4" t="str">
        <x:v>待M阶段冻结</x:v>
      </x:c>
      <x:c r="H371" s="17" t="str">
        <x:v>FINANCIAL</x:v>
      </x:c>
      <x:c r="I371" s="17" t="str">
        <x:v>公司财务与必要业务职能；供应商仅本供应商结算视图</x:v>
      </x:c>
      <x:c r="J371" s="17" t="str">
        <x:v>消费者响应仅返回自身交易白名单字段</x:v>
      </x:c>
      <x:c r="K371" s="17" t="str">
        <x:v>DTO白名单；长度/枚举/归属/状态校验；禁止信任客户端派生值</x:v>
      </x:c>
      <x:c r="L371" s="17" t="str">
        <x:v>追加/版本/快照，不覆盖已生效历史</x:v>
      </x:c>
      <x:c r="M371" s="4" t="str">
        <x:v>M3</x:v>
      </x:c>
      <x:c r="N371" s="4" t="str">
        <x:v>P0-055,P0-056,P0-057,P0-058,P0-059</x:v>
      </x:c>
      <x:c r="O371" s="4" t="str">
        <x:v>综合方案§13核心数据模型</x:v>
      </x:c>
      <x:c r="P371" s="4" t="str">
        <x:v>DRAFT_FROM_SCHEME</x:v>
      </x:c>
    </x:row>
    <x:row r="372" ht="23" customHeight="1">
      <x:c r="A372" s="4" t="str">
        <x:v>WelfareCardLedger</x:v>
      </x:c>
      <x:c r="B372" s="4" t="str">
        <x:v>refundId</x:v>
      </x:c>
      <x:c r="C372" s="17" t="str">
        <x:v>refundId</x:v>
      </x:c>
      <x:c r="D372" s="4" t="str">
        <x:v>4</x:v>
      </x:c>
      <x:c r="E372" s="4" t="str">
        <x:v>String/UUID</x:v>
      </x:c>
      <x:c r="F372" s="4" t="str">
        <x:v>YES</x:v>
      </x:c>
      <x:c r="G372" s="4" t="str">
        <x:v>待M阶段冻结</x:v>
      </x:c>
      <x:c r="H372" s="17" t="str">
        <x:v>FINANCIAL</x:v>
      </x:c>
      <x:c r="I372" s="17" t="str">
        <x:v>公司财务与必要业务职能；供应商仅本供应商结算视图</x:v>
      </x:c>
      <x:c r="J372" s="17" t="str">
        <x:v>消费者响应仅返回自身交易白名单字段</x:v>
      </x:c>
      <x:c r="K372" s="17" t="str">
        <x:v>DTO白名单；长度/枚举/归属/状态校验；禁止信任客户端派生值</x:v>
      </x:c>
      <x:c r="L372" s="17" t="str">
        <x:v>追加/版本/快照，不覆盖已生效历史</x:v>
      </x:c>
      <x:c r="M372" s="4" t="str">
        <x:v>M3</x:v>
      </x:c>
      <x:c r="N372" s="4" t="str">
        <x:v>P0-055,P0-056,P0-057,P0-058,P0-059</x:v>
      </x:c>
      <x:c r="O372" s="4" t="str">
        <x:v>综合方案§13核心数据模型</x:v>
      </x:c>
      <x:c r="P372" s="4" t="str">
        <x:v>DRAFT_FROM_SCHEME</x:v>
      </x:c>
    </x:row>
    <x:row r="373" ht="23" customHeight="1">
      <x:c r="A373" s="4" t="str">
        <x:v>WelfareCardLedger</x:v>
      </x:c>
      <x:c r="B373" s="4" t="str">
        <x:v>businessType</x:v>
      </x:c>
      <x:c r="C373" s="17" t="str">
        <x:v>businessType</x:v>
      </x:c>
      <x:c r="D373" s="4" t="str">
        <x:v>5</x:v>
      </x:c>
      <x:c r="E373" s="4" t="str">
        <x:v>Enum/String</x:v>
      </x:c>
      <x:c r="F373" s="4" t="str">
        <x:v>YES</x:v>
      </x:c>
      <x:c r="G373" s="4" t="str">
        <x:v>待M阶段冻结</x:v>
      </x:c>
      <x:c r="H373" s="17" t="str">
        <x:v>FINANCIAL</x:v>
      </x:c>
      <x:c r="I373" s="17" t="str">
        <x:v>公司财务与必要业务职能；供应商仅本供应商结算视图</x:v>
      </x:c>
      <x:c r="J373" s="17" t="str">
        <x:v>消费者响应仅返回自身交易白名单字段</x:v>
      </x:c>
      <x:c r="K373" s="17" t="str">
        <x:v>DTO白名单；长度/枚举/归属/状态校验；禁止信任客户端派生值</x:v>
      </x:c>
      <x:c r="L373" s="17" t="str">
        <x:v>追加/版本/快照，不覆盖已生效历史</x:v>
      </x:c>
      <x:c r="M373" s="4" t="str">
        <x:v>M3</x:v>
      </x:c>
      <x:c r="N373" s="4" t="str">
        <x:v>P0-055,P0-056,P0-057,P0-058,P0-059</x:v>
      </x:c>
      <x:c r="O373" s="4" t="str">
        <x:v>综合方案§13核心数据模型</x:v>
      </x:c>
      <x:c r="P373" s="4" t="str">
        <x:v>DRAFT_FROM_SCHEME</x:v>
      </x:c>
    </x:row>
    <x:row r="374" ht="23" customHeight="1">
      <x:c r="A374" s="4" t="str">
        <x:v>WelfareCardLedger</x:v>
      </x:c>
      <x:c r="B374" s="4" t="str">
        <x:v>direction</x:v>
      </x:c>
      <x:c r="C374" s="17" t="str">
        <x:v>direction</x:v>
      </x:c>
      <x:c r="D374" s="4" t="str">
        <x:v>6</x:v>
      </x:c>
      <x:c r="E374" s="4" t="str">
        <x:v>Enum/String</x:v>
      </x:c>
      <x:c r="F374" s="4" t="str">
        <x:v>YES</x:v>
      </x:c>
      <x:c r="G374" s="4" t="str">
        <x:v>待M阶段冻结</x:v>
      </x:c>
      <x:c r="H374" s="17" t="str">
        <x:v>FINANCIAL</x:v>
      </x:c>
      <x:c r="I374" s="17" t="str">
        <x:v>公司财务与必要业务职能；供应商仅本供应商结算视图</x:v>
      </x:c>
      <x:c r="J374" s="17" t="str">
        <x:v>消费者响应仅返回自身交易白名单字段</x:v>
      </x:c>
      <x:c r="K374" s="17" t="str">
        <x:v>DTO白名单；长度/枚举/归属/状态校验；禁止信任客户端派生值</x:v>
      </x:c>
      <x:c r="L374" s="17" t="str">
        <x:v>追加/版本/快照，不覆盖已生效历史</x:v>
      </x:c>
      <x:c r="M374" s="4" t="str">
        <x:v>M3</x:v>
      </x:c>
      <x:c r="N374" s="4" t="str">
        <x:v>P0-055,P0-056,P0-057,P0-058,P0-059</x:v>
      </x:c>
      <x:c r="O374" s="4" t="str">
        <x:v>综合方案§13核心数据模型</x:v>
      </x:c>
      <x:c r="P374" s="4" t="str">
        <x:v>DRAFT_FROM_SCHEME</x:v>
      </x:c>
    </x:row>
    <x:row r="375" ht="23" customHeight="1">
      <x:c r="A375" s="4" t="str">
        <x:v>WelfareCardLedger</x:v>
      </x:c>
      <x:c r="B375" s="4" t="str">
        <x:v>amount</x:v>
      </x:c>
      <x:c r="C375" s="17" t="str">
        <x:v>amount</x:v>
      </x:c>
      <x:c r="D375" s="4" t="str">
        <x:v>7</x:v>
      </x:c>
      <x:c r="E375" s="4" t="str">
        <x:v>Int(分)</x:v>
      </x:c>
      <x:c r="F375" s="4" t="str">
        <x:v>YES</x:v>
      </x:c>
      <x:c r="G375" s="4" t="str">
        <x:v>整数分</x:v>
      </x:c>
      <x:c r="H375" s="17" t="str">
        <x:v>FINANCIAL</x:v>
      </x:c>
      <x:c r="I375" s="17" t="str">
        <x:v>公司财务与必要业务职能；供应商仅本供应商结算视图</x:v>
      </x:c>
      <x:c r="J375" s="17" t="str">
        <x:v>消费者响应仅返回自身交易白名单字段</x:v>
      </x:c>
      <x:c r="K375" s="17" t="str">
        <x:v>DTO白名单；长度/枚举/归属/状态校验；禁止信任客户端派生值</x:v>
      </x:c>
      <x:c r="L375" s="17" t="str">
        <x:v>追加/版本/快照，不覆盖已生效历史</x:v>
      </x:c>
      <x:c r="M375" s="4" t="str">
        <x:v>M3</x:v>
      </x:c>
      <x:c r="N375" s="4" t="str">
        <x:v>P0-055,P0-056,P0-057,P0-058,P0-059</x:v>
      </x:c>
      <x:c r="O375" s="4" t="str">
        <x:v>综合方案§13核心数据模型</x:v>
      </x:c>
      <x:c r="P375" s="4" t="str">
        <x:v>DRAFT_FROM_SCHEME</x:v>
      </x:c>
    </x:row>
    <x:row r="376" ht="23" customHeight="1">
      <x:c r="A376" s="4" t="str">
        <x:v>WelfareCardLedger</x:v>
      </x:c>
      <x:c r="B376" s="4" t="str">
        <x:v>beforeBalance</x:v>
      </x:c>
      <x:c r="C376" s="17" t="str">
        <x:v>beforeBalance</x:v>
      </x:c>
      <x:c r="D376" s="4" t="str">
        <x:v>8</x:v>
      </x:c>
      <x:c r="E376" s="4" t="str">
        <x:v>Int(分)</x:v>
      </x:c>
      <x:c r="F376" s="4" t="str">
        <x:v>YES</x:v>
      </x:c>
      <x:c r="G376" s="4" t="str">
        <x:v>整数分</x:v>
      </x:c>
      <x:c r="H376" s="17" t="str">
        <x:v>FINANCIAL</x:v>
      </x:c>
      <x:c r="I376" s="17" t="str">
        <x:v>公司财务与必要业务职能；供应商仅本供应商结算视图</x:v>
      </x:c>
      <x:c r="J376" s="17" t="str">
        <x:v>消费者响应仅返回自身交易白名单字段</x:v>
      </x:c>
      <x:c r="K376" s="17" t="str">
        <x:v>DTO白名单；长度/枚举/归属/状态校验；禁止信任客户端派生值</x:v>
      </x:c>
      <x:c r="L376" s="17" t="str">
        <x:v>追加/版本/快照，不覆盖已生效历史</x:v>
      </x:c>
      <x:c r="M376" s="4" t="str">
        <x:v>M3</x:v>
      </x:c>
      <x:c r="N376" s="4" t="str">
        <x:v>P0-055,P0-056,P0-057,P0-058,P0-059</x:v>
      </x:c>
      <x:c r="O376" s="4" t="str">
        <x:v>综合方案§13核心数据模型</x:v>
      </x:c>
      <x:c r="P376" s="4" t="str">
        <x:v>DRAFT_FROM_SCHEME</x:v>
      </x:c>
    </x:row>
    <x:row r="377" ht="23" customHeight="1">
      <x:c r="A377" s="4" t="str">
        <x:v>WelfareCardLedger</x:v>
      </x:c>
      <x:c r="B377" s="4" t="str">
        <x:v>afterBalance</x:v>
      </x:c>
      <x:c r="C377" s="17" t="str">
        <x:v>afterBalance</x:v>
      </x:c>
      <x:c r="D377" s="4" t="str">
        <x:v>9</x:v>
      </x:c>
      <x:c r="E377" s="4" t="str">
        <x:v>Int(分)</x:v>
      </x:c>
      <x:c r="F377" s="4" t="str">
        <x:v>YES</x:v>
      </x:c>
      <x:c r="G377" s="4" t="str">
        <x:v>整数分</x:v>
      </x:c>
      <x:c r="H377" s="17" t="str">
        <x:v>FINANCIAL</x:v>
      </x:c>
      <x:c r="I377" s="17" t="str">
        <x:v>公司财务与必要业务职能；供应商仅本供应商结算视图</x:v>
      </x:c>
      <x:c r="J377" s="17" t="str">
        <x:v>消费者响应仅返回自身交易白名单字段</x:v>
      </x:c>
      <x:c r="K377" s="17" t="str">
        <x:v>DTO白名单；长度/枚举/归属/状态校验；禁止信任客户端派生值</x:v>
      </x:c>
      <x:c r="L377" s="17" t="str">
        <x:v>追加/版本/快照，不覆盖已生效历史</x:v>
      </x:c>
      <x:c r="M377" s="4" t="str">
        <x:v>M3</x:v>
      </x:c>
      <x:c r="N377" s="4" t="str">
        <x:v>P0-055,P0-056,P0-057,P0-058,P0-059</x:v>
      </x:c>
      <x:c r="O377" s="4" t="str">
        <x:v>综合方案§13核心数据模型</x:v>
      </x:c>
      <x:c r="P377" s="4" t="str">
        <x:v>DRAFT_FROM_SCHEME</x:v>
      </x:c>
    </x:row>
    <x:row r="378" ht="23" customHeight="1">
      <x:c r="A378" s="4" t="str">
        <x:v>WelfareCardLedger</x:v>
      </x:c>
      <x:c r="B378" s="4" t="str">
        <x:v>beforeFrozen</x:v>
      </x:c>
      <x:c r="C378" s="17" t="str">
        <x:v>beforeFrozen</x:v>
      </x:c>
      <x:c r="D378" s="4" t="str">
        <x:v>10</x:v>
      </x:c>
      <x:c r="E378" s="4" t="str">
        <x:v>String</x:v>
      </x:c>
      <x:c r="F378" s="4" t="str">
        <x:v>YES</x:v>
      </x:c>
      <x:c r="G378" s="4" t="str">
        <x:v>待M阶段冻结</x:v>
      </x:c>
      <x:c r="H378" s="17" t="str">
        <x:v>FINANCIAL</x:v>
      </x:c>
      <x:c r="I378" s="17" t="str">
        <x:v>公司财务与必要业务职能；供应商仅本供应商结算视图</x:v>
      </x:c>
      <x:c r="J378" s="17" t="str">
        <x:v>消费者响应仅返回自身交易白名单字段</x:v>
      </x:c>
      <x:c r="K378" s="17" t="str">
        <x:v>DTO白名单；长度/枚举/归属/状态校验；禁止信任客户端派生值</x:v>
      </x:c>
      <x:c r="L378" s="17" t="str">
        <x:v>追加/版本/快照，不覆盖已生效历史</x:v>
      </x:c>
      <x:c r="M378" s="4" t="str">
        <x:v>M3</x:v>
      </x:c>
      <x:c r="N378" s="4" t="str">
        <x:v>P0-055,P0-056,P0-057,P0-058,P0-059</x:v>
      </x:c>
      <x:c r="O378" s="4" t="str">
        <x:v>综合方案§13核心数据模型</x:v>
      </x:c>
      <x:c r="P378" s="4" t="str">
        <x:v>DRAFT_FROM_SCHEME</x:v>
      </x:c>
    </x:row>
    <x:row r="379" ht="23" customHeight="1">
      <x:c r="A379" s="4" t="str">
        <x:v>WelfareCardLedger</x:v>
      </x:c>
      <x:c r="B379" s="4" t="str">
        <x:v>afterFrozen</x:v>
      </x:c>
      <x:c r="C379" s="17" t="str">
        <x:v>afterFrozen</x:v>
      </x:c>
      <x:c r="D379" s="4" t="str">
        <x:v>11</x:v>
      </x:c>
      <x:c r="E379" s="4" t="str">
        <x:v>String</x:v>
      </x:c>
      <x:c r="F379" s="4" t="str">
        <x:v>YES</x:v>
      </x:c>
      <x:c r="G379" s="4" t="str">
        <x:v>待M阶段冻结</x:v>
      </x:c>
      <x:c r="H379" s="17" t="str">
        <x:v>FINANCIAL</x:v>
      </x:c>
      <x:c r="I379" s="17" t="str">
        <x:v>公司财务与必要业务职能；供应商仅本供应商结算视图</x:v>
      </x:c>
      <x:c r="J379" s="17" t="str">
        <x:v>消费者响应仅返回自身交易白名单字段</x:v>
      </x:c>
      <x:c r="K379" s="17" t="str">
        <x:v>DTO白名单；长度/枚举/归属/状态校验；禁止信任客户端派生值</x:v>
      </x:c>
      <x:c r="L379" s="17" t="str">
        <x:v>追加/版本/快照，不覆盖已生效历史</x:v>
      </x:c>
      <x:c r="M379" s="4" t="str">
        <x:v>M3</x:v>
      </x:c>
      <x:c r="N379" s="4" t="str">
        <x:v>P0-055,P0-056,P0-057,P0-058,P0-059</x:v>
      </x:c>
      <x:c r="O379" s="4" t="str">
        <x:v>综合方案§13核心数据模型</x:v>
      </x:c>
      <x:c r="P379" s="4" t="str">
        <x:v>DRAFT_FROM_SCHEME</x:v>
      </x:c>
    </x:row>
    <x:row r="380" ht="23" customHeight="1">
      <x:c r="A380" s="4" t="str">
        <x:v>WelfareCardLedger</x:v>
      </x:c>
      <x:c r="B380" s="4" t="str">
        <x:v>idempotencyKey</x:v>
      </x:c>
      <x:c r="C380" s="17" t="str">
        <x:v>idempotencyKey</x:v>
      </x:c>
      <x:c r="D380" s="4" t="str">
        <x:v>12</x:v>
      </x:c>
      <x:c r="E380" s="4" t="str">
        <x:v>String</x:v>
      </x:c>
      <x:c r="F380" s="4" t="str">
        <x:v>YES</x:v>
      </x:c>
      <x:c r="G380" s="4" t="str">
        <x:v>待M阶段冻结</x:v>
      </x:c>
      <x:c r="H380" s="17" t="str">
        <x:v>FINANCIAL</x:v>
      </x:c>
      <x:c r="I380" s="17" t="str">
        <x:v>公司财务与必要业务职能；供应商仅本供应商结算视图</x:v>
      </x:c>
      <x:c r="J380" s="17" t="str">
        <x:v>消费者响应仅返回自身交易白名单字段</x:v>
      </x:c>
      <x:c r="K380" s="17" t="str">
        <x:v>DTO白名单；长度/枚举/归属/状态校验；禁止信任客户端派生值</x:v>
      </x:c>
      <x:c r="L380" s="17" t="str">
        <x:v>追加/版本/快照，不覆盖已生效历史</x:v>
      </x:c>
      <x:c r="M380" s="4" t="str">
        <x:v>M3</x:v>
      </x:c>
      <x:c r="N380" s="4" t="str">
        <x:v>P0-055,P0-056,P0-057,P0-058,P0-059</x:v>
      </x:c>
      <x:c r="O380" s="4" t="str">
        <x:v>综合方案§13核心数据模型</x:v>
      </x:c>
      <x:c r="P380" s="4" t="str">
        <x:v>DRAFT_FROM_SCHEME</x:v>
      </x:c>
    </x:row>
    <x:row r="381" ht="23" customHeight="1">
      <x:c r="A381" s="4" t="str">
        <x:v>WelfareCardLedger</x:v>
      </x:c>
      <x:c r="B381" s="4" t="str">
        <x:v>occurredAt</x:v>
      </x:c>
      <x:c r="C381" s="17" t="str">
        <x:v>occurredAt</x:v>
      </x:c>
      <x:c r="D381" s="4" t="str">
        <x:v>13</x:v>
      </x:c>
      <x:c r="E381" s="4" t="str">
        <x:v>DateTime</x:v>
      </x:c>
      <x:c r="F381" s="4" t="str">
        <x:v>YES</x:v>
      </x:c>
      <x:c r="G381" s="4" t="str">
        <x:v>ISO-8601+明确时区</x:v>
      </x:c>
      <x:c r="H381" s="17" t="str">
        <x:v>FINANCIAL</x:v>
      </x:c>
      <x:c r="I381" s="17" t="str">
        <x:v>公司财务与必要业务职能；供应商仅本供应商结算视图</x:v>
      </x:c>
      <x:c r="J381" s="17" t="str">
        <x:v>消费者响应仅返回自身交易白名单字段</x:v>
      </x:c>
      <x:c r="K381" s="17" t="str">
        <x:v>DTO白名单；长度/枚举/归属/状态校验；禁止信任客户端派生值</x:v>
      </x:c>
      <x:c r="L381" s="17" t="str">
        <x:v>追加/版本/快照，不覆盖已生效历史</x:v>
      </x:c>
      <x:c r="M381" s="4" t="str">
        <x:v>M3</x:v>
      </x:c>
      <x:c r="N381" s="4" t="str">
        <x:v>P0-055,P0-056,P0-057,P0-058,P0-059</x:v>
      </x:c>
      <x:c r="O381" s="4" t="str">
        <x:v>综合方案§13核心数据模型</x:v>
      </x:c>
      <x:c r="P381" s="4" t="str">
        <x:v>DRAFT_FROM_SCHEME</x:v>
      </x:c>
    </x:row>
    <x:row r="382" ht="23" customHeight="1">
      <x:c r="A382" s="4" t="str">
        <x:v>Order</x:v>
      </x:c>
      <x:c r="B382" s="4" t="str">
        <x:v>id</x:v>
      </x:c>
      <x:c r="C382" s="17" t="str">
        <x:v>id</x:v>
      </x:c>
      <x:c r="D382" s="4" t="str">
        <x:v>1</x:v>
      </x:c>
      <x:c r="E382" s="4" t="str">
        <x:v>String/UUID</x:v>
      </x:c>
      <x:c r="F382" s="4" t="str">
        <x:v>YES</x:v>
      </x:c>
      <x:c r="G382" s="4" t="str">
        <x:v>待M阶段冻结</x:v>
      </x:c>
      <x:c r="H382" s="17" t="str">
        <x:v>INTERNAL</x:v>
      </x:c>
      <x:c r="I382" s="17" t="str">
        <x:v>按资源权限与数据域访问；公开DTO另行白名单</x:v>
      </x:c>
      <x:c r="J382" s="17" t="str">
        <x:v>数据库实体不得直接序列化为响应</x:v>
      </x:c>
      <x:c r="K382" s="17" t="str">
        <x:v>DTO白名单；长度/枚举/归属/状态校验；禁止信任客户端派生值</x:v>
      </x:c>
      <x:c r="L382" s="17" t="str">
        <x:v>追加/版本/快照，不覆盖已生效历史</x:v>
      </x:c>
      <x:c r="M382" s="4" t="str">
        <x:v>M3</x:v>
      </x:c>
      <x:c r="N382" s="4" t="str">
        <x:v>P0-022,P0-025,P0-029,P0-062</x:v>
      </x:c>
      <x:c r="O382" s="4" t="str">
        <x:v>综合方案§13核心数据模型</x:v>
      </x:c>
      <x:c r="P382" s="4" t="str">
        <x:v>DRAFT_FROM_SCHEME</x:v>
      </x:c>
    </x:row>
    <x:row r="383" ht="23" customHeight="1">
      <x:c r="A383" s="4" t="str">
        <x:v>Order</x:v>
      </x:c>
      <x:c r="B383" s="4" t="str">
        <x:v>orderNo</x:v>
      </x:c>
      <x:c r="C383" s="17" t="str">
        <x:v>orderNo</x:v>
      </x:c>
      <x:c r="D383" s="4" t="str">
        <x:v>2</x:v>
      </x:c>
      <x:c r="E383" s="4" t="str">
        <x:v>String</x:v>
      </x:c>
      <x:c r="F383" s="4" t="str">
        <x:v>YES</x:v>
      </x:c>
      <x:c r="G383" s="4" t="str">
        <x:v>待M阶段冻结</x:v>
      </x:c>
      <x:c r="H383" s="17" t="str">
        <x:v>INTERNAL</x:v>
      </x:c>
      <x:c r="I383" s="17" t="str">
        <x:v>按资源权限与数据域访问；公开DTO另行白名单</x:v>
      </x:c>
      <x:c r="J383" s="17" t="str">
        <x:v>数据库实体不得直接序列化为响应</x:v>
      </x:c>
      <x:c r="K383" s="17" t="str">
        <x:v>DTO白名单；长度/枚举/归属/状态校验；禁止信任客户端派生值</x:v>
      </x:c>
      <x:c r="L383" s="17" t="str">
        <x:v>追加/版本/快照，不覆盖已生效历史</x:v>
      </x:c>
      <x:c r="M383" s="4" t="str">
        <x:v>M3</x:v>
      </x:c>
      <x:c r="N383" s="4" t="str">
        <x:v>P0-022,P0-025,P0-029,P0-062</x:v>
      </x:c>
      <x:c r="O383" s="4" t="str">
        <x:v>综合方案§13核心数据模型</x:v>
      </x:c>
      <x:c r="P383" s="4" t="str">
        <x:v>DRAFT_FROM_SCHEME</x:v>
      </x:c>
    </x:row>
    <x:row r="384" ht="23" customHeight="1">
      <x:c r="A384" s="4" t="str">
        <x:v>Order</x:v>
      </x:c>
      <x:c r="B384" s="4" t="str">
        <x:v>companyId</x:v>
      </x:c>
      <x:c r="C384" s="17" t="str">
        <x:v>companyId</x:v>
      </x:c>
      <x:c r="D384" s="4" t="str">
        <x:v>3</x:v>
      </x:c>
      <x:c r="E384" s="4" t="str">
        <x:v>String/UUID</x:v>
      </x:c>
      <x:c r="F384" s="4" t="str">
        <x:v>YES</x:v>
      </x:c>
      <x:c r="G384" s="4" t="str">
        <x:v>待M阶段冻结</x:v>
      </x:c>
      <x:c r="H384" s="17" t="str">
        <x:v>INTERNAL</x:v>
      </x:c>
      <x:c r="I384" s="17" t="str">
        <x:v>按资源权限与数据域访问；公开DTO另行白名单</x:v>
      </x:c>
      <x:c r="J384" s="17" t="str">
        <x:v>数据库实体不得直接序列化为响应</x:v>
      </x:c>
      <x:c r="K384" s="17" t="str">
        <x:v>DTO白名单；长度/枚举/归属/状态校验；禁止信任客户端派生值</x:v>
      </x:c>
      <x:c r="L384" s="17" t="str">
        <x:v>追加/版本/快照，不覆盖已生效历史</x:v>
      </x:c>
      <x:c r="M384" s="4" t="str">
        <x:v>M3</x:v>
      </x:c>
      <x:c r="N384" s="4" t="str">
        <x:v>P0-022,P0-025,P0-029,P0-062</x:v>
      </x:c>
      <x:c r="O384" s="4" t="str">
        <x:v>综合方案§13核心数据模型</x:v>
      </x:c>
      <x:c r="P384" s="4" t="str">
        <x:v>DRAFT_FROM_SCHEME</x:v>
      </x:c>
    </x:row>
    <x:row r="385" ht="23" customHeight="1">
      <x:c r="A385" s="4" t="str">
        <x:v>Order</x:v>
      </x:c>
      <x:c r="B385" s="4" t="str">
        <x:v>consumerUserId</x:v>
      </x:c>
      <x:c r="C385" s="17" t="str">
        <x:v>consumerUserId?</x:v>
      </x:c>
      <x:c r="D385" s="4" t="str">
        <x:v>4</x:v>
      </x:c>
      <x:c r="E385" s="4" t="str">
        <x:v>String/UUID</x:v>
      </x:c>
      <x:c r="F385" s="4" t="str">
        <x:v>NO</x:v>
      </x:c>
      <x:c r="G385" s="4" t="str">
        <x:v>待M阶段冻结</x:v>
      </x:c>
      <x:c r="H385" s="17" t="str">
        <x:v>INTERNAL</x:v>
      </x:c>
      <x:c r="I385" s="17" t="str">
        <x:v>按资源权限与数据域访问；公开DTO另行白名单</x:v>
      </x:c>
      <x:c r="J385" s="17" t="str">
        <x:v>数据库实体不得直接序列化为响应</x:v>
      </x:c>
      <x:c r="K385" s="17" t="str">
        <x:v>DTO白名单；长度/枚举/归属/状态校验；禁止信任客户端派生值</x:v>
      </x:c>
      <x:c r="L385" s="17" t="str">
        <x:v>追加/版本/快照，不覆盖已生效历史</x:v>
      </x:c>
      <x:c r="M385" s="4" t="str">
        <x:v>M3</x:v>
      </x:c>
      <x:c r="N385" s="4" t="str">
        <x:v>P0-022,P0-025,P0-029,P0-062</x:v>
      </x:c>
      <x:c r="O385" s="4" t="str">
        <x:v>综合方案§13核心数据模型</x:v>
      </x:c>
      <x:c r="P385" s="4" t="str">
        <x:v>DRAFT_FROM_SCHEME</x:v>
      </x:c>
    </x:row>
    <x:row r="386" ht="23" customHeight="1">
      <x:c r="A386" s="4" t="str">
        <x:v>Order</x:v>
      </x:c>
      <x:c r="B386" s="4" t="str">
        <x:v>enterpriseCustomerId</x:v>
      </x:c>
      <x:c r="C386" s="17" t="str">
        <x:v>enterpriseCustomerId?</x:v>
      </x:c>
      <x:c r="D386" s="4" t="str">
        <x:v>5</x:v>
      </x:c>
      <x:c r="E386" s="4" t="str">
        <x:v>String/UUID</x:v>
      </x:c>
      <x:c r="F386" s="4" t="str">
        <x:v>NO</x:v>
      </x:c>
      <x:c r="G386" s="4" t="str">
        <x:v>待M阶段冻结</x:v>
      </x:c>
      <x:c r="H386" s="17" t="str">
        <x:v>INTERNAL</x:v>
      </x:c>
      <x:c r="I386" s="17" t="str">
        <x:v>按资源权限与数据域访问；公开DTO另行白名单</x:v>
      </x:c>
      <x:c r="J386" s="17" t="str">
        <x:v>数据库实体不得直接序列化为响应</x:v>
      </x:c>
      <x:c r="K386" s="17" t="str">
        <x:v>DTO白名单；长度/枚举/归属/状态校验；禁止信任客户端派生值</x:v>
      </x:c>
      <x:c r="L386" s="17" t="str">
        <x:v>追加/版本/快照，不覆盖已生效历史</x:v>
      </x:c>
      <x:c r="M386" s="4" t="str">
        <x:v>M3</x:v>
      </x:c>
      <x:c r="N386" s="4" t="str">
        <x:v>P0-022,P0-025,P0-029,P0-062</x:v>
      </x:c>
      <x:c r="O386" s="4" t="str">
        <x:v>综合方案§13核心数据模型</x:v>
      </x:c>
      <x:c r="P386" s="4" t="str">
        <x:v>DRAFT_FROM_SCHEME</x:v>
      </x:c>
    </x:row>
    <x:row r="387" ht="23" customHeight="1">
      <x:c r="A387" s="4" t="str">
        <x:v>Order</x:v>
      </x:c>
      <x:c r="B387" s="4" t="str">
        <x:v>orderType</x:v>
      </x:c>
      <x:c r="C387" s="17" t="str">
        <x:v>orderType</x:v>
      </x:c>
      <x:c r="D387" s="4" t="str">
        <x:v>6</x:v>
      </x:c>
      <x:c r="E387" s="4" t="str">
        <x:v>Enum/String</x:v>
      </x:c>
      <x:c r="F387" s="4" t="str">
        <x:v>YES</x:v>
      </x:c>
      <x:c r="G387" s="4" t="str">
        <x:v>待M阶段冻结</x:v>
      </x:c>
      <x:c r="H387" s="17" t="str">
        <x:v>INTERNAL</x:v>
      </x:c>
      <x:c r="I387" s="17" t="str">
        <x:v>按资源权限与数据域访问；公开DTO另行白名单</x:v>
      </x:c>
      <x:c r="J387" s="17" t="str">
        <x:v>数据库实体不得直接序列化为响应</x:v>
      </x:c>
      <x:c r="K387" s="17" t="str">
        <x:v>DTO白名单；长度/枚举/归属/状态校验；禁止信任客户端派生值</x:v>
      </x:c>
      <x:c r="L387" s="17" t="str">
        <x:v>追加/版本/快照，不覆盖已生效历史</x:v>
      </x:c>
      <x:c r="M387" s="4" t="str">
        <x:v>M3</x:v>
      </x:c>
      <x:c r="N387" s="4" t="str">
        <x:v>P0-022,P0-025,P0-029,P0-062</x:v>
      </x:c>
      <x:c r="O387" s="4" t="str">
        <x:v>综合方案§13核心数据模型</x:v>
      </x:c>
      <x:c r="P387" s="4" t="str">
        <x:v>DRAFT_FROM_SCHEME</x:v>
      </x:c>
    </x:row>
    <x:row r="388" ht="23" customHeight="1">
      <x:c r="A388" s="4" t="str">
        <x:v>Order</x:v>
      </x:c>
      <x:c r="B388" s="4" t="str">
        <x:v>goodsAmount</x:v>
      </x:c>
      <x:c r="C388" s="17" t="str">
        <x:v>goodsAmount</x:v>
      </x:c>
      <x:c r="D388" s="4" t="str">
        <x:v>7</x:v>
      </x:c>
      <x:c r="E388" s="4" t="str">
        <x:v>Int(分)</x:v>
      </x:c>
      <x:c r="F388" s="4" t="str">
        <x:v>YES</x:v>
      </x:c>
      <x:c r="G388" s="4" t="str">
        <x:v>整数分</x:v>
      </x:c>
      <x:c r="H388" s="17" t="str">
        <x:v>FINANCIAL</x:v>
      </x:c>
      <x:c r="I388" s="17" t="str">
        <x:v>公司财务与必要业务职能；供应商仅本供应商结算视图</x:v>
      </x:c>
      <x:c r="J388" s="17" t="str">
        <x:v>消费者响应仅返回自身交易白名单字段</x:v>
      </x:c>
      <x:c r="K388" s="17" t="str">
        <x:v>DTO白名单；长度/枚举/归属/状态校验；禁止信任客户端派生值</x:v>
      </x:c>
      <x:c r="L388" s="17" t="str">
        <x:v>追加/版本/快照，不覆盖已生效历史</x:v>
      </x:c>
      <x:c r="M388" s="4" t="str">
        <x:v>M3</x:v>
      </x:c>
      <x:c r="N388" s="4" t="str">
        <x:v>P0-022,P0-025,P0-029,P0-062</x:v>
      </x:c>
      <x:c r="O388" s="4" t="str">
        <x:v>综合方案§13核心数据模型</x:v>
      </x:c>
      <x:c r="P388" s="4" t="str">
        <x:v>DRAFT_FROM_SCHEME</x:v>
      </x:c>
    </x:row>
    <x:row r="389" ht="23" customHeight="1">
      <x:c r="A389" s="4" t="str">
        <x:v>Order</x:v>
      </x:c>
      <x:c r="B389" s="4" t="str">
        <x:v>deliveryFee</x:v>
      </x:c>
      <x:c r="C389" s="17" t="str">
        <x:v>deliveryFee</x:v>
      </x:c>
      <x:c r="D389" s="4" t="str">
        <x:v>8</x:v>
      </x:c>
      <x:c r="E389" s="4" t="str">
        <x:v>Int(分)</x:v>
      </x:c>
      <x:c r="F389" s="4" t="str">
        <x:v>YES</x:v>
      </x:c>
      <x:c r="G389" s="4" t="str">
        <x:v>整数分</x:v>
      </x:c>
      <x:c r="H389" s="17" t="str">
        <x:v>INTERNAL</x:v>
      </x:c>
      <x:c r="I389" s="17" t="str">
        <x:v>按资源权限与数据域访问；公开DTO另行白名单</x:v>
      </x:c>
      <x:c r="J389" s="17" t="str">
        <x:v>数据库实体不得直接序列化为响应</x:v>
      </x:c>
      <x:c r="K389" s="17" t="str">
        <x:v>DTO白名单；长度/枚举/归属/状态校验；禁止信任客户端派生值</x:v>
      </x:c>
      <x:c r="L389" s="17" t="str">
        <x:v>追加/版本/快照，不覆盖已生效历史</x:v>
      </x:c>
      <x:c r="M389" s="4" t="str">
        <x:v>M3</x:v>
      </x:c>
      <x:c r="N389" s="4" t="str">
        <x:v>P0-022,P0-025,P0-029,P0-062</x:v>
      </x:c>
      <x:c r="O389" s="4" t="str">
        <x:v>综合方案§13核心数据模型</x:v>
      </x:c>
      <x:c r="P389" s="4" t="str">
        <x:v>DRAFT_FROM_SCHEME</x:v>
      </x:c>
    </x:row>
    <x:row r="390" ht="23" customHeight="1">
      <x:c r="A390" s="4" t="str">
        <x:v>Order</x:v>
      </x:c>
      <x:c r="B390" s="4" t="str">
        <x:v>discountAmount</x:v>
      </x:c>
      <x:c r="C390" s="17" t="str">
        <x:v>discountAmount</x:v>
      </x:c>
      <x:c r="D390" s="4" t="str">
        <x:v>9</x:v>
      </x:c>
      <x:c r="E390" s="4" t="str">
        <x:v>Int(分)</x:v>
      </x:c>
      <x:c r="F390" s="4" t="str">
        <x:v>YES</x:v>
      </x:c>
      <x:c r="G390" s="4" t="str">
        <x:v>整数分</x:v>
      </x:c>
      <x:c r="H390" s="17" t="str">
        <x:v>FINANCIAL</x:v>
      </x:c>
      <x:c r="I390" s="17" t="str">
        <x:v>公司财务与必要业务职能；供应商仅本供应商结算视图</x:v>
      </x:c>
      <x:c r="J390" s="17" t="str">
        <x:v>消费者响应仅返回自身交易白名单字段</x:v>
      </x:c>
      <x:c r="K390" s="17" t="str">
        <x:v>DTO白名单；长度/枚举/归属/状态校验；禁止信任客户端派生值</x:v>
      </x:c>
      <x:c r="L390" s="17" t="str">
        <x:v>追加/版本/快照，不覆盖已生效历史</x:v>
      </x:c>
      <x:c r="M390" s="4" t="str">
        <x:v>M3</x:v>
      </x:c>
      <x:c r="N390" s="4" t="str">
        <x:v>P0-022,P0-025,P0-029,P0-062</x:v>
      </x:c>
      <x:c r="O390" s="4" t="str">
        <x:v>综合方案§13核心数据模型</x:v>
      </x:c>
      <x:c r="P390" s="4" t="str">
        <x:v>DRAFT_FROM_SCHEME</x:v>
      </x:c>
    </x:row>
    <x:row r="391" ht="23" customHeight="1">
      <x:c r="A391" s="4" t="str">
        <x:v>Order</x:v>
      </x:c>
      <x:c r="B391" s="4" t="str">
        <x:v>totalAmount</x:v>
      </x:c>
      <x:c r="C391" s="17" t="str">
        <x:v>totalAmount</x:v>
      </x:c>
      <x:c r="D391" s="4" t="str">
        <x:v>10</x:v>
      </x:c>
      <x:c r="E391" s="4" t="str">
        <x:v>Int(分)</x:v>
      </x:c>
      <x:c r="F391" s="4" t="str">
        <x:v>YES</x:v>
      </x:c>
      <x:c r="G391" s="4" t="str">
        <x:v>整数分</x:v>
      </x:c>
      <x:c r="H391" s="17" t="str">
        <x:v>FINANCIAL</x:v>
      </x:c>
      <x:c r="I391" s="17" t="str">
        <x:v>公司财务与必要业务职能；供应商仅本供应商结算视图</x:v>
      </x:c>
      <x:c r="J391" s="17" t="str">
        <x:v>消费者响应仅返回自身交易白名单字段</x:v>
      </x:c>
      <x:c r="K391" s="17" t="str">
        <x:v>DTO白名单；长度/枚举/归属/状态校验；禁止信任客户端派生值</x:v>
      </x:c>
      <x:c r="L391" s="17" t="str">
        <x:v>追加/版本/快照，不覆盖已生效历史</x:v>
      </x:c>
      <x:c r="M391" s="4" t="str">
        <x:v>M3</x:v>
      </x:c>
      <x:c r="N391" s="4" t="str">
        <x:v>P0-022,P0-025,P0-029,P0-062</x:v>
      </x:c>
      <x:c r="O391" s="4" t="str">
        <x:v>综合方案§13核心数据模型</x:v>
      </x:c>
      <x:c r="P391" s="4" t="str">
        <x:v>DRAFT_FROM_SCHEME</x:v>
      </x:c>
    </x:row>
    <x:row r="392" ht="23" customHeight="1">
      <x:c r="A392" s="4" t="str">
        <x:v>Order</x:v>
      </x:c>
      <x:c r="B392" s="4" t="str">
        <x:v>welfareCardAccountId</x:v>
      </x:c>
      <x:c r="C392" s="17" t="str">
        <x:v>welfareCardAccountId</x:v>
      </x:c>
      <x:c r="D392" s="4" t="str">
        <x:v>11</x:v>
      </x:c>
      <x:c r="E392" s="4" t="str">
        <x:v>String/UUID</x:v>
      </x:c>
      <x:c r="F392" s="4" t="str">
        <x:v>YES</x:v>
      </x:c>
      <x:c r="G392" s="4" t="str">
        <x:v>待M阶段冻结</x:v>
      </x:c>
      <x:c r="H392" s="17" t="str">
        <x:v>INTERNAL</x:v>
      </x:c>
      <x:c r="I392" s="17" t="str">
        <x:v>按资源权限与数据域访问；公开DTO另行白名单</x:v>
      </x:c>
      <x:c r="J392" s="17" t="str">
        <x:v>数据库实体不得直接序列化为响应</x:v>
      </x:c>
      <x:c r="K392" s="17" t="str">
        <x:v>DTO白名单；长度/枚举/归属/状态校验；禁止信任客户端派生值</x:v>
      </x:c>
      <x:c r="L392" s="17" t="str">
        <x:v>追加/版本/快照，不覆盖已生效历史</x:v>
      </x:c>
      <x:c r="M392" s="4" t="str">
        <x:v>M3</x:v>
      </x:c>
      <x:c r="N392" s="4" t="str">
        <x:v>P0-022,P0-025,P0-029,P0-062</x:v>
      </x:c>
      <x:c r="O392" s="4" t="str">
        <x:v>综合方案§13核心数据模型</x:v>
      </x:c>
      <x:c r="P392" s="4" t="str">
        <x:v>DRAFT_FROM_SCHEME</x:v>
      </x:c>
    </x:row>
    <x:row r="393" ht="23" customHeight="1">
      <x:c r="A393" s="4" t="str">
        <x:v>Order</x:v>
      </x:c>
      <x:c r="B393" s="4" t="str">
        <x:v>welfareCardAmount</x:v>
      </x:c>
      <x:c r="C393" s="17" t="str">
        <x:v>welfareCardAmount</x:v>
      </x:c>
      <x:c r="D393" s="4" t="str">
        <x:v>12</x:v>
      </x:c>
      <x:c r="E393" s="4" t="str">
        <x:v>Int(分)</x:v>
      </x:c>
      <x:c r="F393" s="4" t="str">
        <x:v>YES</x:v>
      </x:c>
      <x:c r="G393" s="4" t="str">
        <x:v>整数分</x:v>
      </x:c>
      <x:c r="H393" s="17" t="str">
        <x:v>FINANCIAL</x:v>
      </x:c>
      <x:c r="I393" s="17" t="str">
        <x:v>公司财务与必要业务职能；供应商仅本供应商结算视图</x:v>
      </x:c>
      <x:c r="J393" s="17" t="str">
        <x:v>消费者响应仅返回自身交易白名单字段</x:v>
      </x:c>
      <x:c r="K393" s="17" t="str">
        <x:v>DTO白名单；长度/枚举/归属/状态校验；禁止信任客户端派生值</x:v>
      </x:c>
      <x:c r="L393" s="17" t="str">
        <x:v>追加/版本/快照，不覆盖已生效历史</x:v>
      </x:c>
      <x:c r="M393" s="4" t="str">
        <x:v>M3</x:v>
      </x:c>
      <x:c r="N393" s="4" t="str">
        <x:v>P0-022,P0-025,P0-029,P0-062</x:v>
      </x:c>
      <x:c r="O393" s="4" t="str">
        <x:v>综合方案§13核心数据模型</x:v>
      </x:c>
      <x:c r="P393" s="4" t="str">
        <x:v>DRAFT_FROM_SCHEME</x:v>
      </x:c>
    </x:row>
    <x:row r="394" ht="23" customHeight="1">
      <x:c r="A394" s="4" t="str">
        <x:v>Order</x:v>
      </x:c>
      <x:c r="B394" s="4" t="str">
        <x:v>cashAmount</x:v>
      </x:c>
      <x:c r="C394" s="17" t="str">
        <x:v>cashAmount</x:v>
      </x:c>
      <x:c r="D394" s="4" t="str">
        <x:v>13</x:v>
      </x:c>
      <x:c r="E394" s="4" t="str">
        <x:v>Int(分)</x:v>
      </x:c>
      <x:c r="F394" s="4" t="str">
        <x:v>YES</x:v>
      </x:c>
      <x:c r="G394" s="4" t="str">
        <x:v>整数分</x:v>
      </x:c>
      <x:c r="H394" s="17" t="str">
        <x:v>FINANCIAL</x:v>
      </x:c>
      <x:c r="I394" s="17" t="str">
        <x:v>公司财务与必要业务职能；供应商仅本供应商结算视图</x:v>
      </x:c>
      <x:c r="J394" s="17" t="str">
        <x:v>消费者响应仅返回自身交易白名单字段</x:v>
      </x:c>
      <x:c r="K394" s="17" t="str">
        <x:v>DTO白名单；长度/枚举/归属/状态校验；禁止信任客户端派生值</x:v>
      </x:c>
      <x:c r="L394" s="17" t="str">
        <x:v>追加/版本/快照，不覆盖已生效历史</x:v>
      </x:c>
      <x:c r="M394" s="4" t="str">
        <x:v>M3</x:v>
      </x:c>
      <x:c r="N394" s="4" t="str">
        <x:v>P0-022,P0-025,P0-029,P0-062</x:v>
      </x:c>
      <x:c r="O394" s="4" t="str">
        <x:v>综合方案§13核心数据模型</x:v>
      </x:c>
      <x:c r="P394" s="4" t="str">
        <x:v>DRAFT_FROM_SCHEME</x:v>
      </x:c>
    </x:row>
    <x:row r="395" ht="23" customHeight="1">
      <x:c r="A395" s="4" t="str">
        <x:v>Order</x:v>
      </x:c>
      <x:c r="B395" s="4" t="str">
        <x:v>externalPaymentMethod</x:v>
      </x:c>
      <x:c r="C395" s="17" t="str">
        <x:v>externalPaymentMethod(WECHAT_PAY|BANK_TRANSFER)?</x:v>
      </x:c>
      <x:c r="D395" s="4" t="str">
        <x:v>14</x:v>
      </x:c>
      <x:c r="E395" s="4" t="str">
        <x:v>Enum</x:v>
      </x:c>
      <x:c r="F395" s="4" t="str">
        <x:v>NO</x:v>
      </x:c>
      <x:c r="G395" s="4" t="str">
        <x:v>待M阶段冻结</x:v>
      </x:c>
      <x:c r="H395" s="17" t="str">
        <x:v>FINANCIAL</x:v>
      </x:c>
      <x:c r="I395" s="17" t="str">
        <x:v>公司财务与必要业务职能；供应商仅本供应商结算视图</x:v>
      </x:c>
      <x:c r="J395" s="17" t="str">
        <x:v>消费者响应仅返回自身交易白名单字段</x:v>
      </x:c>
      <x:c r="K395" s="17" t="str">
        <x:v>DTO白名单；长度/枚举/归属/状态校验；禁止信任客户端派生值</x:v>
      </x:c>
      <x:c r="L395" s="17" t="str">
        <x:v>追加/版本/快照，不覆盖已生效历史</x:v>
      </x:c>
      <x:c r="M395" s="4" t="str">
        <x:v>M3</x:v>
      </x:c>
      <x:c r="N395" s="4" t="str">
        <x:v>P0-022,P0-025,P0-029,P0-062</x:v>
      </x:c>
      <x:c r="O395" s="4" t="str">
        <x:v>综合方案§13核心数据模型</x:v>
      </x:c>
      <x:c r="P395" s="4" t="str">
        <x:v>DRAFT_FROM_SCHEME</x:v>
      </x:c>
    </x:row>
    <x:row r="396" ht="23" customHeight="1">
      <x:c r="A396" s="4" t="str">
        <x:v>Order</x:v>
      </x:c>
      <x:c r="B396" s="4" t="str">
        <x:v>paymentStatus</x:v>
      </x:c>
      <x:c r="C396" s="17" t="str">
        <x:v>paymentStatus</x:v>
      </x:c>
      <x:c r="D396" s="4" t="str">
        <x:v>15</x:v>
      </x:c>
      <x:c r="E396" s="4" t="str">
        <x:v>Enum/String</x:v>
      </x:c>
      <x:c r="F396" s="4" t="str">
        <x:v>YES</x:v>
      </x:c>
      <x:c r="G396" s="4" t="str">
        <x:v>待M阶段冻结</x:v>
      </x:c>
      <x:c r="H396" s="17" t="str">
        <x:v>FINANCIAL</x:v>
      </x:c>
      <x:c r="I396" s="17" t="str">
        <x:v>公司财务与必要业务职能；供应商仅本供应商结算视图</x:v>
      </x:c>
      <x:c r="J396" s="17" t="str">
        <x:v>消费者响应仅返回自身交易白名单字段</x:v>
      </x:c>
      <x:c r="K396" s="17" t="str">
        <x:v>DTO白名单；长度/枚举/归属/状态校验；禁止信任客户端派生值</x:v>
      </x:c>
      <x:c r="L396" s="17" t="str">
        <x:v>追加/版本/快照，不覆盖已生效历史</x:v>
      </x:c>
      <x:c r="M396" s="4" t="str">
        <x:v>M3</x:v>
      </x:c>
      <x:c r="N396" s="4" t="str">
        <x:v>P0-022,P0-025,P0-029,P0-062</x:v>
      </x:c>
      <x:c r="O396" s="4" t="str">
        <x:v>综合方案§13核心数据模型</x:v>
      </x:c>
      <x:c r="P396" s="4" t="str">
        <x:v>DRAFT_FROM_SCHEME</x:v>
      </x:c>
    </x:row>
    <x:row r="397" ht="23" customHeight="1">
      <x:c r="A397" s="4" t="str">
        <x:v>Order</x:v>
      </x:c>
      <x:c r="B397" s="4" t="str">
        <x:v>orderStatus</x:v>
      </x:c>
      <x:c r="C397" s="17" t="str">
        <x:v>orderStatus</x:v>
      </x:c>
      <x:c r="D397" s="4" t="str">
        <x:v>16</x:v>
      </x:c>
      <x:c r="E397" s="4" t="str">
        <x:v>Enum/String</x:v>
      </x:c>
      <x:c r="F397" s="4" t="str">
        <x:v>YES</x:v>
      </x:c>
      <x:c r="G397" s="4" t="str">
        <x:v>待M阶段冻结</x:v>
      </x:c>
      <x:c r="H397" s="17" t="str">
        <x:v>INTERNAL</x:v>
      </x:c>
      <x:c r="I397" s="17" t="str">
        <x:v>按资源权限与数据域访问；公开DTO另行白名单</x:v>
      </x:c>
      <x:c r="J397" s="17" t="str">
        <x:v>数据库实体不得直接序列化为响应</x:v>
      </x:c>
      <x:c r="K397" s="17" t="str">
        <x:v>DTO白名单；长度/枚举/归属/状态校验；禁止信任客户端派生值</x:v>
      </x:c>
      <x:c r="L397" s="17" t="str">
        <x:v>追加/版本/快照，不覆盖已生效历史</x:v>
      </x:c>
      <x:c r="M397" s="4" t="str">
        <x:v>M3</x:v>
      </x:c>
      <x:c r="N397" s="4" t="str">
        <x:v>P0-022,P0-025,P0-029,P0-062</x:v>
      </x:c>
      <x:c r="O397" s="4" t="str">
        <x:v>综合方案§13核心数据模型</x:v>
      </x:c>
      <x:c r="P397" s="4" t="str">
        <x:v>DRAFT_FROM_SCHEME</x:v>
      </x:c>
    </x:row>
    <x:row r="398" ht="23" customHeight="1">
      <x:c r="A398" s="4" t="str">
        <x:v>Order</x:v>
      </x:c>
      <x:c r="B398" s="4" t="str">
        <x:v>idempotencyKey</x:v>
      </x:c>
      <x:c r="C398" s="17" t="str">
        <x:v>idempotencyKey</x:v>
      </x:c>
      <x:c r="D398" s="4" t="str">
        <x:v>17</x:v>
      </x:c>
      <x:c r="E398" s="4" t="str">
        <x:v>String</x:v>
      </x:c>
      <x:c r="F398" s="4" t="str">
        <x:v>YES</x:v>
      </x:c>
      <x:c r="G398" s="4" t="str">
        <x:v>待M阶段冻结</x:v>
      </x:c>
      <x:c r="H398" s="17" t="str">
        <x:v>INTERNAL</x:v>
      </x:c>
      <x:c r="I398" s="17" t="str">
        <x:v>按资源权限与数据域访问；公开DTO另行白名单</x:v>
      </x:c>
      <x:c r="J398" s="17" t="str">
        <x:v>数据库实体不得直接序列化为响应</x:v>
      </x:c>
      <x:c r="K398" s="17" t="str">
        <x:v>DTO白名单；长度/枚举/归属/状态校验；禁止信任客户端派生值</x:v>
      </x:c>
      <x:c r="L398" s="17" t="str">
        <x:v>追加/版本/快照，不覆盖已生效历史</x:v>
      </x:c>
      <x:c r="M398" s="4" t="str">
        <x:v>M3</x:v>
      </x:c>
      <x:c r="N398" s="4" t="str">
        <x:v>P0-022,P0-025,P0-029,P0-062</x:v>
      </x:c>
      <x:c r="O398" s="4" t="str">
        <x:v>综合方案§13核心数据模型</x:v>
      </x:c>
      <x:c r="P398" s="4" t="str">
        <x:v>DRAFT_FROM_SCHEME</x:v>
      </x:c>
    </x:row>
    <x:row r="399" ht="23" customHeight="1">
      <x:c r="A399" s="4" t="str">
        <x:v>OrderItem</x:v>
      </x:c>
      <x:c r="B399" s="4" t="str">
        <x:v>id</x:v>
      </x:c>
      <x:c r="C399" s="17" t="str">
        <x:v>id</x:v>
      </x:c>
      <x:c r="D399" s="4" t="str">
        <x:v>1</x:v>
      </x:c>
      <x:c r="E399" s="4" t="str">
        <x:v>String/UUID</x:v>
      </x:c>
      <x:c r="F399" s="4" t="str">
        <x:v>YES</x:v>
      </x:c>
      <x:c r="G399" s="4" t="str">
        <x:v>待M阶段冻结</x:v>
      </x:c>
      <x:c r="H399" s="17" t="str">
        <x:v>INTERNAL</x:v>
      </x:c>
      <x:c r="I399" s="17" t="str">
        <x:v>按资源权限与数据域访问；公开DTO另行白名单</x:v>
      </x:c>
      <x:c r="J399" s="17" t="str">
        <x:v>数据库实体不得直接序列化为响应</x:v>
      </x:c>
      <x:c r="K399" s="17" t="str">
        <x:v>DTO白名单；长度/枚举/归属/状态校验；禁止信任客户端派生值</x:v>
      </x:c>
      <x:c r="L399" s="17" t="str">
        <x:v>追加/版本/快照，不覆盖已生效历史</x:v>
      </x:c>
      <x:c r="M399" s="4" t="str">
        <x:v>M3</x:v>
      </x:c>
      <x:c r="N399" s="4" t="str">
        <x:v>P0-021,P0-022,P0-065</x:v>
      </x:c>
      <x:c r="O399" s="4" t="str">
        <x:v>综合方案§13核心数据模型</x:v>
      </x:c>
      <x:c r="P399" s="4" t="str">
        <x:v>DRAFT_FROM_SCHEME</x:v>
      </x:c>
    </x:row>
    <x:row r="400" ht="23" customHeight="1">
      <x:c r="A400" s="4" t="str">
        <x:v>OrderItem</x:v>
      </x:c>
      <x:c r="B400" s="4" t="str">
        <x:v>orderId</x:v>
      </x:c>
      <x:c r="C400" s="17" t="str">
        <x:v>orderId</x:v>
      </x:c>
      <x:c r="D400" s="4" t="str">
        <x:v>2</x:v>
      </x:c>
      <x:c r="E400" s="4" t="str">
        <x:v>String/UUID</x:v>
      </x:c>
      <x:c r="F400" s="4" t="str">
        <x:v>YES</x:v>
      </x:c>
      <x:c r="G400" s="4" t="str">
        <x:v>待M阶段冻结</x:v>
      </x:c>
      <x:c r="H400" s="17" t="str">
        <x:v>INTERNAL</x:v>
      </x:c>
      <x:c r="I400" s="17" t="str">
        <x:v>按资源权限与数据域访问；公开DTO另行白名单</x:v>
      </x:c>
      <x:c r="J400" s="17" t="str">
        <x:v>数据库实体不得直接序列化为响应</x:v>
      </x:c>
      <x:c r="K400" s="17" t="str">
        <x:v>DTO白名单；长度/枚举/归属/状态校验；禁止信任客户端派生值</x:v>
      </x:c>
      <x:c r="L400" s="17" t="str">
        <x:v>追加/版本/快照，不覆盖已生效历史</x:v>
      </x:c>
      <x:c r="M400" s="4" t="str">
        <x:v>M3</x:v>
      </x:c>
      <x:c r="N400" s="4" t="str">
        <x:v>P0-021,P0-022,P0-065</x:v>
      </x:c>
      <x:c r="O400" s="4" t="str">
        <x:v>综合方案§13核心数据模型</x:v>
      </x:c>
      <x:c r="P400" s="4" t="str">
        <x:v>DRAFT_FROM_SCHEME</x:v>
      </x:c>
    </x:row>
    <x:row r="401" ht="23" customHeight="1">
      <x:c r="A401" s="4" t="str">
        <x:v>OrderItem</x:v>
      </x:c>
      <x:c r="B401" s="4" t="str">
        <x:v>supplierId</x:v>
      </x:c>
      <x:c r="C401" s="17" t="str">
        <x:v>supplierId</x:v>
      </x:c>
      <x:c r="D401" s="4" t="str">
        <x:v>3</x:v>
      </x:c>
      <x:c r="E401" s="4" t="str">
        <x:v>String/UUID</x:v>
      </x:c>
      <x:c r="F401" s="4" t="str">
        <x:v>YES</x:v>
      </x:c>
      <x:c r="G401" s="4" t="str">
        <x:v>待M阶段冻结</x:v>
      </x:c>
      <x:c r="H401" s="17" t="str">
        <x:v>INTERNAL</x:v>
      </x:c>
      <x:c r="I401" s="17" t="str">
        <x:v>按资源权限与数据域访问；公开DTO另行白名单</x:v>
      </x:c>
      <x:c r="J401" s="17" t="str">
        <x:v>数据库实体不得直接序列化为响应</x:v>
      </x:c>
      <x:c r="K401" s="17" t="str">
        <x:v>DTO白名单；长度/枚举/归属/状态校验；禁止信任客户端派生值</x:v>
      </x:c>
      <x:c r="L401" s="17" t="str">
        <x:v>追加/版本/快照，不覆盖已生效历史</x:v>
      </x:c>
      <x:c r="M401" s="4" t="str">
        <x:v>M3</x:v>
      </x:c>
      <x:c r="N401" s="4" t="str">
        <x:v>P0-021,P0-022,P0-065</x:v>
      </x:c>
      <x:c r="O401" s="4" t="str">
        <x:v>综合方案§13核心数据模型</x:v>
      </x:c>
      <x:c r="P401" s="4" t="str">
        <x:v>DRAFT_FROM_SCHEME</x:v>
      </x:c>
    </x:row>
    <x:row r="402" ht="23" customHeight="1">
      <x:c r="A402" s="4" t="str">
        <x:v>OrderItem</x:v>
      </x:c>
      <x:c r="B402" s="4" t="str">
        <x:v>productId</x:v>
      </x:c>
      <x:c r="C402" s="17" t="str">
        <x:v>productId</x:v>
      </x:c>
      <x:c r="D402" s="4" t="str">
        <x:v>4</x:v>
      </x:c>
      <x:c r="E402" s="4" t="str">
        <x:v>String/UUID</x:v>
      </x:c>
      <x:c r="F402" s="4" t="str">
        <x:v>YES</x:v>
      </x:c>
      <x:c r="G402" s="4" t="str">
        <x:v>待M阶段冻结</x:v>
      </x:c>
      <x:c r="H402" s="17" t="str">
        <x:v>INTERNAL</x:v>
      </x:c>
      <x:c r="I402" s="17" t="str">
        <x:v>按资源权限与数据域访问；公开DTO另行白名单</x:v>
      </x:c>
      <x:c r="J402" s="17" t="str">
        <x:v>数据库实体不得直接序列化为响应</x:v>
      </x:c>
      <x:c r="K402" s="17" t="str">
        <x:v>DTO白名单；长度/枚举/归属/状态校验；禁止信任客户端派生值</x:v>
      </x:c>
      <x:c r="L402" s="17" t="str">
        <x:v>追加/版本/快照，不覆盖已生效历史</x:v>
      </x:c>
      <x:c r="M402" s="4" t="str">
        <x:v>M3</x:v>
      </x:c>
      <x:c r="N402" s="4" t="str">
        <x:v>P0-021,P0-022,P0-065</x:v>
      </x:c>
      <x:c r="O402" s="4" t="str">
        <x:v>综合方案§13核心数据模型</x:v>
      </x:c>
      <x:c r="P402" s="4" t="str">
        <x:v>DRAFT_FROM_SCHEME</x:v>
      </x:c>
    </x:row>
    <x:row r="403" ht="23" customHeight="1">
      <x:c r="A403" s="4" t="str">
        <x:v>OrderItem</x:v>
      </x:c>
      <x:c r="B403" s="4" t="str">
        <x:v>skuId</x:v>
      </x:c>
      <x:c r="C403" s="17" t="str">
        <x:v>skuId</x:v>
      </x:c>
      <x:c r="D403" s="4" t="str">
        <x:v>5</x:v>
      </x:c>
      <x:c r="E403" s="4" t="str">
        <x:v>String/UUID</x:v>
      </x:c>
      <x:c r="F403" s="4" t="str">
        <x:v>YES</x:v>
      </x:c>
      <x:c r="G403" s="4" t="str">
        <x:v>待M阶段冻结</x:v>
      </x:c>
      <x:c r="H403" s="17" t="str">
        <x:v>INTERNAL</x:v>
      </x:c>
      <x:c r="I403" s="17" t="str">
        <x:v>按资源权限与数据域访问；公开DTO另行白名单</x:v>
      </x:c>
      <x:c r="J403" s="17" t="str">
        <x:v>数据库实体不得直接序列化为响应</x:v>
      </x:c>
      <x:c r="K403" s="17" t="str">
        <x:v>DTO白名单；长度/枚举/归属/状态校验；禁止信任客户端派生值</x:v>
      </x:c>
      <x:c r="L403" s="17" t="str">
        <x:v>追加/版本/快照，不覆盖已生效历史</x:v>
      </x:c>
      <x:c r="M403" s="4" t="str">
        <x:v>M3</x:v>
      </x:c>
      <x:c r="N403" s="4" t="str">
        <x:v>P0-021,P0-022,P0-065</x:v>
      </x:c>
      <x:c r="O403" s="4" t="str">
        <x:v>综合方案§13核心数据模型</x:v>
      </x:c>
      <x:c r="P403" s="4" t="str">
        <x:v>DRAFT_FROM_SCHEME</x:v>
      </x:c>
    </x:row>
    <x:row r="404" ht="23" customHeight="1">
      <x:c r="A404" s="4" t="str">
        <x:v>OrderItem</x:v>
      </x:c>
      <x:c r="B404" s="4" t="str">
        <x:v>productSnapshot</x:v>
      </x:c>
      <x:c r="C404" s="17" t="str">
        <x:v>productSnapshot</x:v>
      </x:c>
      <x:c r="D404" s="4" t="str">
        <x:v>6</x:v>
      </x:c>
      <x:c r="E404" s="4" t="str">
        <x:v>Json</x:v>
      </x:c>
      <x:c r="F404" s="4" t="str">
        <x:v>YES</x:v>
      </x:c>
      <x:c r="G404" s="4" t="str">
        <x:v>待M阶段冻结</x:v>
      </x:c>
      <x:c r="H404" s="17" t="str">
        <x:v>INTERNAL</x:v>
      </x:c>
      <x:c r="I404" s="17" t="str">
        <x:v>按资源权限与数据域访问；公开DTO另行白名单</x:v>
      </x:c>
      <x:c r="J404" s="17" t="str">
        <x:v>数据库实体不得直接序列化为响应</x:v>
      </x:c>
      <x:c r="K404" s="17" t="str">
        <x:v>DTO白名单；长度/枚举/归属/状态校验；禁止信任客户端派生值</x:v>
      </x:c>
      <x:c r="L404" s="17" t="str">
        <x:v>追加/版本/快照，不覆盖已生效历史</x:v>
      </x:c>
      <x:c r="M404" s="4" t="str">
        <x:v>M3</x:v>
      </x:c>
      <x:c r="N404" s="4" t="str">
        <x:v>P0-021,P0-022,P0-065</x:v>
      </x:c>
      <x:c r="O404" s="4" t="str">
        <x:v>综合方案§13核心数据模型</x:v>
      </x:c>
      <x:c r="P404" s="4" t="str">
        <x:v>DRAFT_FROM_SCHEME</x:v>
      </x:c>
    </x:row>
    <x:row r="405" ht="23" customHeight="1">
      <x:c r="A405" s="4" t="str">
        <x:v>OrderItem</x:v>
      </x:c>
      <x:c r="B405" s="4" t="str">
        <x:v>quantity</x:v>
      </x:c>
      <x:c r="C405" s="17" t="str">
        <x:v>quantity</x:v>
      </x:c>
      <x:c r="D405" s="4" t="str">
        <x:v>7</x:v>
      </x:c>
      <x:c r="E405" s="4" t="str">
        <x:v>Int</x:v>
      </x:c>
      <x:c r="F405" s="4" t="str">
        <x:v>YES</x:v>
      </x:c>
      <x:c r="G405" s="4" t="str">
        <x:v>待M阶段冻结</x:v>
      </x:c>
      <x:c r="H405" s="17" t="str">
        <x:v>INTERNAL</x:v>
      </x:c>
      <x:c r="I405" s="17" t="str">
        <x:v>按资源权限与数据域访问；公开DTO另行白名单</x:v>
      </x:c>
      <x:c r="J405" s="17" t="str">
        <x:v>数据库实体不得直接序列化为响应</x:v>
      </x:c>
      <x:c r="K405" s="17" t="str">
        <x:v>DTO白名单；长度/枚举/归属/状态校验；禁止信任客户端派生值</x:v>
      </x:c>
      <x:c r="L405" s="17" t="str">
        <x:v>追加/版本/快照，不覆盖已生效历史</x:v>
      </x:c>
      <x:c r="M405" s="4" t="str">
        <x:v>M3</x:v>
      </x:c>
      <x:c r="N405" s="4" t="str">
        <x:v>P0-021,P0-022,P0-065</x:v>
      </x:c>
      <x:c r="O405" s="4" t="str">
        <x:v>综合方案§13核心数据模型</x:v>
      </x:c>
      <x:c r="P405" s="4" t="str">
        <x:v>DRAFT_FROM_SCHEME</x:v>
      </x:c>
    </x:row>
    <x:row r="406" ht="23" customHeight="1">
      <x:c r="A406" s="4" t="str">
        <x:v>OrderItem</x:v>
      </x:c>
      <x:c r="B406" s="4" t="str">
        <x:v>salePriceSnapshot</x:v>
      </x:c>
      <x:c r="C406" s="17" t="str">
        <x:v>salePriceSnapshot</x:v>
      </x:c>
      <x:c r="D406" s="4" t="str">
        <x:v>8</x:v>
      </x:c>
      <x:c r="E406" s="4" t="str">
        <x:v>Json</x:v>
      </x:c>
      <x:c r="F406" s="4" t="str">
        <x:v>YES</x:v>
      </x:c>
      <x:c r="G406" s="4" t="str">
        <x:v>待M阶段冻结</x:v>
      </x:c>
      <x:c r="H406" s="17" t="str">
        <x:v>INTERNAL</x:v>
      </x:c>
      <x:c r="I406" s="17" t="str">
        <x:v>按资源权限与数据域访问；公开DTO另行白名单</x:v>
      </x:c>
      <x:c r="J406" s="17" t="str">
        <x:v>数据库实体不得直接序列化为响应</x:v>
      </x:c>
      <x:c r="K406" s="17" t="str">
        <x:v>DTO白名单；长度/枚举/归属/状态校验；禁止信任客户端派生值</x:v>
      </x:c>
      <x:c r="L406" s="17" t="str">
        <x:v>追加/版本/快照，不覆盖已生效历史</x:v>
      </x:c>
      <x:c r="M406" s="4" t="str">
        <x:v>M3</x:v>
      </x:c>
      <x:c r="N406" s="4" t="str">
        <x:v>P0-021,P0-022,P0-065</x:v>
      </x:c>
      <x:c r="O406" s="4" t="str">
        <x:v>综合方案§13核心数据模型</x:v>
      </x:c>
      <x:c r="P406" s="4" t="str">
        <x:v>DRAFT_FROM_SCHEME</x:v>
      </x:c>
    </x:row>
    <x:row r="407" ht="23" customHeight="1">
      <x:c r="A407" s="4" t="str">
        <x:v>OrderItem</x:v>
      </x:c>
      <x:c r="B407" s="4" t="str">
        <x:v>supplyPriceSnapshot</x:v>
      </x:c>
      <x:c r="C407" s="17" t="str">
        <x:v>supplyPriceSnapshot [INTERNAL_SETTLEMENT_ONLY]</x:v>
      </x:c>
      <x:c r="D407" s="4" t="str">
        <x:v>9</x:v>
      </x:c>
      <x:c r="E407" s="4" t="str">
        <x:v>Json</x:v>
      </x:c>
      <x:c r="F407" s="4" t="str">
        <x:v>YES</x:v>
      </x:c>
      <x:c r="G407" s="4" t="str">
        <x:v>待M阶段冻结</x:v>
      </x:c>
      <x:c r="H407" s="17" t="str">
        <x:v>STRICT_INTERNAL_SUPPLY_PRICE</x:v>
      </x:c>
      <x:c r="I407" s="17" t="str">
        <x:v>仅公司价格/财务及本供应商价格/财务职能可见</x:v>
      </x:c>
      <x:c r="J407" s="17" t="str">
        <x:v>禁止出现在消费者端、企业采购端、门户公开端及非授权日志</x:v>
      </x:c>
      <x:c r="K407" s="17" t="str">
        <x:v>DTO白名单；长度/枚举/归属/状态校验；禁止信任客户端派生值</x:v>
      </x:c>
      <x:c r="L407" s="17" t="str">
        <x:v>追加/版本/快照，不覆盖已生效历史</x:v>
      </x:c>
      <x:c r="M407" s="4" t="str">
        <x:v>M3</x:v>
      </x:c>
      <x:c r="N407" s="4" t="str">
        <x:v>P0-021,P0-022,P0-065</x:v>
      </x:c>
      <x:c r="O407" s="4" t="str">
        <x:v>综合方案§13核心数据模型</x:v>
      </x:c>
      <x:c r="P407" s="4" t="str">
        <x:v>DRAFT_FROM_SCHEME</x:v>
      </x:c>
    </x:row>
    <x:row r="408" ht="23" customHeight="1">
      <x:c r="A408" s="4" t="str">
        <x:v>OrderItem</x:v>
      </x:c>
      <x:c r="B408" s="4" t="str">
        <x:v>refundStatus</x:v>
      </x:c>
      <x:c r="C408" s="17" t="str">
        <x:v>refundStatus</x:v>
      </x:c>
      <x:c r="D408" s="4" t="str">
        <x:v>10</x:v>
      </x:c>
      <x:c r="E408" s="4" t="str">
        <x:v>Enum/String</x:v>
      </x:c>
      <x:c r="F408" s="4" t="str">
        <x:v>YES</x:v>
      </x:c>
      <x:c r="G408" s="4" t="str">
        <x:v>待M阶段冻结</x:v>
      </x:c>
      <x:c r="H408" s="17" t="str">
        <x:v>FINANCIAL</x:v>
      </x:c>
      <x:c r="I408" s="17" t="str">
        <x:v>公司财务与必要业务职能；供应商仅本供应商结算视图</x:v>
      </x:c>
      <x:c r="J408" s="17" t="str">
        <x:v>消费者响应仅返回自身交易白名单字段</x:v>
      </x:c>
      <x:c r="K408" s="17" t="str">
        <x:v>DTO白名单；长度/枚举/归属/状态校验；禁止信任客户端派生值</x:v>
      </x:c>
      <x:c r="L408" s="17" t="str">
        <x:v>追加/版本/快照，不覆盖已生效历史</x:v>
      </x:c>
      <x:c r="M408" s="4" t="str">
        <x:v>M3</x:v>
      </x:c>
      <x:c r="N408" s="4" t="str">
        <x:v>P0-021,P0-022,P0-065</x:v>
      </x:c>
      <x:c r="O408" s="4" t="str">
        <x:v>综合方案§13核心数据模型</x:v>
      </x:c>
      <x:c r="P408" s="4" t="str">
        <x:v>DRAFT_FROM_SCHEME</x:v>
      </x:c>
    </x:row>
    <x:row r="409" ht="23" customHeight="1">
      <x:c r="A409" s="4" t="str">
        <x:v>OrderPaymentAllocation</x:v>
      </x:c>
      <x:c r="B409" s="4" t="str">
        <x:v>id</x:v>
      </x:c>
      <x:c r="C409" s="17" t="str">
        <x:v>id</x:v>
      </x:c>
      <x:c r="D409" s="4" t="str">
        <x:v>1</x:v>
      </x:c>
      <x:c r="E409" s="4" t="str">
        <x:v>String/UUID</x:v>
      </x:c>
      <x:c r="F409" s="4" t="str">
        <x:v>YES</x:v>
      </x:c>
      <x:c r="G409" s="4" t="str">
        <x:v>待M阶段冻结</x:v>
      </x:c>
      <x:c r="H409" s="17" t="str">
        <x:v>FINANCIAL</x:v>
      </x:c>
      <x:c r="I409" s="17" t="str">
        <x:v>公司财务与必要业务职能；供应商仅本供应商结算视图</x:v>
      </x:c>
      <x:c r="J409" s="17" t="str">
        <x:v>消费者响应仅返回自身交易白名单字段</x:v>
      </x:c>
      <x:c r="K409" s="17" t="str">
        <x:v>DTO白名单；长度/枚举/归属/状态校验；禁止信任客户端派生值</x:v>
      </x:c>
      <x:c r="L409" s="17" t="str">
        <x:v>追加/版本/快照，不覆盖已生效历史</x:v>
      </x:c>
      <x:c r="M409" s="4" t="str">
        <x:v>M3</x:v>
      </x:c>
      <x:c r="N409" s="4" t="str">
        <x:v>待切片细化</x:v>
      </x:c>
      <x:c r="O409" s="4" t="str">
        <x:v>综合方案§13核心数据模型</x:v>
      </x:c>
      <x:c r="P409" s="4" t="str">
        <x:v>DRAFT_FROM_SCHEME</x:v>
      </x:c>
    </x:row>
    <x:row r="410" ht="23" customHeight="1">
      <x:c r="A410" s="4" t="str">
        <x:v>OrderPaymentAllocation</x:v>
      </x:c>
      <x:c r="B410" s="4" t="str">
        <x:v>orderId</x:v>
      </x:c>
      <x:c r="C410" s="17" t="str">
        <x:v>orderId</x:v>
      </x:c>
      <x:c r="D410" s="4" t="str">
        <x:v>2</x:v>
      </x:c>
      <x:c r="E410" s="4" t="str">
        <x:v>String/UUID</x:v>
      </x:c>
      <x:c r="F410" s="4" t="str">
        <x:v>YES</x:v>
      </x:c>
      <x:c r="G410" s="4" t="str">
        <x:v>待M阶段冻结</x:v>
      </x:c>
      <x:c r="H410" s="17" t="str">
        <x:v>FINANCIAL</x:v>
      </x:c>
      <x:c r="I410" s="17" t="str">
        <x:v>公司财务与必要业务职能；供应商仅本供应商结算视图</x:v>
      </x:c>
      <x:c r="J410" s="17" t="str">
        <x:v>消费者响应仅返回自身交易白名单字段</x:v>
      </x:c>
      <x:c r="K410" s="17" t="str">
        <x:v>DTO白名单；长度/枚举/归属/状态校验；禁止信任客户端派生值</x:v>
      </x:c>
      <x:c r="L410" s="17" t="str">
        <x:v>追加/版本/快照，不覆盖已生效历史</x:v>
      </x:c>
      <x:c r="M410" s="4" t="str">
        <x:v>M3</x:v>
      </x:c>
      <x:c r="N410" s="4" t="str">
        <x:v>待切片细化</x:v>
      </x:c>
      <x:c r="O410" s="4" t="str">
        <x:v>综合方案§13核心数据模型</x:v>
      </x:c>
      <x:c r="P410" s="4" t="str">
        <x:v>DRAFT_FROM_SCHEME</x:v>
      </x:c>
    </x:row>
    <x:row r="411" ht="23" customHeight="1">
      <x:c r="A411" s="4" t="str">
        <x:v>OrderPaymentAllocation</x:v>
      </x:c>
      <x:c r="B411" s="4" t="str">
        <x:v>orderItemId</x:v>
      </x:c>
      <x:c r="C411" s="17" t="str">
        <x:v>orderItemId</x:v>
      </x:c>
      <x:c r="D411" s="4" t="str">
        <x:v>3</x:v>
      </x:c>
      <x:c r="E411" s="4" t="str">
        <x:v>String/UUID</x:v>
      </x:c>
      <x:c r="F411" s="4" t="str">
        <x:v>YES</x:v>
      </x:c>
      <x:c r="G411" s="4" t="str">
        <x:v>待M阶段冻结</x:v>
      </x:c>
      <x:c r="H411" s="17" t="str">
        <x:v>FINANCIAL</x:v>
      </x:c>
      <x:c r="I411" s="17" t="str">
        <x:v>公司财务与必要业务职能；供应商仅本供应商结算视图</x:v>
      </x:c>
      <x:c r="J411" s="17" t="str">
        <x:v>消费者响应仅返回自身交易白名单字段</x:v>
      </x:c>
      <x:c r="K411" s="17" t="str">
        <x:v>DTO白名单；长度/枚举/归属/状态校验；禁止信任客户端派生值</x:v>
      </x:c>
      <x:c r="L411" s="17" t="str">
        <x:v>追加/版本/快照，不覆盖已生效历史</x:v>
      </x:c>
      <x:c r="M411" s="4" t="str">
        <x:v>M3</x:v>
      </x:c>
      <x:c r="N411" s="4" t="str">
        <x:v>待切片细化</x:v>
      </x:c>
      <x:c r="O411" s="4" t="str">
        <x:v>综合方案§13核心数据模型</x:v>
      </x:c>
      <x:c r="P411" s="4" t="str">
        <x:v>DRAFT_FROM_SCHEME</x:v>
      </x:c>
    </x:row>
    <x:row r="412" ht="23" customHeight="1">
      <x:c r="A412" s="4" t="str">
        <x:v>OrderPaymentAllocation</x:v>
      </x:c>
      <x:c r="B412" s="4" t="str">
        <x:v>welfareCardAmount</x:v>
      </x:c>
      <x:c r="C412" s="17" t="str">
        <x:v>welfareCardAmount</x:v>
      </x:c>
      <x:c r="D412" s="4" t="str">
        <x:v>4</x:v>
      </x:c>
      <x:c r="E412" s="4" t="str">
        <x:v>Int(分)</x:v>
      </x:c>
      <x:c r="F412" s="4" t="str">
        <x:v>YES</x:v>
      </x:c>
      <x:c r="G412" s="4" t="str">
        <x:v>整数分</x:v>
      </x:c>
      <x:c r="H412" s="17" t="str">
        <x:v>FINANCIAL</x:v>
      </x:c>
      <x:c r="I412" s="17" t="str">
        <x:v>公司财务与必要业务职能；供应商仅本供应商结算视图</x:v>
      </x:c>
      <x:c r="J412" s="17" t="str">
        <x:v>消费者响应仅返回自身交易白名单字段</x:v>
      </x:c>
      <x:c r="K412" s="17" t="str">
        <x:v>DTO白名单；长度/枚举/归属/状态校验；禁止信任客户端派生值</x:v>
      </x:c>
      <x:c r="L412" s="17" t="str">
        <x:v>追加/版本/快照，不覆盖已生效历史</x:v>
      </x:c>
      <x:c r="M412" s="4" t="str">
        <x:v>M3</x:v>
      </x:c>
      <x:c r="N412" s="4" t="str">
        <x:v>待切片细化</x:v>
      </x:c>
      <x:c r="O412" s="4" t="str">
        <x:v>综合方案§13核心数据模型</x:v>
      </x:c>
      <x:c r="P412" s="4" t="str">
        <x:v>DRAFT_FROM_SCHEME</x:v>
      </x:c>
    </x:row>
    <x:row r="413" ht="23" customHeight="1">
      <x:c r="A413" s="4" t="str">
        <x:v>OrderPaymentAllocation</x:v>
      </x:c>
      <x:c r="B413" s="4" t="str">
        <x:v>cashAmount</x:v>
      </x:c>
      <x:c r="C413" s="17" t="str">
        <x:v>cashAmount</x:v>
      </x:c>
      <x:c r="D413" s="4" t="str">
        <x:v>5</x:v>
      </x:c>
      <x:c r="E413" s="4" t="str">
        <x:v>Int(分)</x:v>
      </x:c>
      <x:c r="F413" s="4" t="str">
        <x:v>YES</x:v>
      </x:c>
      <x:c r="G413" s="4" t="str">
        <x:v>整数分</x:v>
      </x:c>
      <x:c r="H413" s="17" t="str">
        <x:v>FINANCIAL</x:v>
      </x:c>
      <x:c r="I413" s="17" t="str">
        <x:v>公司财务与必要业务职能；供应商仅本供应商结算视图</x:v>
      </x:c>
      <x:c r="J413" s="17" t="str">
        <x:v>消费者响应仅返回自身交易白名单字段</x:v>
      </x:c>
      <x:c r="K413" s="17" t="str">
        <x:v>DTO白名单；长度/枚举/归属/状态校验；禁止信任客户端派生值</x:v>
      </x:c>
      <x:c r="L413" s="17" t="str">
        <x:v>追加/版本/快照，不覆盖已生效历史</x:v>
      </x:c>
      <x:c r="M413" s="4" t="str">
        <x:v>M3</x:v>
      </x:c>
      <x:c r="N413" s="4" t="str">
        <x:v>待切片细化</x:v>
      </x:c>
      <x:c r="O413" s="4" t="str">
        <x:v>综合方案§13核心数据模型</x:v>
      </x:c>
      <x:c r="P413" s="4" t="str">
        <x:v>DRAFT_FROM_SCHEME</x:v>
      </x:c>
    </x:row>
    <x:row r="414" ht="23" customHeight="1">
      <x:c r="A414" s="4" t="str">
        <x:v>OrderPaymentAllocation</x:v>
      </x:c>
      <x:c r="B414" s="4" t="str">
        <x:v>allocationRuleVersion</x:v>
      </x:c>
      <x:c r="C414" s="17" t="str">
        <x:v>allocationRuleVersion</x:v>
      </x:c>
      <x:c r="D414" s="4" t="str">
        <x:v>6</x:v>
      </x:c>
      <x:c r="E414" s="4" t="str">
        <x:v>Int</x:v>
      </x:c>
      <x:c r="F414" s="4" t="str">
        <x:v>YES</x:v>
      </x:c>
      <x:c r="G414" s="4" t="str">
        <x:v>待M阶段冻结</x:v>
      </x:c>
      <x:c r="H414" s="17" t="str">
        <x:v>FINANCIAL</x:v>
      </x:c>
      <x:c r="I414" s="17" t="str">
        <x:v>公司财务与必要业务职能；供应商仅本供应商结算视图</x:v>
      </x:c>
      <x:c r="J414" s="17" t="str">
        <x:v>消费者响应仅返回自身交易白名单字段</x:v>
      </x:c>
      <x:c r="K414" s="17" t="str">
        <x:v>DTO白名单；长度/枚举/归属/状态校验；禁止信任客户端派生值</x:v>
      </x:c>
      <x:c r="L414" s="17" t="str">
        <x:v>追加/版本/快照，不覆盖已生效历史</x:v>
      </x:c>
      <x:c r="M414" s="4" t="str">
        <x:v>M3</x:v>
      </x:c>
      <x:c r="N414" s="4" t="str">
        <x:v>待切片细化</x:v>
      </x:c>
      <x:c r="O414" s="4" t="str">
        <x:v>综合方案§13核心数据模型</x:v>
      </x:c>
      <x:c r="P414" s="4" t="str">
        <x:v>DRAFT_FROM_SCHEME</x:v>
      </x:c>
    </x:row>
    <x:row r="415" ht="23" customHeight="1">
      <x:c r="A415" s="4" t="str">
        <x:v>OrderPaymentAllocation</x:v>
      </x:c>
      <x:c r="B415" s="4" t="str">
        <x:v>createdAt</x:v>
      </x:c>
      <x:c r="C415" s="17" t="str">
        <x:v>createdAt</x:v>
      </x:c>
      <x:c r="D415" s="4" t="str">
        <x:v>7</x:v>
      </x:c>
      <x:c r="E415" s="4" t="str">
        <x:v>DateTime</x:v>
      </x:c>
      <x:c r="F415" s="4" t="str">
        <x:v>YES</x:v>
      </x:c>
      <x:c r="G415" s="4" t="str">
        <x:v>ISO-8601+明确时区</x:v>
      </x:c>
      <x:c r="H415" s="17" t="str">
        <x:v>FINANCIAL</x:v>
      </x:c>
      <x:c r="I415" s="17" t="str">
        <x:v>公司财务与必要业务职能；供应商仅本供应商结算视图</x:v>
      </x:c>
      <x:c r="J415" s="17" t="str">
        <x:v>消费者响应仅返回自身交易白名单字段</x:v>
      </x:c>
      <x:c r="K415" s="17" t="str">
        <x:v>DTO白名单；长度/枚举/归属/状态校验；禁止信任客户端派生值</x:v>
      </x:c>
      <x:c r="L415" s="17" t="str">
        <x:v>追加/版本/快照，不覆盖已生效历史</x:v>
      </x:c>
      <x:c r="M415" s="4" t="str">
        <x:v>M3</x:v>
      </x:c>
      <x:c r="N415" s="4" t="str">
        <x:v>待切片细化</x:v>
      </x:c>
      <x:c r="O415" s="4" t="str">
        <x:v>综合方案§13核心数据模型</x:v>
      </x:c>
      <x:c r="P415" s="4" t="str">
        <x:v>DRAFT_FROM_SCHEME</x:v>
      </x:c>
    </x:row>
    <x:row r="416" ht="23" customHeight="1">
      <x:c r="A416" s="4" t="str">
        <x:v>PaymentTransaction</x:v>
      </x:c>
      <x:c r="B416" s="4" t="str">
        <x:v>id</x:v>
      </x:c>
      <x:c r="C416" s="17" t="str">
        <x:v>id</x:v>
      </x:c>
      <x:c r="D416" s="4" t="str">
        <x:v>1</x:v>
      </x:c>
      <x:c r="E416" s="4" t="str">
        <x:v>String/UUID</x:v>
      </x:c>
      <x:c r="F416" s="4" t="str">
        <x:v>YES</x:v>
      </x:c>
      <x:c r="G416" s="4" t="str">
        <x:v>待M阶段冻结</x:v>
      </x:c>
      <x:c r="H416" s="17" t="str">
        <x:v>FINANCIAL</x:v>
      </x:c>
      <x:c r="I416" s="17" t="str">
        <x:v>公司财务与必要业务职能；供应商仅本供应商结算视图</x:v>
      </x:c>
      <x:c r="J416" s="17" t="str">
        <x:v>消费者响应仅返回自身交易白名单字段</x:v>
      </x:c>
      <x:c r="K416" s="17" t="str">
        <x:v>DTO白名单；长度/枚举/归属/状态校验；禁止信任客户端派生值</x:v>
      </x:c>
      <x:c r="L416" s="17" t="str">
        <x:v>追加/版本/快照，不覆盖已生效历史</x:v>
      </x:c>
      <x:c r="M416" s="4" t="str">
        <x:v>M3</x:v>
      </x:c>
      <x:c r="N416" s="4" t="str">
        <x:v>P0-024,P0-056,P0-093</x:v>
      </x:c>
      <x:c r="O416" s="4" t="str">
        <x:v>综合方案§13核心数据模型</x:v>
      </x:c>
      <x:c r="P416" s="4" t="str">
        <x:v>DRAFT_FROM_SCHEME</x:v>
      </x:c>
    </x:row>
    <x:row r="417" ht="23" customHeight="1">
      <x:c r="A417" s="4" t="str">
        <x:v>PaymentTransaction</x:v>
      </x:c>
      <x:c r="B417" s="4" t="str">
        <x:v>orderId</x:v>
      </x:c>
      <x:c r="C417" s="17" t="str">
        <x:v>orderId</x:v>
      </x:c>
      <x:c r="D417" s="4" t="str">
        <x:v>2</x:v>
      </x:c>
      <x:c r="E417" s="4" t="str">
        <x:v>String/UUID</x:v>
      </x:c>
      <x:c r="F417" s="4" t="str">
        <x:v>YES</x:v>
      </x:c>
      <x:c r="G417" s="4" t="str">
        <x:v>待M阶段冻结</x:v>
      </x:c>
      <x:c r="H417" s="17" t="str">
        <x:v>FINANCIAL</x:v>
      </x:c>
      <x:c r="I417" s="17" t="str">
        <x:v>公司财务与必要业务职能；供应商仅本供应商结算视图</x:v>
      </x:c>
      <x:c r="J417" s="17" t="str">
        <x:v>消费者响应仅返回自身交易白名单字段</x:v>
      </x:c>
      <x:c r="K417" s="17" t="str">
        <x:v>DTO白名单；长度/枚举/归属/状态校验；禁止信任客户端派生值</x:v>
      </x:c>
      <x:c r="L417" s="17" t="str">
        <x:v>追加/版本/快照，不覆盖已生效历史</x:v>
      </x:c>
      <x:c r="M417" s="4" t="str">
        <x:v>M3</x:v>
      </x:c>
      <x:c r="N417" s="4" t="str">
        <x:v>P0-024,P0-056,P0-093</x:v>
      </x:c>
      <x:c r="O417" s="4" t="str">
        <x:v>综合方案§13核心数据模型</x:v>
      </x:c>
      <x:c r="P417" s="4" t="str">
        <x:v>DRAFT_FROM_SCHEME</x:v>
      </x:c>
    </x:row>
    <x:row r="418" ht="23" customHeight="1">
      <x:c r="A418" s="4" t="str">
        <x:v>PaymentTransaction</x:v>
      </x:c>
      <x:c r="B418" s="4" t="str">
        <x:v>channel</x:v>
      </x:c>
      <x:c r="C418" s="17" t="str">
        <x:v>channel=WECHAT_PAY</x:v>
      </x:c>
      <x:c r="D418" s="4" t="str">
        <x:v>3</x:v>
      </x:c>
      <x:c r="E418" s="4" t="str">
        <x:v>String</x:v>
      </x:c>
      <x:c r="F418" s="4" t="str">
        <x:v>YES</x:v>
      </x:c>
      <x:c r="G418" s="4" t="str">
        <x:v>待M阶段冻结</x:v>
      </x:c>
      <x:c r="H418" s="17" t="str">
        <x:v>FINANCIAL</x:v>
      </x:c>
      <x:c r="I418" s="17" t="str">
        <x:v>公司财务与必要业务职能；供应商仅本供应商结算视图</x:v>
      </x:c>
      <x:c r="J418" s="17" t="str">
        <x:v>消费者响应仅返回自身交易白名单字段</x:v>
      </x:c>
      <x:c r="K418" s="17" t="str">
        <x:v>DTO白名单；长度/枚举/归属/状态校验；禁止信任客户端派生值</x:v>
      </x:c>
      <x:c r="L418" s="17" t="str">
        <x:v>追加/版本/快照，不覆盖已生效历史</x:v>
      </x:c>
      <x:c r="M418" s="4" t="str">
        <x:v>M3</x:v>
      </x:c>
      <x:c r="N418" s="4" t="str">
        <x:v>P0-024,P0-056,P0-093</x:v>
      </x:c>
      <x:c r="O418" s="4" t="str">
        <x:v>综合方案§13核心数据模型</x:v>
      </x:c>
      <x:c r="P418" s="4" t="str">
        <x:v>DRAFT_FROM_SCHEME</x:v>
      </x:c>
    </x:row>
    <x:row r="419" ht="23" customHeight="1">
      <x:c r="A419" s="4" t="str">
        <x:v>PaymentTransaction</x:v>
      </x:c>
      <x:c r="B419" s="4" t="str">
        <x:v>amount</x:v>
      </x:c>
      <x:c r="C419" s="17" t="str">
        <x:v>amount</x:v>
      </x:c>
      <x:c r="D419" s="4" t="str">
        <x:v>4</x:v>
      </x:c>
      <x:c r="E419" s="4" t="str">
        <x:v>Int(分)</x:v>
      </x:c>
      <x:c r="F419" s="4" t="str">
        <x:v>YES</x:v>
      </x:c>
      <x:c r="G419" s="4" t="str">
        <x:v>整数分</x:v>
      </x:c>
      <x:c r="H419" s="17" t="str">
        <x:v>FINANCIAL</x:v>
      </x:c>
      <x:c r="I419" s="17" t="str">
        <x:v>公司财务与必要业务职能；供应商仅本供应商结算视图</x:v>
      </x:c>
      <x:c r="J419" s="17" t="str">
        <x:v>消费者响应仅返回自身交易白名单字段</x:v>
      </x:c>
      <x:c r="K419" s="17" t="str">
        <x:v>DTO白名单；长度/枚举/归属/状态校验；禁止信任客户端派生值</x:v>
      </x:c>
      <x:c r="L419" s="17" t="str">
        <x:v>追加/版本/快照，不覆盖已生效历史</x:v>
      </x:c>
      <x:c r="M419" s="4" t="str">
        <x:v>M3</x:v>
      </x:c>
      <x:c r="N419" s="4" t="str">
        <x:v>P0-024,P0-056,P0-093</x:v>
      </x:c>
      <x:c r="O419" s="4" t="str">
        <x:v>综合方案§13核心数据模型</x:v>
      </x:c>
      <x:c r="P419" s="4" t="str">
        <x:v>DRAFT_FROM_SCHEME</x:v>
      </x:c>
    </x:row>
    <x:row r="420" ht="23" customHeight="1">
      <x:c r="A420" s="4" t="str">
        <x:v>PaymentTransaction</x:v>
      </x:c>
      <x:c r="B420" s="4" t="str">
        <x:v>outTradeNo</x:v>
      </x:c>
      <x:c r="C420" s="17" t="str">
        <x:v>outTradeNo</x:v>
      </x:c>
      <x:c r="D420" s="4" t="str">
        <x:v>5</x:v>
      </x:c>
      <x:c r="E420" s="4" t="str">
        <x:v>String</x:v>
      </x:c>
      <x:c r="F420" s="4" t="str">
        <x:v>YES</x:v>
      </x:c>
      <x:c r="G420" s="4" t="str">
        <x:v>待M阶段冻结</x:v>
      </x:c>
      <x:c r="H420" s="17" t="str">
        <x:v>FINANCIAL</x:v>
      </x:c>
      <x:c r="I420" s="17" t="str">
        <x:v>公司财务与必要业务职能；供应商仅本供应商结算视图</x:v>
      </x:c>
      <x:c r="J420" s="17" t="str">
        <x:v>消费者响应仅返回自身交易白名单字段</x:v>
      </x:c>
      <x:c r="K420" s="17" t="str">
        <x:v>DTO白名单；长度/枚举/归属/状态校验；禁止信任客户端派生值</x:v>
      </x:c>
      <x:c r="L420" s="17" t="str">
        <x:v>追加/版本/快照，不覆盖已生效历史</x:v>
      </x:c>
      <x:c r="M420" s="4" t="str">
        <x:v>M3</x:v>
      </x:c>
      <x:c r="N420" s="4" t="str">
        <x:v>P0-024,P0-056,P0-093</x:v>
      </x:c>
      <x:c r="O420" s="4" t="str">
        <x:v>综合方案§13核心数据模型</x:v>
      </x:c>
      <x:c r="P420" s="4" t="str">
        <x:v>DRAFT_FROM_SCHEME</x:v>
      </x:c>
    </x:row>
    <x:row r="421" ht="23" customHeight="1">
      <x:c r="A421" s="4" t="str">
        <x:v>PaymentTransaction</x:v>
      </x:c>
      <x:c r="B421" s="4" t="str">
        <x:v>wechatTransactionId</x:v>
      </x:c>
      <x:c r="C421" s="17" t="str">
        <x:v>wechatTransactionId?</x:v>
      </x:c>
      <x:c r="D421" s="4" t="str">
        <x:v>6</x:v>
      </x:c>
      <x:c r="E421" s="4" t="str">
        <x:v>String/UUID</x:v>
      </x:c>
      <x:c r="F421" s="4" t="str">
        <x:v>NO</x:v>
      </x:c>
      <x:c r="G421" s="4" t="str">
        <x:v>待M阶段冻结</x:v>
      </x:c>
      <x:c r="H421" s="17" t="str">
        <x:v>FINANCIAL</x:v>
      </x:c>
      <x:c r="I421" s="17" t="str">
        <x:v>公司财务与必要业务职能；供应商仅本供应商结算视图</x:v>
      </x:c>
      <x:c r="J421" s="17" t="str">
        <x:v>消费者响应仅返回自身交易白名单字段</x:v>
      </x:c>
      <x:c r="K421" s="17" t="str">
        <x:v>DTO白名单；长度/枚举/归属/状态校验；禁止信任客户端派生值</x:v>
      </x:c>
      <x:c r="L421" s="17" t="str">
        <x:v>追加/版本/快照，不覆盖已生效历史</x:v>
      </x:c>
      <x:c r="M421" s="4" t="str">
        <x:v>M3</x:v>
      </x:c>
      <x:c r="N421" s="4" t="str">
        <x:v>P0-024,P0-056,P0-093</x:v>
      </x:c>
      <x:c r="O421" s="4" t="str">
        <x:v>综合方案§13核心数据模型</x:v>
      </x:c>
      <x:c r="P421" s="4" t="str">
        <x:v>DRAFT_FROM_SCHEME</x:v>
      </x:c>
    </x:row>
    <x:row r="422" ht="23" customHeight="1">
      <x:c r="A422" s="4" t="str">
        <x:v>PaymentTransaction</x:v>
      </x:c>
      <x:c r="B422" s="4" t="str">
        <x:v>status</x:v>
      </x:c>
      <x:c r="C422" s="17" t="str">
        <x:v>status</x:v>
      </x:c>
      <x:c r="D422" s="4" t="str">
        <x:v>7</x:v>
      </x:c>
      <x:c r="E422" s="4" t="str">
        <x:v>Enum/String</x:v>
      </x:c>
      <x:c r="F422" s="4" t="str">
        <x:v>YES</x:v>
      </x:c>
      <x:c r="G422" s="4" t="str">
        <x:v>待M阶段冻结</x:v>
      </x:c>
      <x:c r="H422" s="17" t="str">
        <x:v>FINANCIAL</x:v>
      </x:c>
      <x:c r="I422" s="17" t="str">
        <x:v>公司财务与必要业务职能；供应商仅本供应商结算视图</x:v>
      </x:c>
      <x:c r="J422" s="17" t="str">
        <x:v>消费者响应仅返回自身交易白名单字段</x:v>
      </x:c>
      <x:c r="K422" s="17" t="str">
        <x:v>DTO白名单；长度/枚举/归属/状态校验；禁止信任客户端派生值</x:v>
      </x:c>
      <x:c r="L422" s="17" t="str">
        <x:v>追加/版本/快照，不覆盖已生效历史</x:v>
      </x:c>
      <x:c r="M422" s="4" t="str">
        <x:v>M3</x:v>
      </x:c>
      <x:c r="N422" s="4" t="str">
        <x:v>P0-024,P0-056,P0-093</x:v>
      </x:c>
      <x:c r="O422" s="4" t="str">
        <x:v>综合方案§13核心数据模型</x:v>
      </x:c>
      <x:c r="P422" s="4" t="str">
        <x:v>DRAFT_FROM_SCHEME</x:v>
      </x:c>
    </x:row>
    <x:row r="423" ht="23" customHeight="1">
      <x:c r="A423" s="4" t="str">
        <x:v>PaymentTransaction</x:v>
      </x:c>
      <x:c r="B423" s="4" t="str">
        <x:v>notifyVerifiedAt</x:v>
      </x:c>
      <x:c r="C423" s="17" t="str">
        <x:v>notifyVerifiedAt?</x:v>
      </x:c>
      <x:c r="D423" s="4" t="str">
        <x:v>8</x:v>
      </x:c>
      <x:c r="E423" s="4" t="str">
        <x:v>DateTime</x:v>
      </x:c>
      <x:c r="F423" s="4" t="str">
        <x:v>NO</x:v>
      </x:c>
      <x:c r="G423" s="4" t="str">
        <x:v>ISO-8601+明确时区</x:v>
      </x:c>
      <x:c r="H423" s="17" t="str">
        <x:v>FINANCIAL</x:v>
      </x:c>
      <x:c r="I423" s="17" t="str">
        <x:v>公司财务与必要业务职能；供应商仅本供应商结算视图</x:v>
      </x:c>
      <x:c r="J423" s="17" t="str">
        <x:v>消费者响应仅返回自身交易白名单字段</x:v>
      </x:c>
      <x:c r="K423" s="17" t="str">
        <x:v>DTO白名单；长度/枚举/归属/状态校验；禁止信任客户端派生值</x:v>
      </x:c>
      <x:c r="L423" s="17" t="str">
        <x:v>追加/版本/快照，不覆盖已生效历史</x:v>
      </x:c>
      <x:c r="M423" s="4" t="str">
        <x:v>M3</x:v>
      </x:c>
      <x:c r="N423" s="4" t="str">
        <x:v>P0-024,P0-056,P0-093</x:v>
      </x:c>
      <x:c r="O423" s="4" t="str">
        <x:v>综合方案§13核心数据模型</x:v>
      </x:c>
      <x:c r="P423" s="4" t="str">
        <x:v>DRAFT_FROM_SCHEME</x:v>
      </x:c>
    </x:row>
    <x:row r="424" ht="23" customHeight="1">
      <x:c r="A424" s="4" t="str">
        <x:v>PaymentTransaction</x:v>
      </x:c>
      <x:c r="B424" s="4" t="str">
        <x:v>paidAt</x:v>
      </x:c>
      <x:c r="C424" s="17" t="str">
        <x:v>paidAt?</x:v>
      </x:c>
      <x:c r="D424" s="4" t="str">
        <x:v>9</x:v>
      </x:c>
      <x:c r="E424" s="4" t="str">
        <x:v>DateTime</x:v>
      </x:c>
      <x:c r="F424" s="4" t="str">
        <x:v>NO</x:v>
      </x:c>
      <x:c r="G424" s="4" t="str">
        <x:v>ISO-8601+明确时区</x:v>
      </x:c>
      <x:c r="H424" s="17" t="str">
        <x:v>FINANCIAL</x:v>
      </x:c>
      <x:c r="I424" s="17" t="str">
        <x:v>公司财务与必要业务职能；供应商仅本供应商结算视图</x:v>
      </x:c>
      <x:c r="J424" s="17" t="str">
        <x:v>消费者响应仅返回自身交易白名单字段</x:v>
      </x:c>
      <x:c r="K424" s="17" t="str">
        <x:v>DTO白名单；长度/枚举/归属/状态校验；禁止信任客户端派生值</x:v>
      </x:c>
      <x:c r="L424" s="17" t="str">
        <x:v>追加/版本/快照，不覆盖已生效历史</x:v>
      </x:c>
      <x:c r="M424" s="4" t="str">
        <x:v>M3</x:v>
      </x:c>
      <x:c r="N424" s="4" t="str">
        <x:v>P0-024,P0-056,P0-093</x:v>
      </x:c>
      <x:c r="O424" s="4" t="str">
        <x:v>综合方案§13核心数据模型</x:v>
      </x:c>
      <x:c r="P424" s="4" t="str">
        <x:v>DRAFT_FROM_SCHEME</x:v>
      </x:c>
    </x:row>
    <x:row r="425" ht="23" customHeight="1">
      <x:c r="A425" s="4" t="str">
        <x:v>PaymentTransaction</x:v>
      </x:c>
      <x:c r="B425" s="4" t="str">
        <x:v>closedAt</x:v>
      </x:c>
      <x:c r="C425" s="17" t="str">
        <x:v>closedAt?</x:v>
      </x:c>
      <x:c r="D425" s="4" t="str">
        <x:v>10</x:v>
      </x:c>
      <x:c r="E425" s="4" t="str">
        <x:v>DateTime</x:v>
      </x:c>
      <x:c r="F425" s="4" t="str">
        <x:v>NO</x:v>
      </x:c>
      <x:c r="G425" s="4" t="str">
        <x:v>ISO-8601+明确时区</x:v>
      </x:c>
      <x:c r="H425" s="17" t="str">
        <x:v>FINANCIAL</x:v>
      </x:c>
      <x:c r="I425" s="17" t="str">
        <x:v>公司财务与必要业务职能；供应商仅本供应商结算视图</x:v>
      </x:c>
      <x:c r="J425" s="17" t="str">
        <x:v>消费者响应仅返回自身交易白名单字段</x:v>
      </x:c>
      <x:c r="K425" s="17" t="str">
        <x:v>DTO白名单；长度/枚举/归属/状态校验；禁止信任客户端派生值</x:v>
      </x:c>
      <x:c r="L425" s="17" t="str">
        <x:v>追加/版本/快照，不覆盖已生效历史</x:v>
      </x:c>
      <x:c r="M425" s="4" t="str">
        <x:v>M3</x:v>
      </x:c>
      <x:c r="N425" s="4" t="str">
        <x:v>P0-024,P0-056,P0-093</x:v>
      </x:c>
      <x:c r="O425" s="4" t="str">
        <x:v>综合方案§13核心数据模型</x:v>
      </x:c>
      <x:c r="P425" s="4" t="str">
        <x:v>DRAFT_FROM_SCHEME</x:v>
      </x:c>
    </x:row>
    <x:row r="426" ht="23" customHeight="1">
      <x:c r="A426" s="4" t="str">
        <x:v>PaymentTransaction</x:v>
      </x:c>
      <x:c r="B426" s="4" t="str">
        <x:v>idempotencyKey</x:v>
      </x:c>
      <x:c r="C426" s="17" t="str">
        <x:v>idempotencyKey</x:v>
      </x:c>
      <x:c r="D426" s="4" t="str">
        <x:v>11</x:v>
      </x:c>
      <x:c r="E426" s="4" t="str">
        <x:v>String</x:v>
      </x:c>
      <x:c r="F426" s="4" t="str">
        <x:v>YES</x:v>
      </x:c>
      <x:c r="G426" s="4" t="str">
        <x:v>待M阶段冻结</x:v>
      </x:c>
      <x:c r="H426" s="17" t="str">
        <x:v>FINANCIAL</x:v>
      </x:c>
      <x:c r="I426" s="17" t="str">
        <x:v>公司财务与必要业务职能；供应商仅本供应商结算视图</x:v>
      </x:c>
      <x:c r="J426" s="17" t="str">
        <x:v>消费者响应仅返回自身交易白名单字段</x:v>
      </x:c>
      <x:c r="K426" s="17" t="str">
        <x:v>DTO白名单；长度/枚举/归属/状态校验；禁止信任客户端派生值</x:v>
      </x:c>
      <x:c r="L426" s="17" t="str">
        <x:v>追加/版本/快照，不覆盖已生效历史</x:v>
      </x:c>
      <x:c r="M426" s="4" t="str">
        <x:v>M3</x:v>
      </x:c>
      <x:c r="N426" s="4" t="str">
        <x:v>P0-024,P0-056,P0-093</x:v>
      </x:c>
      <x:c r="O426" s="4" t="str">
        <x:v>综合方案§13核心数据模型</x:v>
      </x:c>
      <x:c r="P426" s="4" t="str">
        <x:v>DRAFT_FROM_SCHEME</x:v>
      </x:c>
    </x:row>
    <x:row r="427" ht="23" customHeight="1">
      <x:c r="A427" s="4" t="str">
        <x:v>RefundTransaction</x:v>
      </x:c>
      <x:c r="B427" s="4" t="str">
        <x:v>id</x:v>
      </x:c>
      <x:c r="C427" s="17" t="str">
        <x:v>id</x:v>
      </x:c>
      <x:c r="D427" s="4" t="str">
        <x:v>1</x:v>
      </x:c>
      <x:c r="E427" s="4" t="str">
        <x:v>String/UUID</x:v>
      </x:c>
      <x:c r="F427" s="4" t="str">
        <x:v>YES</x:v>
      </x:c>
      <x:c r="G427" s="4" t="str">
        <x:v>待M阶段冻结</x:v>
      </x:c>
      <x:c r="H427" s="17" t="str">
        <x:v>FINANCIAL</x:v>
      </x:c>
      <x:c r="I427" s="17" t="str">
        <x:v>公司财务与必要业务职能；供应商仅本供应商结算视图</x:v>
      </x:c>
      <x:c r="J427" s="17" t="str">
        <x:v>消费者响应仅返回自身交易白名单字段</x:v>
      </x:c>
      <x:c r="K427" s="17" t="str">
        <x:v>DTO白名单；长度/枚举/归属/状态校验；禁止信任客户端派生值</x:v>
      </x:c>
      <x:c r="L427" s="17" t="str">
        <x:v>追加/版本/快照，不覆盖已生效历史</x:v>
      </x:c>
      <x:c r="M427" s="4" t="str">
        <x:v>M3</x:v>
      </x:c>
      <x:c r="N427" s="4" t="str">
        <x:v>P0-026,P0-058,P0-096</x:v>
      </x:c>
      <x:c r="O427" s="4" t="str">
        <x:v>综合方案§13核心数据模型</x:v>
      </x:c>
      <x:c r="P427" s="4" t="str">
        <x:v>DRAFT_FROM_SCHEME</x:v>
      </x:c>
    </x:row>
    <x:row r="428" ht="23" customHeight="1">
      <x:c r="A428" s="4" t="str">
        <x:v>RefundTransaction</x:v>
      </x:c>
      <x:c r="B428" s="4" t="str">
        <x:v>orderId</x:v>
      </x:c>
      <x:c r="C428" s="17" t="str">
        <x:v>orderId</x:v>
      </x:c>
      <x:c r="D428" s="4" t="str">
        <x:v>2</x:v>
      </x:c>
      <x:c r="E428" s="4" t="str">
        <x:v>String/UUID</x:v>
      </x:c>
      <x:c r="F428" s="4" t="str">
        <x:v>YES</x:v>
      </x:c>
      <x:c r="G428" s="4" t="str">
        <x:v>待M阶段冻结</x:v>
      </x:c>
      <x:c r="H428" s="17" t="str">
        <x:v>FINANCIAL</x:v>
      </x:c>
      <x:c r="I428" s="17" t="str">
        <x:v>公司财务与必要业务职能；供应商仅本供应商结算视图</x:v>
      </x:c>
      <x:c r="J428" s="17" t="str">
        <x:v>消费者响应仅返回自身交易白名单字段</x:v>
      </x:c>
      <x:c r="K428" s="17" t="str">
        <x:v>DTO白名单；长度/枚举/归属/状态校验；禁止信任客户端派生值</x:v>
      </x:c>
      <x:c r="L428" s="17" t="str">
        <x:v>追加/版本/快照，不覆盖已生效历史</x:v>
      </x:c>
      <x:c r="M428" s="4" t="str">
        <x:v>M3</x:v>
      </x:c>
      <x:c r="N428" s="4" t="str">
        <x:v>P0-026,P0-058,P0-096</x:v>
      </x:c>
      <x:c r="O428" s="4" t="str">
        <x:v>综合方案§13核心数据模型</x:v>
      </x:c>
      <x:c r="P428" s="4" t="str">
        <x:v>DRAFT_FROM_SCHEME</x:v>
      </x:c>
    </x:row>
    <x:row r="429" ht="23" customHeight="1">
      <x:c r="A429" s="4" t="str">
        <x:v>RefundTransaction</x:v>
      </x:c>
      <x:c r="B429" s="4" t="str">
        <x:v>orderItemId</x:v>
      </x:c>
      <x:c r="C429" s="17" t="str">
        <x:v>orderItemId</x:v>
      </x:c>
      <x:c r="D429" s="4" t="str">
        <x:v>3</x:v>
      </x:c>
      <x:c r="E429" s="4" t="str">
        <x:v>String/UUID</x:v>
      </x:c>
      <x:c r="F429" s="4" t="str">
        <x:v>YES</x:v>
      </x:c>
      <x:c r="G429" s="4" t="str">
        <x:v>待M阶段冻结</x:v>
      </x:c>
      <x:c r="H429" s="17" t="str">
        <x:v>FINANCIAL</x:v>
      </x:c>
      <x:c r="I429" s="17" t="str">
        <x:v>公司财务与必要业务职能；供应商仅本供应商结算视图</x:v>
      </x:c>
      <x:c r="J429" s="17" t="str">
        <x:v>消费者响应仅返回自身交易白名单字段</x:v>
      </x:c>
      <x:c r="K429" s="17" t="str">
        <x:v>DTO白名单；长度/枚举/归属/状态校验；禁止信任客户端派生值</x:v>
      </x:c>
      <x:c r="L429" s="17" t="str">
        <x:v>追加/版本/快照，不覆盖已生效历史</x:v>
      </x:c>
      <x:c r="M429" s="4" t="str">
        <x:v>M3</x:v>
      </x:c>
      <x:c r="N429" s="4" t="str">
        <x:v>P0-026,P0-058,P0-096</x:v>
      </x:c>
      <x:c r="O429" s="4" t="str">
        <x:v>综合方案§13核心数据模型</x:v>
      </x:c>
      <x:c r="P429" s="4" t="str">
        <x:v>DRAFT_FROM_SCHEME</x:v>
      </x:c>
    </x:row>
    <x:row r="430" ht="23" customHeight="1">
      <x:c r="A430" s="4" t="str">
        <x:v>RefundTransaction</x:v>
      </x:c>
      <x:c r="B430" s="4" t="str">
        <x:v>refundNo</x:v>
      </x:c>
      <x:c r="C430" s="17" t="str">
        <x:v>refundNo</x:v>
      </x:c>
      <x:c r="D430" s="4" t="str">
        <x:v>4</x:v>
      </x:c>
      <x:c r="E430" s="4" t="str">
        <x:v>String</x:v>
      </x:c>
      <x:c r="F430" s="4" t="str">
        <x:v>YES</x:v>
      </x:c>
      <x:c r="G430" s="4" t="str">
        <x:v>待M阶段冻结</x:v>
      </x:c>
      <x:c r="H430" s="17" t="str">
        <x:v>FINANCIAL</x:v>
      </x:c>
      <x:c r="I430" s="17" t="str">
        <x:v>公司财务与必要业务职能；供应商仅本供应商结算视图</x:v>
      </x:c>
      <x:c r="J430" s="17" t="str">
        <x:v>消费者响应仅返回自身交易白名单字段</x:v>
      </x:c>
      <x:c r="K430" s="17" t="str">
        <x:v>DTO白名单；长度/枚举/归属/状态校验；禁止信任客户端派生值</x:v>
      </x:c>
      <x:c r="L430" s="17" t="str">
        <x:v>追加/版本/快照，不覆盖已生效历史</x:v>
      </x:c>
      <x:c r="M430" s="4" t="str">
        <x:v>M3</x:v>
      </x:c>
      <x:c r="N430" s="4" t="str">
        <x:v>P0-026,P0-058,P0-096</x:v>
      </x:c>
      <x:c r="O430" s="4" t="str">
        <x:v>综合方案§13核心数据模型</x:v>
      </x:c>
      <x:c r="P430" s="4" t="str">
        <x:v>DRAFT_FROM_SCHEME</x:v>
      </x:c>
    </x:row>
    <x:row r="431" ht="23" customHeight="1">
      <x:c r="A431" s="4" t="str">
        <x:v>RefundTransaction</x:v>
      </x:c>
      <x:c r="B431" s="4" t="str">
        <x:v>welfareCardRefundAmount</x:v>
      </x:c>
      <x:c r="C431" s="17" t="str">
        <x:v>welfareCardRefundAmount</x:v>
      </x:c>
      <x:c r="D431" s="4" t="str">
        <x:v>5</x:v>
      </x:c>
      <x:c r="E431" s="4" t="str">
        <x:v>Int(分)</x:v>
      </x:c>
      <x:c r="F431" s="4" t="str">
        <x:v>YES</x:v>
      </x:c>
      <x:c r="G431" s="4" t="str">
        <x:v>整数分</x:v>
      </x:c>
      <x:c r="H431" s="17" t="str">
        <x:v>FINANCIAL</x:v>
      </x:c>
      <x:c r="I431" s="17" t="str">
        <x:v>公司财务与必要业务职能；供应商仅本供应商结算视图</x:v>
      </x:c>
      <x:c r="J431" s="17" t="str">
        <x:v>消费者响应仅返回自身交易白名单字段</x:v>
      </x:c>
      <x:c r="K431" s="17" t="str">
        <x:v>DTO白名单；长度/枚举/归属/状态校验；禁止信任客户端派生值</x:v>
      </x:c>
      <x:c r="L431" s="17" t="str">
        <x:v>追加/版本/快照，不覆盖已生效历史</x:v>
      </x:c>
      <x:c r="M431" s="4" t="str">
        <x:v>M3</x:v>
      </x:c>
      <x:c r="N431" s="4" t="str">
        <x:v>P0-026,P0-058,P0-096</x:v>
      </x:c>
      <x:c r="O431" s="4" t="str">
        <x:v>综合方案§13核心数据模型</x:v>
      </x:c>
      <x:c r="P431" s="4" t="str">
        <x:v>DRAFT_FROM_SCHEME</x:v>
      </x:c>
    </x:row>
    <x:row r="432" ht="23" customHeight="1">
      <x:c r="A432" s="4" t="str">
        <x:v>RefundTransaction</x:v>
      </x:c>
      <x:c r="B432" s="4" t="str">
        <x:v>cashRefundAmount</x:v>
      </x:c>
      <x:c r="C432" s="17" t="str">
        <x:v>cashRefundAmount</x:v>
      </x:c>
      <x:c r="D432" s="4" t="str">
        <x:v>6</x:v>
      </x:c>
      <x:c r="E432" s="4" t="str">
        <x:v>Int(分)</x:v>
      </x:c>
      <x:c r="F432" s="4" t="str">
        <x:v>YES</x:v>
      </x:c>
      <x:c r="G432" s="4" t="str">
        <x:v>整数分</x:v>
      </x:c>
      <x:c r="H432" s="17" t="str">
        <x:v>FINANCIAL</x:v>
      </x:c>
      <x:c r="I432" s="17" t="str">
        <x:v>公司财务与必要业务职能；供应商仅本供应商结算视图</x:v>
      </x:c>
      <x:c r="J432" s="17" t="str">
        <x:v>消费者响应仅返回自身交易白名单字段</x:v>
      </x:c>
      <x:c r="K432" s="17" t="str">
        <x:v>DTO白名单；长度/枚举/归属/状态校验；禁止信任客户端派生值</x:v>
      </x:c>
      <x:c r="L432" s="17" t="str">
        <x:v>追加/版本/快照，不覆盖已生效历史</x:v>
      </x:c>
      <x:c r="M432" s="4" t="str">
        <x:v>M3</x:v>
      </x:c>
      <x:c r="N432" s="4" t="str">
        <x:v>P0-026,P0-058,P0-096</x:v>
      </x:c>
      <x:c r="O432" s="4" t="str">
        <x:v>综合方案§13核心数据模型</x:v>
      </x:c>
      <x:c r="P432" s="4" t="str">
        <x:v>DRAFT_FROM_SCHEME</x:v>
      </x:c>
    </x:row>
    <x:row r="433" ht="23" customHeight="1">
      <x:c r="A433" s="4" t="str">
        <x:v>RefundTransaction</x:v>
      </x:c>
      <x:c r="B433" s="4" t="str">
        <x:v>originalPaymentTransactionId</x:v>
      </x:c>
      <x:c r="C433" s="17" t="str">
        <x:v>originalPaymentTransactionId?</x:v>
      </x:c>
      <x:c r="D433" s="4" t="str">
        <x:v>7</x:v>
      </x:c>
      <x:c r="E433" s="4" t="str">
        <x:v>String/UUID</x:v>
      </x:c>
      <x:c r="F433" s="4" t="str">
        <x:v>NO</x:v>
      </x:c>
      <x:c r="G433" s="4" t="str">
        <x:v>待M阶段冻结</x:v>
      </x:c>
      <x:c r="H433" s="17" t="str">
        <x:v>FINANCIAL</x:v>
      </x:c>
      <x:c r="I433" s="17" t="str">
        <x:v>公司财务与必要业务职能；供应商仅本供应商结算视图</x:v>
      </x:c>
      <x:c r="J433" s="17" t="str">
        <x:v>消费者响应仅返回自身交易白名单字段</x:v>
      </x:c>
      <x:c r="K433" s="17" t="str">
        <x:v>DTO白名单；长度/枚举/归属/状态校验；禁止信任客户端派生值</x:v>
      </x:c>
      <x:c r="L433" s="17" t="str">
        <x:v>追加/版本/快照，不覆盖已生效历史</x:v>
      </x:c>
      <x:c r="M433" s="4" t="str">
        <x:v>M3</x:v>
      </x:c>
      <x:c r="N433" s="4" t="str">
        <x:v>P0-026,P0-058,P0-096</x:v>
      </x:c>
      <x:c r="O433" s="4" t="str">
        <x:v>综合方案§13核心数据模型</x:v>
      </x:c>
      <x:c r="P433" s="4" t="str">
        <x:v>DRAFT_FROM_SCHEME</x:v>
      </x:c>
    </x:row>
    <x:row r="434" ht="23" customHeight="1">
      <x:c r="A434" s="4" t="str">
        <x:v>RefundTransaction</x:v>
      </x:c>
      <x:c r="B434" s="4" t="str">
        <x:v>wechatRefundNo</x:v>
      </x:c>
      <x:c r="C434" s="17" t="str">
        <x:v>wechatRefundNo?</x:v>
      </x:c>
      <x:c r="D434" s="4" t="str">
        <x:v>8</x:v>
      </x:c>
      <x:c r="E434" s="4" t="str">
        <x:v>String</x:v>
      </x:c>
      <x:c r="F434" s="4" t="str">
        <x:v>NO</x:v>
      </x:c>
      <x:c r="G434" s="4" t="str">
        <x:v>待M阶段冻结</x:v>
      </x:c>
      <x:c r="H434" s="17" t="str">
        <x:v>FINANCIAL</x:v>
      </x:c>
      <x:c r="I434" s="17" t="str">
        <x:v>公司财务与必要业务职能；供应商仅本供应商结算视图</x:v>
      </x:c>
      <x:c r="J434" s="17" t="str">
        <x:v>消费者响应仅返回自身交易白名单字段</x:v>
      </x:c>
      <x:c r="K434" s="17" t="str">
        <x:v>DTO白名单；长度/枚举/归属/状态校验；禁止信任客户端派生值</x:v>
      </x:c>
      <x:c r="L434" s="17" t="str">
        <x:v>追加/版本/快照，不覆盖已生效历史</x:v>
      </x:c>
      <x:c r="M434" s="4" t="str">
        <x:v>M3</x:v>
      </x:c>
      <x:c r="N434" s="4" t="str">
        <x:v>P0-026,P0-058,P0-096</x:v>
      </x:c>
      <x:c r="O434" s="4" t="str">
        <x:v>综合方案§13核心数据模型</x:v>
      </x:c>
      <x:c r="P434" s="4" t="str">
        <x:v>DRAFT_FROM_SCHEME</x:v>
      </x:c>
    </x:row>
    <x:row r="435" ht="23" customHeight="1">
      <x:c r="A435" s="4" t="str">
        <x:v>RefundTransaction</x:v>
      </x:c>
      <x:c r="B435" s="4" t="str">
        <x:v>status</x:v>
      </x:c>
      <x:c r="C435" s="17" t="str">
        <x:v>status</x:v>
      </x:c>
      <x:c r="D435" s="4" t="str">
        <x:v>9</x:v>
      </x:c>
      <x:c r="E435" s="4" t="str">
        <x:v>Enum/String</x:v>
      </x:c>
      <x:c r="F435" s="4" t="str">
        <x:v>YES</x:v>
      </x:c>
      <x:c r="G435" s="4" t="str">
        <x:v>待M阶段冻结</x:v>
      </x:c>
      <x:c r="H435" s="17" t="str">
        <x:v>FINANCIAL</x:v>
      </x:c>
      <x:c r="I435" s="17" t="str">
        <x:v>公司财务与必要业务职能；供应商仅本供应商结算视图</x:v>
      </x:c>
      <x:c r="J435" s="17" t="str">
        <x:v>消费者响应仅返回自身交易白名单字段</x:v>
      </x:c>
      <x:c r="K435" s="17" t="str">
        <x:v>DTO白名单；长度/枚举/归属/状态校验；禁止信任客户端派生值</x:v>
      </x:c>
      <x:c r="L435" s="17" t="str">
        <x:v>追加/版本/快照，不覆盖已生效历史</x:v>
      </x:c>
      <x:c r="M435" s="4" t="str">
        <x:v>M3</x:v>
      </x:c>
      <x:c r="N435" s="4" t="str">
        <x:v>P0-026,P0-058,P0-096</x:v>
      </x:c>
      <x:c r="O435" s="4" t="str">
        <x:v>综合方案§13核心数据模型</x:v>
      </x:c>
      <x:c r="P435" s="4" t="str">
        <x:v>DRAFT_FROM_SCHEME</x:v>
      </x:c>
    </x:row>
    <x:row r="436" ht="23" customHeight="1">
      <x:c r="A436" s="4" t="str">
        <x:v>RefundTransaction</x:v>
      </x:c>
      <x:c r="B436" s="4" t="str">
        <x:v>notifyVerifiedAt</x:v>
      </x:c>
      <x:c r="C436" s="17" t="str">
        <x:v>notifyVerifiedAt?</x:v>
      </x:c>
      <x:c r="D436" s="4" t="str">
        <x:v>10</x:v>
      </x:c>
      <x:c r="E436" s="4" t="str">
        <x:v>DateTime</x:v>
      </x:c>
      <x:c r="F436" s="4" t="str">
        <x:v>NO</x:v>
      </x:c>
      <x:c r="G436" s="4" t="str">
        <x:v>ISO-8601+明确时区</x:v>
      </x:c>
      <x:c r="H436" s="17" t="str">
        <x:v>FINANCIAL</x:v>
      </x:c>
      <x:c r="I436" s="17" t="str">
        <x:v>公司财务与必要业务职能；供应商仅本供应商结算视图</x:v>
      </x:c>
      <x:c r="J436" s="17" t="str">
        <x:v>消费者响应仅返回自身交易白名单字段</x:v>
      </x:c>
      <x:c r="K436" s="17" t="str">
        <x:v>DTO白名单；长度/枚举/归属/状态校验；禁止信任客户端派生值</x:v>
      </x:c>
      <x:c r="L436" s="17" t="str">
        <x:v>追加/版本/快照，不覆盖已生效历史</x:v>
      </x:c>
      <x:c r="M436" s="4" t="str">
        <x:v>M3</x:v>
      </x:c>
      <x:c r="N436" s="4" t="str">
        <x:v>P0-026,P0-058,P0-096</x:v>
      </x:c>
      <x:c r="O436" s="4" t="str">
        <x:v>综合方案§13核心数据模型</x:v>
      </x:c>
      <x:c r="P436" s="4" t="str">
        <x:v>DRAFT_FROM_SCHEME</x:v>
      </x:c>
    </x:row>
    <x:row r="437" ht="23" customHeight="1">
      <x:c r="A437" s="4" t="str">
        <x:v>RefundTransaction</x:v>
      </x:c>
      <x:c r="B437" s="4" t="str">
        <x:v>idempotencyKey</x:v>
      </x:c>
      <x:c r="C437" s="17" t="str">
        <x:v>idempotencyKey</x:v>
      </x:c>
      <x:c r="D437" s="4" t="str">
        <x:v>11</x:v>
      </x:c>
      <x:c r="E437" s="4" t="str">
        <x:v>String</x:v>
      </x:c>
      <x:c r="F437" s="4" t="str">
        <x:v>YES</x:v>
      </x:c>
      <x:c r="G437" s="4" t="str">
        <x:v>待M阶段冻结</x:v>
      </x:c>
      <x:c r="H437" s="17" t="str">
        <x:v>FINANCIAL</x:v>
      </x:c>
      <x:c r="I437" s="17" t="str">
        <x:v>公司财务与必要业务职能；供应商仅本供应商结算视图</x:v>
      </x:c>
      <x:c r="J437" s="17" t="str">
        <x:v>消费者响应仅返回自身交易白名单字段</x:v>
      </x:c>
      <x:c r="K437" s="17" t="str">
        <x:v>DTO白名单；长度/枚举/归属/状态校验；禁止信任客户端派生值</x:v>
      </x:c>
      <x:c r="L437" s="17" t="str">
        <x:v>追加/版本/快照，不覆盖已生效历史</x:v>
      </x:c>
      <x:c r="M437" s="4" t="str">
        <x:v>M3</x:v>
      </x:c>
      <x:c r="N437" s="4" t="str">
        <x:v>P0-026,P0-058,P0-096</x:v>
      </x:c>
      <x:c r="O437" s="4" t="str">
        <x:v>综合方案§13核心数据模型</x:v>
      </x:c>
      <x:c r="P437" s="4" t="str">
        <x:v>DRAFT_FROM_SCHEME</x:v>
      </x:c>
    </x:row>
    <x:row r="438" ht="23" customHeight="1">
      <x:c r="A438" s="4" t="str">
        <x:v>InventoryBalance</x:v>
      </x:c>
      <x:c r="B438" s="4" t="str">
        <x:v>id</x:v>
      </x:c>
      <x:c r="C438" s="17" t="str">
        <x:v>id</x:v>
      </x:c>
      <x:c r="D438" s="4" t="str">
        <x:v>1</x:v>
      </x:c>
      <x:c r="E438" s="4" t="str">
        <x:v>String(36)</x:v>
      </x:c>
      <x:c r="F438" s="4" t="str">
        <x:v>YES</x:v>
      </x:c>
      <x:c r="G438" s="4" t="str">
        <x:v>UUID v4</x:v>
      </x:c>
      <x:c r="H438" s="17" t="str">
        <x:v>INTERNAL</x:v>
      </x:c>
      <x:c r="I438" s="17" t="str">
        <x:v>按资源权限与数据域访问；公开DTO另行白名单</x:v>
      </x:c>
      <x:c r="J438" s="17" t="str">
        <x:v>数据库实体不得直接序列化为响应</x:v>
      </x:c>
      <x:c r="K438" s="17" t="str">
        <x:v>server-owned identifier; ownership verified before lookup result</x:v>
      </x:c>
      <x:c r="L438" s="17" t="str">
        <x:v>按实体version或审计日志保留变更证据</x:v>
      </x:c>
      <x:c r="M438" s="4" t="str">
        <x:v>M2</x:v>
      </x:c>
      <x:c r="N438" s="4" t="str">
        <x:v>P0-023,P0-063</x:v>
      </x:c>
      <x:c r="O438" s="4" t="str">
        <x:v>综合方案§13核心数据模型</x:v>
      </x:c>
      <x:c r="P438" s="4" t="str">
        <x:v>FROZEN_M2_000</x:v>
      </x:c>
    </x:row>
    <x:row r="439" ht="23" customHeight="1">
      <x:c r="A439" s="4" t="str">
        <x:v>InventoryBalance</x:v>
      </x:c>
      <x:c r="B439" s="4" t="str">
        <x:v>skuId</x:v>
      </x:c>
      <x:c r="C439" s="17" t="str">
        <x:v>skuId</x:v>
      </x:c>
      <x:c r="D439" s="4" t="str">
        <x:v>2</x:v>
      </x:c>
      <x:c r="E439" s="4" t="str">
        <x:v>String(36)</x:v>
      </x:c>
      <x:c r="F439" s="4" t="str">
        <x:v>YES</x:v>
      </x:c>
      <x:c r="G439" s="4" t="str">
        <x:v>UUID v4</x:v>
      </x:c>
      <x:c r="H439" s="17" t="str">
        <x:v>INTERNAL</x:v>
      </x:c>
      <x:c r="I439" s="17" t="str">
        <x:v>按资源权限与数据域访问；公开DTO另行白名单</x:v>
      </x:c>
      <x:c r="J439" s="17" t="str">
        <x:v>数据库实体不得直接序列化为响应</x:v>
      </x:c>
      <x:c r="K439" s="17" t="str">
        <x:v>server-resolved active Sku; unique exactly once</x:v>
      </x:c>
      <x:c r="L439" s="17" t="str">
        <x:v>按实体version或审计日志保留变更证据</x:v>
      </x:c>
      <x:c r="M439" s="4" t="str">
        <x:v>M2</x:v>
      </x:c>
      <x:c r="N439" s="4" t="str">
        <x:v>P0-023,P0-063</x:v>
      </x:c>
      <x:c r="O439" s="4" t="str">
        <x:v>综合方案§13核心数据模型</x:v>
      </x:c>
      <x:c r="P439" s="4" t="str">
        <x:v>FROZEN_M2_000</x:v>
      </x:c>
    </x:row>
    <x:row r="440" ht="23" customHeight="1">
      <x:c r="A440" s="4" t="str">
        <x:v>InventoryBalance</x:v>
      </x:c>
      <x:c r="B440" s="4" t="str">
        <x:v>availableQty</x:v>
      </x:c>
      <x:c r="C440" s="17" t="str">
        <x:v>availableQty</x:v>
      </x:c>
      <x:c r="D440" s="4" t="str">
        <x:v>3</x:v>
      </x:c>
      <x:c r="E440" s="4" t="str">
        <x:v>Int</x:v>
      </x:c>
      <x:c r="F440" s="4" t="str">
        <x:v>YES</x:v>
      </x:c>
      <x:c r="G440" s="4" t="str">
        <x:v>non-negative integer quantity</x:v>
      </x:c>
      <x:c r="H440" s="17" t="str">
        <x:v>INTERNAL</x:v>
      </x:c>
      <x:c r="I440" s="17" t="str">
        <x:v>按资源权限与数据域访问；公开DTO另行白名单</x:v>
      </x:c>
      <x:c r="J440" s="17" t="str">
        <x:v>数据库实体不得直接序列化为响应</x:v>
      </x:c>
      <x:c r="K440" s="17" t="str">
        <x:v>non-negative; transactional invariant; no lost update</x:v>
      </x:c>
      <x:c r="L440" s="17" t="str">
        <x:v>按实体version或审计日志保留变更证据</x:v>
      </x:c>
      <x:c r="M440" s="4" t="str">
        <x:v>M2</x:v>
      </x:c>
      <x:c r="N440" s="4" t="str">
        <x:v>P0-023,P0-063</x:v>
      </x:c>
      <x:c r="O440" s="4" t="str">
        <x:v>综合方案§13核心数据模型</x:v>
      </x:c>
      <x:c r="P440" s="4" t="str">
        <x:v>FROZEN_M2_000</x:v>
      </x:c>
    </x:row>
    <x:row r="441" ht="23" customHeight="1">
      <x:c r="A441" s="4" t="str">
        <x:v>InventoryBalance</x:v>
      </x:c>
      <x:c r="B441" s="4" t="str">
        <x:v>reservedQty</x:v>
      </x:c>
      <x:c r="C441" s="17" t="str">
        <x:v>reservedQty</x:v>
      </x:c>
      <x:c r="D441" s="4" t="str">
        <x:v>4</x:v>
      </x:c>
      <x:c r="E441" s="4" t="str">
        <x:v>Int</x:v>
      </x:c>
      <x:c r="F441" s="4" t="str">
        <x:v>YES</x:v>
      </x:c>
      <x:c r="G441" s="4" t="str">
        <x:v>non-negative integer quantity</x:v>
      </x:c>
      <x:c r="H441" s="17" t="str">
        <x:v>INTERNAL</x:v>
      </x:c>
      <x:c r="I441" s="17" t="str">
        <x:v>按资源权限与数据域访问；公开DTO另行白名单</x:v>
      </x:c>
      <x:c r="J441" s="17" t="str">
        <x:v>数据库实体不得直接序列化为响应</x:v>
      </x:c>
      <x:c r="K441" s="17" t="str">
        <x:v>non-negative; transactional invariant; no lost update</x:v>
      </x:c>
      <x:c r="L441" s="17" t="str">
        <x:v>按实体version或审计日志保留变更证据</x:v>
      </x:c>
      <x:c r="M441" s="4" t="str">
        <x:v>M2</x:v>
      </x:c>
      <x:c r="N441" s="4" t="str">
        <x:v>P0-023,P0-063</x:v>
      </x:c>
      <x:c r="O441" s="4" t="str">
        <x:v>综合方案§13核心数据模型</x:v>
      </x:c>
      <x:c r="P441" s="4" t="str">
        <x:v>FROZEN_M2_000</x:v>
      </x:c>
    </x:row>
    <x:row r="442" ht="23" customHeight="1">
      <x:c r="A442" s="4" t="str">
        <x:v>InventoryBalance</x:v>
      </x:c>
      <x:c r="B442" s="4" t="str">
        <x:v>soldQty</x:v>
      </x:c>
      <x:c r="C442" s="17" t="str">
        <x:v>soldQty</x:v>
      </x:c>
      <x:c r="D442" s="4" t="str">
        <x:v>5</x:v>
      </x:c>
      <x:c r="E442" s="4" t="str">
        <x:v>Int</x:v>
      </x:c>
      <x:c r="F442" s="4" t="str">
        <x:v>YES</x:v>
      </x:c>
      <x:c r="G442" s="4" t="str">
        <x:v>non-negative integer quantity</x:v>
      </x:c>
      <x:c r="H442" s="17" t="str">
        <x:v>INTERNAL</x:v>
      </x:c>
      <x:c r="I442" s="17" t="str">
        <x:v>按资源权限与数据域访问；公开DTO另行白名单</x:v>
      </x:c>
      <x:c r="J442" s="17" t="str">
        <x:v>数据库实体不得直接序列化为响应</x:v>
      </x:c>
      <x:c r="K442" s="17" t="str">
        <x:v>non-negative; transactional invariant; no lost update</x:v>
      </x:c>
      <x:c r="L442" s="17" t="str">
        <x:v>按实体version或审计日志保留变更证据</x:v>
      </x:c>
      <x:c r="M442" s="4" t="str">
        <x:v>M2</x:v>
      </x:c>
      <x:c r="N442" s="4" t="str">
        <x:v>P0-023,P0-063</x:v>
      </x:c>
      <x:c r="O442" s="4" t="str">
        <x:v>综合方案§13核心数据模型</x:v>
      </x:c>
      <x:c r="P442" s="4" t="str">
        <x:v>FROZEN_M2_000</x:v>
      </x:c>
    </x:row>
    <x:row r="443" ht="23" customHeight="1">
      <x:c r="A443" s="4" t="str">
        <x:v>InventoryBalance</x:v>
      </x:c>
      <x:c r="B443" s="4" t="str">
        <x:v>version</x:v>
      </x:c>
      <x:c r="C443" s="17" t="str">
        <x:v>version</x:v>
      </x:c>
      <x:c r="D443" s="4" t="str">
        <x:v>6</x:v>
      </x:c>
      <x:c r="E443" s="4" t="str">
        <x:v>Int</x:v>
      </x:c>
      <x:c r="F443" s="4" t="str">
        <x:v>YES</x:v>
      </x:c>
      <x:c r="G443" s="4" t="str">
        <x:v>positive monotonic integer</x:v>
      </x:c>
      <x:c r="H443" s="17" t="str">
        <x:v>INTERNAL</x:v>
      </x:c>
      <x:c r="I443" s="17" t="str">
        <x:v>按资源权限与数据域访问；公开DTO另行白名单</x:v>
      </x:c>
      <x:c r="J443" s="17" t="str">
        <x:v>数据库实体不得直接序列化为响应</x:v>
      </x:c>
      <x:c r="K443" s="17" t="str">
        <x:v>optimistic lock; increment exactly once per successful write</x:v>
      </x:c>
      <x:c r="L443" s="17" t="str">
        <x:v>按实体version或审计日志保留变更证据</x:v>
      </x:c>
      <x:c r="M443" s="4" t="str">
        <x:v>M2</x:v>
      </x:c>
      <x:c r="N443" s="4" t="str">
        <x:v>P0-023,P0-063</x:v>
      </x:c>
      <x:c r="O443" s="4" t="str">
        <x:v>综合方案§13核心数据模型</x:v>
      </x:c>
      <x:c r="P443" s="4" t="str">
        <x:v>FROZEN_M2_000</x:v>
      </x:c>
    </x:row>
    <x:row r="444" ht="23" customHeight="1">
      <x:c r="A444" s="4" t="str">
        <x:v>InventoryBalance</x:v>
      </x:c>
      <x:c r="B444" s="4" t="str">
        <x:v>updatedAt</x:v>
      </x:c>
      <x:c r="C444" s="17" t="str">
        <x:v>updatedAt</x:v>
      </x:c>
      <x:c r="D444" s="4" t="str">
        <x:v>7</x:v>
      </x:c>
      <x:c r="E444" s="4" t="str">
        <x:v>DateTime</x:v>
      </x:c>
      <x:c r="F444" s="4" t="str">
        <x:v>YES</x:v>
      </x:c>
      <x:c r="G444" s="4" t="str">
        <x:v>UTC ISO-8601</x:v>
      </x:c>
      <x:c r="H444" s="17" t="str">
        <x:v>INTERNAL</x:v>
      </x:c>
      <x:c r="I444" s="17" t="str">
        <x:v>按资源权限与数据域访问；公开DTO另行白名单</x:v>
      </x:c>
      <x:c r="J444" s="17" t="str">
        <x:v>数据库实体不得直接序列化为响应</x:v>
      </x:c>
      <x:c r="K444" s="17" t="str">
        <x:v>DTO whitelist; length/enum/ownership/state validation; client-derived ownership rejected</x:v>
      </x:c>
      <x:c r="L444" s="17" t="str">
        <x:v>按实体version或审计日志保留变更证据</x:v>
      </x:c>
      <x:c r="M444" s="4" t="str">
        <x:v>M2</x:v>
      </x:c>
      <x:c r="N444" s="4" t="str">
        <x:v>P0-023,P0-063</x:v>
      </x:c>
      <x:c r="O444" s="4" t="str">
        <x:v>综合方案§13核心数据模型</x:v>
      </x:c>
      <x:c r="P444" s="4" t="str">
        <x:v>FROZEN_M2_000</x:v>
      </x:c>
    </x:row>
    <x:row r="445" ht="23" customHeight="1">
      <x:c r="A445" s="4" t="str">
        <x:v>InventoryChangeLog</x:v>
      </x:c>
      <x:c r="B445" s="4" t="str">
        <x:v>id</x:v>
      </x:c>
      <x:c r="C445" s="17" t="str">
        <x:v>id</x:v>
      </x:c>
      <x:c r="D445" s="4" t="str">
        <x:v>1</x:v>
      </x:c>
      <x:c r="E445" s="4" t="str">
        <x:v>String(36)</x:v>
      </x:c>
      <x:c r="F445" s="4" t="str">
        <x:v>YES</x:v>
      </x:c>
      <x:c r="G445" s="4" t="str">
        <x:v>UUID v4</x:v>
      </x:c>
      <x:c r="H445" s="17" t="str">
        <x:v>INTERNAL</x:v>
      </x:c>
      <x:c r="I445" s="17" t="str">
        <x:v>按资源权限与数据域访问；公开DTO另行白名单</x:v>
      </x:c>
      <x:c r="J445" s="17" t="str">
        <x:v>数据库实体不得直接序列化为响应</x:v>
      </x:c>
      <x:c r="K445" s="17" t="str">
        <x:v>append-only; before/after arithmetic and idempotent reference must reconcile</x:v>
      </x:c>
      <x:c r="L445" s="17" t="str">
        <x:v>追加/版本/快照，不覆盖已生效历史</x:v>
      </x:c>
      <x:c r="M445" s="4" t="str">
        <x:v>M2</x:v>
      </x:c>
      <x:c r="N445" s="4" t="str">
        <x:v>P0-063</x:v>
      </x:c>
      <x:c r="O445" s="4" t="str">
        <x:v>综合方案§13核心数据模型</x:v>
      </x:c>
      <x:c r="P445" s="4" t="str">
        <x:v>FROZEN_M2_000</x:v>
      </x:c>
    </x:row>
    <x:row r="446" ht="23" customHeight="1">
      <x:c r="A446" s="4" t="str">
        <x:v>InventoryChangeLog</x:v>
      </x:c>
      <x:c r="B446" s="4" t="str">
        <x:v>supplierId</x:v>
      </x:c>
      <x:c r="C446" s="17" t="str">
        <x:v>supplierId</x:v>
      </x:c>
      <x:c r="D446" s="4" t="str">
        <x:v>2</x:v>
      </x:c>
      <x:c r="E446" s="4" t="str">
        <x:v>String(36)</x:v>
      </x:c>
      <x:c r="F446" s="4" t="str">
        <x:v>YES</x:v>
      </x:c>
      <x:c r="G446" s="4" t="str">
        <x:v>UUID v4</x:v>
      </x:c>
      <x:c r="H446" s="17" t="str">
        <x:v>INTERNAL</x:v>
      </x:c>
      <x:c r="I446" s="17" t="str">
        <x:v>按资源权限与数据域访问；公开DTO另行白名单</x:v>
      </x:c>
      <x:c r="J446" s="17" t="str">
        <x:v>数据库实体不得直接序列化为响应</x:v>
      </x:c>
      <x:c r="K446" s="17" t="str">
        <x:v>derived from authenticated server session; client value rejected</x:v>
      </x:c>
      <x:c r="L446" s="17" t="str">
        <x:v>追加/版本/快照，不覆盖已生效历史</x:v>
      </x:c>
      <x:c r="M446" s="4" t="str">
        <x:v>M2</x:v>
      </x:c>
      <x:c r="N446" s="4" t="str">
        <x:v>P0-063</x:v>
      </x:c>
      <x:c r="O446" s="4" t="str">
        <x:v>综合方案§13核心数据模型</x:v>
      </x:c>
      <x:c r="P446" s="4" t="str">
        <x:v>FROZEN_M2_000</x:v>
      </x:c>
    </x:row>
    <x:row r="447" ht="23" customHeight="1">
      <x:c r="A447" s="4" t="str">
        <x:v>InventoryChangeLog</x:v>
      </x:c>
      <x:c r="B447" s="4" t="str">
        <x:v>skuId</x:v>
      </x:c>
      <x:c r="C447" s="17" t="str">
        <x:v>skuId</x:v>
      </x:c>
      <x:c r="D447" s="4" t="str">
        <x:v>3</x:v>
      </x:c>
      <x:c r="E447" s="4" t="str">
        <x:v>String(36)</x:v>
      </x:c>
      <x:c r="F447" s="4" t="str">
        <x:v>YES</x:v>
      </x:c>
      <x:c r="G447" s="4" t="str">
        <x:v>UUID v4</x:v>
      </x:c>
      <x:c r="H447" s="17" t="str">
        <x:v>INTERNAL</x:v>
      </x:c>
      <x:c r="I447" s="17" t="str">
        <x:v>按资源权限与数据域访问；公开DTO另行白名单</x:v>
      </x:c>
      <x:c r="J447" s="17" t="str">
        <x:v>数据库实体不得直接序列化为响应</x:v>
      </x:c>
      <x:c r="K447" s="17" t="str">
        <x:v>append-only; before/after arithmetic and idempotent reference must reconcile</x:v>
      </x:c>
      <x:c r="L447" s="17" t="str">
        <x:v>追加/版本/快照，不覆盖已生效历史</x:v>
      </x:c>
      <x:c r="M447" s="4" t="str">
        <x:v>M2</x:v>
      </x:c>
      <x:c r="N447" s="4" t="str">
        <x:v>P0-063</x:v>
      </x:c>
      <x:c r="O447" s="4" t="str">
        <x:v>综合方案§13核心数据模型</x:v>
      </x:c>
      <x:c r="P447" s="4" t="str">
        <x:v>FROZEN_M2_000</x:v>
      </x:c>
    </x:row>
    <x:row r="448" ht="23" customHeight="1">
      <x:c r="A448" s="4" t="str">
        <x:v>InventoryChangeLog</x:v>
      </x:c>
      <x:c r="B448" s="4" t="str">
        <x:v>type</x:v>
      </x:c>
      <x:c r="C448" s="17" t="str">
        <x:v>type</x:v>
      </x:c>
      <x:c r="D448" s="4" t="str">
        <x:v>4</x:v>
      </x:c>
      <x:c r="E448" s="4" t="str">
        <x:v>Enum&lt;InventoryChangeType&gt;</x:v>
      </x:c>
      <x:c r="F448" s="4" t="str">
        <x:v>YES</x:v>
      </x:c>
      <x:c r="G448" s="4" t="str">
        <x:v>INCREASE|DECREASE|STOCKTAKE_GAIN|STOCKTAKE_LOSS|DAMAGE|RESERVE|RELEASE|CONFIRM_SALE</x:v>
      </x:c>
      <x:c r="H448" s="17" t="str">
        <x:v>INTERNAL</x:v>
      </x:c>
      <x:c r="I448" s="17" t="str">
        <x:v>按资源权限与数据域访问；公开DTO另行白名单</x:v>
      </x:c>
      <x:c r="J448" s="17" t="str">
        <x:v>数据库实体不得直接序列化为响应</x:v>
      </x:c>
      <x:c r="K448" s="17" t="str">
        <x:v>append-only; before/after arithmetic and idempotent reference must reconcile</x:v>
      </x:c>
      <x:c r="L448" s="17" t="str">
        <x:v>追加/版本/快照，不覆盖已生效历史</x:v>
      </x:c>
      <x:c r="M448" s="4" t="str">
        <x:v>M2</x:v>
      </x:c>
      <x:c r="N448" s="4" t="str">
        <x:v>P0-063</x:v>
      </x:c>
      <x:c r="O448" s="4" t="str">
        <x:v>综合方案§13核心数据模型</x:v>
      </x:c>
      <x:c r="P448" s="4" t="str">
        <x:v>FROZEN_M2_000</x:v>
      </x:c>
    </x:row>
    <x:row r="449" ht="23" customHeight="1">
      <x:c r="A449" s="4" t="str">
        <x:v>InventoryChangeLog</x:v>
      </x:c>
      <x:c r="B449" s="4" t="str">
        <x:v>quantityDelta</x:v>
      </x:c>
      <x:c r="C449" s="17" t="str">
        <x:v>quantityDelta</x:v>
      </x:c>
      <x:c r="D449" s="4" t="str">
        <x:v>5</x:v>
      </x:c>
      <x:c r="E449" s="4" t="str">
        <x:v>Int</x:v>
      </x:c>
      <x:c r="F449" s="4" t="str">
        <x:v>YES</x:v>
      </x:c>
      <x:c r="G449" s="4" t="str">
        <x:v>signed non-zero integer quantity</x:v>
      </x:c>
      <x:c r="H449" s="17" t="str">
        <x:v>INTERNAL</x:v>
      </x:c>
      <x:c r="I449" s="17" t="str">
        <x:v>按资源权限与数据域访问；公开DTO另行白名单</x:v>
      </x:c>
      <x:c r="J449" s="17" t="str">
        <x:v>数据库实体不得直接序列化为响应</x:v>
      </x:c>
      <x:c r="K449" s="17" t="str">
        <x:v>append-only; before/after arithmetic and idempotent reference must reconcile</x:v>
      </x:c>
      <x:c r="L449" s="17" t="str">
        <x:v>追加/版本/快照，不覆盖已生效历史</x:v>
      </x:c>
      <x:c r="M449" s="4" t="str">
        <x:v>M2</x:v>
      </x:c>
      <x:c r="N449" s="4" t="str">
        <x:v>P0-063</x:v>
      </x:c>
      <x:c r="O449" s="4" t="str">
        <x:v>综合方案§13核心数据模型</x:v>
      </x:c>
      <x:c r="P449" s="4" t="str">
        <x:v>FROZEN_M2_000</x:v>
      </x:c>
    </x:row>
    <x:row r="450" ht="23" customHeight="1">
      <x:c r="A450" s="4" t="str">
        <x:v>InventoryChangeLog</x:v>
      </x:c>
      <x:c r="B450" s="4" t="str">
        <x:v>beforeQty</x:v>
      </x:c>
      <x:c r="C450" s="17" t="str">
        <x:v>beforeQty</x:v>
      </x:c>
      <x:c r="D450" s="4" t="str">
        <x:v>6</x:v>
      </x:c>
      <x:c r="E450" s="4" t="str">
        <x:v>Int</x:v>
      </x:c>
      <x:c r="F450" s="4" t="str">
        <x:v>YES</x:v>
      </x:c>
      <x:c r="G450" s="4" t="str">
        <x:v>non-negative integer quantity</x:v>
      </x:c>
      <x:c r="H450" s="17" t="str">
        <x:v>INTERNAL</x:v>
      </x:c>
      <x:c r="I450" s="17" t="str">
        <x:v>按资源权限与数据域访问；公开DTO另行白名单</x:v>
      </x:c>
      <x:c r="J450" s="17" t="str">
        <x:v>数据库实体不得直接序列化为响应</x:v>
      </x:c>
      <x:c r="K450" s="17" t="str">
        <x:v>append-only; before/after arithmetic and idempotent reference must reconcile</x:v>
      </x:c>
      <x:c r="L450" s="17" t="str">
        <x:v>追加/版本/快照，不覆盖已生效历史</x:v>
      </x:c>
      <x:c r="M450" s="4" t="str">
        <x:v>M2</x:v>
      </x:c>
      <x:c r="N450" s="4" t="str">
        <x:v>P0-063</x:v>
      </x:c>
      <x:c r="O450" s="4" t="str">
        <x:v>综合方案§13核心数据模型</x:v>
      </x:c>
      <x:c r="P450" s="4" t="str">
        <x:v>FROZEN_M2_000</x:v>
      </x:c>
    </x:row>
    <x:row r="451" ht="23" customHeight="1">
      <x:c r="A451" s="4" t="str">
        <x:v>InventoryChangeLog</x:v>
      </x:c>
      <x:c r="B451" s="4" t="str">
        <x:v>afterQty</x:v>
      </x:c>
      <x:c r="C451" s="17" t="str">
        <x:v>afterQty</x:v>
      </x:c>
      <x:c r="D451" s="4" t="str">
        <x:v>7</x:v>
      </x:c>
      <x:c r="E451" s="4" t="str">
        <x:v>Int</x:v>
      </x:c>
      <x:c r="F451" s="4" t="str">
        <x:v>YES</x:v>
      </x:c>
      <x:c r="G451" s="4" t="str">
        <x:v>non-negative integer quantity</x:v>
      </x:c>
      <x:c r="H451" s="17" t="str">
        <x:v>INTERNAL</x:v>
      </x:c>
      <x:c r="I451" s="17" t="str">
        <x:v>按资源权限与数据域访问；公开DTO另行白名单</x:v>
      </x:c>
      <x:c r="J451" s="17" t="str">
        <x:v>数据库实体不得直接序列化为响应</x:v>
      </x:c>
      <x:c r="K451" s="17" t="str">
        <x:v>append-only; before/after arithmetic and idempotent reference must reconcile</x:v>
      </x:c>
      <x:c r="L451" s="17" t="str">
        <x:v>追加/版本/快照，不覆盖已生效历史</x:v>
      </x:c>
      <x:c r="M451" s="4" t="str">
        <x:v>M2</x:v>
      </x:c>
      <x:c r="N451" s="4" t="str">
        <x:v>P0-063</x:v>
      </x:c>
      <x:c r="O451" s="4" t="str">
        <x:v>综合方案§13核心数据模型</x:v>
      </x:c>
      <x:c r="P451" s="4" t="str">
        <x:v>FROZEN_M2_000</x:v>
      </x:c>
    </x:row>
    <x:row r="452" ht="23" customHeight="1">
      <x:c r="A452" s="4" t="str">
        <x:v>InventoryChangeLog</x:v>
      </x:c>
      <x:c r="B452" s="4" t="str">
        <x:v>referenceType</x:v>
      </x:c>
      <x:c r="C452" s="17" t="str">
        <x:v>referenceType</x:v>
      </x:c>
      <x:c r="D452" s="4" t="str">
        <x:v>8</x:v>
      </x:c>
      <x:c r="E452" s="4" t="str">
        <x:v>Enum&lt;InventoryReferenceType&gt;</x:v>
      </x:c>
      <x:c r="F452" s="4" t="str">
        <x:v>YES</x:v>
      </x:c>
      <x:c r="G452" s="4" t="str">
        <x:v>MANUAL_ADJUSTMENT|STOCKTAKE|DAMAGE|ORDER_RESERVATION|ORDER_RELEASE|ORDER_CONFIRM</x:v>
      </x:c>
      <x:c r="H452" s="17" t="str">
        <x:v>INTERNAL</x:v>
      </x:c>
      <x:c r="I452" s="17" t="str">
        <x:v>按资源权限与数据域访问；公开DTO另行白名单</x:v>
      </x:c>
      <x:c r="J452" s="17" t="str">
        <x:v>数据库实体不得直接序列化为响应</x:v>
      </x:c>
      <x:c r="K452" s="17" t="str">
        <x:v>append-only; before/after arithmetic and idempotent reference must reconcile</x:v>
      </x:c>
      <x:c r="L452" s="17" t="str">
        <x:v>追加/版本/快照，不覆盖已生效历史</x:v>
      </x:c>
      <x:c r="M452" s="4" t="str">
        <x:v>M2</x:v>
      </x:c>
      <x:c r="N452" s="4" t="str">
        <x:v>P0-063</x:v>
      </x:c>
      <x:c r="O452" s="4" t="str">
        <x:v>综合方案§13核心数据模型</x:v>
      </x:c>
      <x:c r="P452" s="4" t="str">
        <x:v>FROZEN_M2_000</x:v>
      </x:c>
    </x:row>
    <x:row r="453" ht="23" customHeight="1">
      <x:c r="A453" s="4" t="str">
        <x:v>InventoryChangeLog</x:v>
      </x:c>
      <x:c r="B453" s="4" t="str">
        <x:v>referenceId</x:v>
      </x:c>
      <x:c r="C453" s="17" t="str">
        <x:v>referenceId</x:v>
      </x:c>
      <x:c r="D453" s="4" t="str">
        <x:v>9</x:v>
      </x:c>
      <x:c r="E453" s="4" t="str">
        <x:v>String(36)</x:v>
      </x:c>
      <x:c r="F453" s="4" t="str">
        <x:v>YES</x:v>
      </x:c>
      <x:c r="G453" s="4" t="str">
        <x:v>UUID v4</x:v>
      </x:c>
      <x:c r="H453" s="17" t="str">
        <x:v>INTERNAL</x:v>
      </x:c>
      <x:c r="I453" s="17" t="str">
        <x:v>按资源权限与数据域访问；公开DTO另行白名单</x:v>
      </x:c>
      <x:c r="J453" s="17" t="str">
        <x:v>数据库实体不得直接序列化为响应</x:v>
      </x:c>
      <x:c r="K453" s="17" t="str">
        <x:v>append-only; before/after arithmetic and idempotent reference must reconcile</x:v>
      </x:c>
      <x:c r="L453" s="17" t="str">
        <x:v>追加/版本/快照，不覆盖已生效历史</x:v>
      </x:c>
      <x:c r="M453" s="4" t="str">
        <x:v>M2</x:v>
      </x:c>
      <x:c r="N453" s="4" t="str">
        <x:v>P0-063</x:v>
      </x:c>
      <x:c r="O453" s="4" t="str">
        <x:v>综合方案§13核心数据模型</x:v>
      </x:c>
      <x:c r="P453" s="4" t="str">
        <x:v>FROZEN_M2_000</x:v>
      </x:c>
    </x:row>
    <x:row r="454" ht="23" customHeight="1">
      <x:c r="A454" s="4" t="str">
        <x:v>RunnerApplication</x:v>
      </x:c>
      <x:c r="B454" s="4" t="str">
        <x:v>id</x:v>
      </x:c>
      <x:c r="C454" s="17" t="str">
        <x:v>id</x:v>
      </x:c>
      <x:c r="D454" s="4" t="str">
        <x:v>1</x:v>
      </x:c>
      <x:c r="E454" s="4" t="str">
        <x:v>String/UUID</x:v>
      </x:c>
      <x:c r="F454" s="4" t="str">
        <x:v>YES</x:v>
      </x:c>
      <x:c r="G454" s="4" t="str">
        <x:v>待M阶段冻结</x:v>
      </x:c>
      <x:c r="H454" s="17" t="str">
        <x:v>INTERNAL</x:v>
      </x:c>
      <x:c r="I454" s="17" t="str">
        <x:v>按资源权限与数据域访问；公开DTO另行白名单</x:v>
      </x:c>
      <x:c r="J454" s="17" t="str">
        <x:v>数据库实体不得直接序列化为响应</x:v>
      </x:c>
      <x:c r="K454" s="17" t="str">
        <x:v>DTO白名单；长度/枚举/归属/状态校验；禁止信任客户端派生值</x:v>
      </x:c>
      <x:c r="L454" s="17" t="str">
        <x:v>按实体version或审计日志保留变更证据</x:v>
      </x:c>
      <x:c r="M454" s="4" t="str">
        <x:v>M4</x:v>
      </x:c>
      <x:c r="N454" s="4" t="str">
        <x:v>待切片细化</x:v>
      </x:c>
      <x:c r="O454" s="4" t="str">
        <x:v>综合方案§13核心数据模型</x:v>
      </x:c>
      <x:c r="P454" s="4" t="str">
        <x:v>DRAFT_FROM_SCHEME</x:v>
      </x:c>
    </x:row>
    <x:row r="455" ht="23" customHeight="1">
      <x:c r="A455" s="4" t="str">
        <x:v>RunnerApplication</x:v>
      </x:c>
      <x:c r="B455" s="4" t="str">
        <x:v>companyId</x:v>
      </x:c>
      <x:c r="C455" s="17" t="str">
        <x:v>companyId</x:v>
      </x:c>
      <x:c r="D455" s="4" t="str">
        <x:v>2</x:v>
      </x:c>
      <x:c r="E455" s="4" t="str">
        <x:v>String/UUID</x:v>
      </x:c>
      <x:c r="F455" s="4" t="str">
        <x:v>YES</x:v>
      </x:c>
      <x:c r="G455" s="4" t="str">
        <x:v>待M阶段冻结</x:v>
      </x:c>
      <x:c r="H455" s="17" t="str">
        <x:v>INTERNAL</x:v>
      </x:c>
      <x:c r="I455" s="17" t="str">
        <x:v>按资源权限与数据域访问；公开DTO另行白名单</x:v>
      </x:c>
      <x:c r="J455" s="17" t="str">
        <x:v>数据库实体不得直接序列化为响应</x:v>
      </x:c>
      <x:c r="K455" s="17" t="str">
        <x:v>DTO白名单；长度/枚举/归属/状态校验；禁止信任客户端派生值</x:v>
      </x:c>
      <x:c r="L455" s="17" t="str">
        <x:v>按实体version或审计日志保留变更证据</x:v>
      </x:c>
      <x:c r="M455" s="4" t="str">
        <x:v>M4</x:v>
      </x:c>
      <x:c r="N455" s="4" t="str">
        <x:v>待切片细化</x:v>
      </x:c>
      <x:c r="O455" s="4" t="str">
        <x:v>综合方案§13核心数据模型</x:v>
      </x:c>
      <x:c r="P455" s="4" t="str">
        <x:v>DRAFT_FROM_SCHEME</x:v>
      </x:c>
    </x:row>
    <x:row r="456" ht="23" customHeight="1">
      <x:c r="A456" s="4" t="str">
        <x:v>RunnerApplication</x:v>
      </x:c>
      <x:c r="B456" s="4" t="str">
        <x:v>name</x:v>
      </x:c>
      <x:c r="C456" s="17" t="str">
        <x:v>name</x:v>
      </x:c>
      <x:c r="D456" s="4" t="str">
        <x:v>3</x:v>
      </x:c>
      <x:c r="E456" s="4" t="str">
        <x:v>String</x:v>
      </x:c>
      <x:c r="F456" s="4" t="str">
        <x:v>YES</x:v>
      </x:c>
      <x:c r="G456" s="4" t="str">
        <x:v>待M阶段冻结</x:v>
      </x:c>
      <x:c r="H456" s="17" t="str">
        <x:v>INTERNAL</x:v>
      </x:c>
      <x:c r="I456" s="17" t="str">
        <x:v>按资源权限与数据域访问；公开DTO另行白名单</x:v>
      </x:c>
      <x:c r="J456" s="17" t="str">
        <x:v>数据库实体不得直接序列化为响应</x:v>
      </x:c>
      <x:c r="K456" s="17" t="str">
        <x:v>DTO白名单；长度/枚举/归属/状态校验；禁止信任客户端派生值</x:v>
      </x:c>
      <x:c r="L456" s="17" t="str">
        <x:v>按实体version或审计日志保留变更证据</x:v>
      </x:c>
      <x:c r="M456" s="4" t="str">
        <x:v>M4</x:v>
      </x:c>
      <x:c r="N456" s="4" t="str">
        <x:v>待切片细化</x:v>
      </x:c>
      <x:c r="O456" s="4" t="str">
        <x:v>综合方案§13核心数据模型</x:v>
      </x:c>
      <x:c r="P456" s="4" t="str">
        <x:v>DRAFT_FROM_SCHEME</x:v>
      </x:c>
    </x:row>
    <x:row r="457" ht="23" customHeight="1">
      <x:c r="A457" s="4" t="str">
        <x:v>RunnerApplication</x:v>
      </x:c>
      <x:c r="B457" s="4" t="str">
        <x:v>mobileEncrypted</x:v>
      </x:c>
      <x:c r="C457" s="17" t="str">
        <x:v>mobileEncrypted</x:v>
      </x:c>
      <x:c r="D457" s="4" t="str">
        <x:v>4</x:v>
      </x:c>
      <x:c r="E457" s="4" t="str">
        <x:v>String</x:v>
      </x:c>
      <x:c r="F457" s="4" t="str">
        <x:v>YES</x:v>
      </x:c>
      <x:c r="G457" s="4" t="str">
        <x:v>待M阶段冻结</x:v>
      </x:c>
      <x:c r="H457" s="17" t="str">
        <x:v>PERSONAL_OR_SENSITIVE</x:v>
      </x:c>
      <x:c r="I457" s="17" t="str">
        <x:v>按角色、对象归属及配送阶段脱敏/解密</x:v>
      </x:c>
      <x:c r="J457" s="17" t="str">
        <x:v>禁止跨供应商、越阶段或批量无审批导出</x:v>
      </x:c>
      <x:c r="K457" s="17" t="str">
        <x:v>DTO白名单；长度/枚举/归属/状态校验；禁止信任客户端派生值</x:v>
      </x:c>
      <x:c r="L457" s="17" t="str">
        <x:v>按实体version或审计日志保留变更证据</x:v>
      </x:c>
      <x:c r="M457" s="4" t="str">
        <x:v>M4</x:v>
      </x:c>
      <x:c r="N457" s="4" t="str">
        <x:v>待切片细化</x:v>
      </x:c>
      <x:c r="O457" s="4" t="str">
        <x:v>综合方案§13核心数据模型</x:v>
      </x:c>
      <x:c r="P457" s="4" t="str">
        <x:v>DRAFT_FROM_SCHEME</x:v>
      </x:c>
    </x:row>
    <x:row r="458" ht="23" customHeight="1">
      <x:c r="A458" s="4" t="str">
        <x:v>RunnerApplication</x:v>
      </x:c>
      <x:c r="B458" s="4" t="str">
        <x:v>serviceAreaCodes</x:v>
      </x:c>
      <x:c r="C458" s="17" t="str">
        <x:v>serviceAreaCodes</x:v>
      </x:c>
      <x:c r="D458" s="4" t="str">
        <x:v>5</x:v>
      </x:c>
      <x:c r="E458" s="4" t="str">
        <x:v>String</x:v>
      </x:c>
      <x:c r="F458" s="4" t="str">
        <x:v>YES</x:v>
      </x:c>
      <x:c r="G458" s="4" t="str">
        <x:v>待M阶段冻结</x:v>
      </x:c>
      <x:c r="H458" s="17" t="str">
        <x:v>INTERNAL</x:v>
      </x:c>
      <x:c r="I458" s="17" t="str">
        <x:v>按资源权限与数据域访问；公开DTO另行白名单</x:v>
      </x:c>
      <x:c r="J458" s="17" t="str">
        <x:v>数据库实体不得直接序列化为响应</x:v>
      </x:c>
      <x:c r="K458" s="17" t="str">
        <x:v>DTO白名单；长度/枚举/归属/状态校验；禁止信任客户端派生值</x:v>
      </x:c>
      <x:c r="L458" s="17" t="str">
        <x:v>按实体version或审计日志保留变更证据</x:v>
      </x:c>
      <x:c r="M458" s="4" t="str">
        <x:v>M4</x:v>
      </x:c>
      <x:c r="N458" s="4" t="str">
        <x:v>待切片细化</x:v>
      </x:c>
      <x:c r="O458" s="4" t="str">
        <x:v>综合方案§13核心数据模型</x:v>
      </x:c>
      <x:c r="P458" s="4" t="str">
        <x:v>DRAFT_FROM_SCHEME</x:v>
      </x:c>
    </x:row>
    <x:row r="459" ht="23" customHeight="1">
      <x:c r="A459" s="4" t="str">
        <x:v>RunnerApplication</x:v>
      </x:c>
      <x:c r="B459" s="4" t="str">
        <x:v>qualificationSnapshot</x:v>
      </x:c>
      <x:c r="C459" s="17" t="str">
        <x:v>qualificationSnapshot</x:v>
      </x:c>
      <x:c r="D459" s="4" t="str">
        <x:v>6</x:v>
      </x:c>
      <x:c r="E459" s="4" t="str">
        <x:v>Json</x:v>
      </x:c>
      <x:c r="F459" s="4" t="str">
        <x:v>YES</x:v>
      </x:c>
      <x:c r="G459" s="4" t="str">
        <x:v>待M阶段冻结</x:v>
      </x:c>
      <x:c r="H459" s="17" t="str">
        <x:v>INTERNAL</x:v>
      </x:c>
      <x:c r="I459" s="17" t="str">
        <x:v>按资源权限与数据域访问；公开DTO另行白名单</x:v>
      </x:c>
      <x:c r="J459" s="17" t="str">
        <x:v>数据库实体不得直接序列化为响应</x:v>
      </x:c>
      <x:c r="K459" s="17" t="str">
        <x:v>DTO白名单；长度/枚举/归属/状态校验；禁止信任客户端派生值</x:v>
      </x:c>
      <x:c r="L459" s="17" t="str">
        <x:v>按实体version或审计日志保留变更证据</x:v>
      </x:c>
      <x:c r="M459" s="4" t="str">
        <x:v>M4</x:v>
      </x:c>
      <x:c r="N459" s="4" t="str">
        <x:v>待切片细化</x:v>
      </x:c>
      <x:c r="O459" s="4" t="str">
        <x:v>综合方案§13核心数据模型</x:v>
      </x:c>
      <x:c r="P459" s="4" t="str">
        <x:v>DRAFT_FROM_SCHEME</x:v>
      </x:c>
    </x:row>
    <x:row r="460" ht="23" customHeight="1">
      <x:c r="A460" s="4" t="str">
        <x:v>RunnerApplication</x:v>
      </x:c>
      <x:c r="B460" s="4" t="str">
        <x:v>reviewStatus</x:v>
      </x:c>
      <x:c r="C460" s="17" t="str">
        <x:v>reviewStatus</x:v>
      </x:c>
      <x:c r="D460" s="4" t="str">
        <x:v>7</x:v>
      </x:c>
      <x:c r="E460" s="4" t="str">
        <x:v>Enum/String</x:v>
      </x:c>
      <x:c r="F460" s="4" t="str">
        <x:v>YES</x:v>
      </x:c>
      <x:c r="G460" s="4" t="str">
        <x:v>待M阶段冻结</x:v>
      </x:c>
      <x:c r="H460" s="17" t="str">
        <x:v>INTERNAL</x:v>
      </x:c>
      <x:c r="I460" s="17" t="str">
        <x:v>按资源权限与数据域访问；公开DTO另行白名单</x:v>
      </x:c>
      <x:c r="J460" s="17" t="str">
        <x:v>数据库实体不得直接序列化为响应</x:v>
      </x:c>
      <x:c r="K460" s="17" t="str">
        <x:v>DTO白名单；长度/枚举/归属/状态校验；禁止信任客户端派生值</x:v>
      </x:c>
      <x:c r="L460" s="17" t="str">
        <x:v>按实体version或审计日志保留变更证据</x:v>
      </x:c>
      <x:c r="M460" s="4" t="str">
        <x:v>M4</x:v>
      </x:c>
      <x:c r="N460" s="4" t="str">
        <x:v>待切片细化</x:v>
      </x:c>
      <x:c r="O460" s="4" t="str">
        <x:v>综合方案§13核心数据模型</x:v>
      </x:c>
      <x:c r="P460" s="4" t="str">
        <x:v>DRAFT_FROM_SCHEME</x:v>
      </x:c>
    </x:row>
    <x:row r="461" ht="23" customHeight="1">
      <x:c r="A461" s="4" t="str">
        <x:v>RunnerApplication</x:v>
      </x:c>
      <x:c r="B461" s="4" t="str">
        <x:v>reviewOpinion</x:v>
      </x:c>
      <x:c r="C461" s="17" t="str">
        <x:v>reviewOpinion?</x:v>
      </x:c>
      <x:c r="D461" s="4" t="str">
        <x:v>8</x:v>
      </x:c>
      <x:c r="E461" s="4" t="str">
        <x:v>String</x:v>
      </x:c>
      <x:c r="F461" s="4" t="str">
        <x:v>NO</x:v>
      </x:c>
      <x:c r="G461" s="4" t="str">
        <x:v>待M阶段冻结</x:v>
      </x:c>
      <x:c r="H461" s="17" t="str">
        <x:v>INTERNAL</x:v>
      </x:c>
      <x:c r="I461" s="17" t="str">
        <x:v>按资源权限与数据域访问；公开DTO另行白名单</x:v>
      </x:c>
      <x:c r="J461" s="17" t="str">
        <x:v>数据库实体不得直接序列化为响应</x:v>
      </x:c>
      <x:c r="K461" s="17" t="str">
        <x:v>DTO白名单；长度/枚举/归属/状态校验；禁止信任客户端派生值</x:v>
      </x:c>
      <x:c r="L461" s="17" t="str">
        <x:v>按实体version或审计日志保留变更证据</x:v>
      </x:c>
      <x:c r="M461" s="4" t="str">
        <x:v>M4</x:v>
      </x:c>
      <x:c r="N461" s="4" t="str">
        <x:v>待切片细化</x:v>
      </x:c>
      <x:c r="O461" s="4" t="str">
        <x:v>综合方案§13核心数据模型</x:v>
      </x:c>
      <x:c r="P461" s="4" t="str">
        <x:v>DRAFT_FROM_SCHEME</x:v>
      </x:c>
    </x:row>
    <x:row r="462" ht="23" customHeight="1">
      <x:c r="A462" s="4" t="str">
        <x:v>RunnerApplication</x:v>
      </x:c>
      <x:c r="B462" s="4" t="str">
        <x:v>submittedAt</x:v>
      </x:c>
      <x:c r="C462" s="17" t="str">
        <x:v>submittedAt</x:v>
      </x:c>
      <x:c r="D462" s="4" t="str">
        <x:v>9</x:v>
      </x:c>
      <x:c r="E462" s="4" t="str">
        <x:v>DateTime</x:v>
      </x:c>
      <x:c r="F462" s="4" t="str">
        <x:v>YES</x:v>
      </x:c>
      <x:c r="G462" s="4" t="str">
        <x:v>ISO-8601+明确时区</x:v>
      </x:c>
      <x:c r="H462" s="17" t="str">
        <x:v>INTERNAL</x:v>
      </x:c>
      <x:c r="I462" s="17" t="str">
        <x:v>按资源权限与数据域访问；公开DTO另行白名单</x:v>
      </x:c>
      <x:c r="J462" s="17" t="str">
        <x:v>数据库实体不得直接序列化为响应</x:v>
      </x:c>
      <x:c r="K462" s="17" t="str">
        <x:v>DTO白名单；长度/枚举/归属/状态校验；禁止信任客户端派生值</x:v>
      </x:c>
      <x:c r="L462" s="17" t="str">
        <x:v>按实体version或审计日志保留变更证据</x:v>
      </x:c>
      <x:c r="M462" s="4" t="str">
        <x:v>M4</x:v>
      </x:c>
      <x:c r="N462" s="4" t="str">
        <x:v>待切片细化</x:v>
      </x:c>
      <x:c r="O462" s="4" t="str">
        <x:v>综合方案§13核心数据模型</x:v>
      </x:c>
      <x:c r="P462" s="4" t="str">
        <x:v>DRAFT_FROM_SCHEME</x:v>
      </x:c>
    </x:row>
    <x:row r="463" ht="23" customHeight="1">
      <x:c r="A463" s="4" t="str">
        <x:v>Runner</x:v>
      </x:c>
      <x:c r="B463" s="4" t="str">
        <x:v>id</x:v>
      </x:c>
      <x:c r="C463" s="17" t="str">
        <x:v>id</x:v>
      </x:c>
      <x:c r="D463" s="4" t="str">
        <x:v>1</x:v>
      </x:c>
      <x:c r="E463" s="4" t="str">
        <x:v>String/UUID</x:v>
      </x:c>
      <x:c r="F463" s="4" t="str">
        <x:v>YES</x:v>
      </x:c>
      <x:c r="G463" s="4" t="str">
        <x:v>待M阶段冻结</x:v>
      </x:c>
      <x:c r="H463" s="17" t="str">
        <x:v>INTERNAL</x:v>
      </x:c>
      <x:c r="I463" s="17" t="str">
        <x:v>按资源权限与数据域访问；公开DTO另行白名单</x:v>
      </x:c>
      <x:c r="J463" s="17" t="str">
        <x:v>数据库实体不得直接序列化为响应</x:v>
      </x:c>
      <x:c r="K463" s="17" t="str">
        <x:v>DTO白名单；长度/枚举/归属/状态校验；禁止信任客户端派生值</x:v>
      </x:c>
      <x:c r="L463" s="17" t="str">
        <x:v>按实体version或审计日志保留变更证据</x:v>
      </x:c>
      <x:c r="M463" s="4" t="str">
        <x:v>M4</x:v>
      </x:c>
      <x:c r="N463" s="4" t="str">
        <x:v>P0-100,P0-101,P0-112,P0-113</x:v>
      </x:c>
      <x:c r="O463" s="4" t="str">
        <x:v>综合方案§13核心数据模型</x:v>
      </x:c>
      <x:c r="P463" s="4" t="str">
        <x:v>DRAFT_FROM_SCHEME</x:v>
      </x:c>
    </x:row>
    <x:row r="464" ht="23" customHeight="1">
      <x:c r="A464" s="4" t="str">
        <x:v>Runner</x:v>
      </x:c>
      <x:c r="B464" s="4" t="str">
        <x:v>companyId</x:v>
      </x:c>
      <x:c r="C464" s="17" t="str">
        <x:v>companyId</x:v>
      </x:c>
      <x:c r="D464" s="4" t="str">
        <x:v>2</x:v>
      </x:c>
      <x:c r="E464" s="4" t="str">
        <x:v>String/UUID</x:v>
      </x:c>
      <x:c r="F464" s="4" t="str">
        <x:v>YES</x:v>
      </x:c>
      <x:c r="G464" s="4" t="str">
        <x:v>待M阶段冻结</x:v>
      </x:c>
      <x:c r="H464" s="17" t="str">
        <x:v>INTERNAL</x:v>
      </x:c>
      <x:c r="I464" s="17" t="str">
        <x:v>按资源权限与数据域访问；公开DTO另行白名单</x:v>
      </x:c>
      <x:c r="J464" s="17" t="str">
        <x:v>数据库实体不得直接序列化为响应</x:v>
      </x:c>
      <x:c r="K464" s="17" t="str">
        <x:v>DTO白名单；长度/枚举/归属/状态校验；禁止信任客户端派生值</x:v>
      </x:c>
      <x:c r="L464" s="17" t="str">
        <x:v>按实体version或审计日志保留变更证据</x:v>
      </x:c>
      <x:c r="M464" s="4" t="str">
        <x:v>M4</x:v>
      </x:c>
      <x:c r="N464" s="4" t="str">
        <x:v>P0-100,P0-101,P0-112,P0-113</x:v>
      </x:c>
      <x:c r="O464" s="4" t="str">
        <x:v>综合方案§13核心数据模型</x:v>
      </x:c>
      <x:c r="P464" s="4" t="str">
        <x:v>DRAFT_FROM_SCHEME</x:v>
      </x:c>
    </x:row>
    <x:row r="465" ht="23" customHeight="1">
      <x:c r="A465" s="4" t="str">
        <x:v>Runner</x:v>
      </x:c>
      <x:c r="B465" s="4" t="str">
        <x:v>applicationId</x:v>
      </x:c>
      <x:c r="C465" s="17" t="str">
        <x:v>applicationId</x:v>
      </x:c>
      <x:c r="D465" s="4" t="str">
        <x:v>3</x:v>
      </x:c>
      <x:c r="E465" s="4" t="str">
        <x:v>String/UUID</x:v>
      </x:c>
      <x:c r="F465" s="4" t="str">
        <x:v>YES</x:v>
      </x:c>
      <x:c r="G465" s="4" t="str">
        <x:v>待M阶段冻结</x:v>
      </x:c>
      <x:c r="H465" s="17" t="str">
        <x:v>INTERNAL</x:v>
      </x:c>
      <x:c r="I465" s="17" t="str">
        <x:v>按资源权限与数据域访问；公开DTO另行白名单</x:v>
      </x:c>
      <x:c r="J465" s="17" t="str">
        <x:v>数据库实体不得直接序列化为响应</x:v>
      </x:c>
      <x:c r="K465" s="17" t="str">
        <x:v>DTO白名单；长度/枚举/归属/状态校验；禁止信任客户端派生值</x:v>
      </x:c>
      <x:c r="L465" s="17" t="str">
        <x:v>按实体version或审计日志保留变更证据</x:v>
      </x:c>
      <x:c r="M465" s="4" t="str">
        <x:v>M4</x:v>
      </x:c>
      <x:c r="N465" s="4" t="str">
        <x:v>P0-100,P0-101,P0-112,P0-113</x:v>
      </x:c>
      <x:c r="O465" s="4" t="str">
        <x:v>综合方案§13核心数据模型</x:v>
      </x:c>
      <x:c r="P465" s="4" t="str">
        <x:v>DRAFT_FROM_SCHEME</x:v>
      </x:c>
    </x:row>
    <x:row r="466" ht="23" customHeight="1">
      <x:c r="A466" s="4" t="str">
        <x:v>Runner</x:v>
      </x:c>
      <x:c r="B466" s="4" t="str">
        <x:v>name</x:v>
      </x:c>
      <x:c r="C466" s="17" t="str">
        <x:v>name</x:v>
      </x:c>
      <x:c r="D466" s="4" t="str">
        <x:v>4</x:v>
      </x:c>
      <x:c r="E466" s="4" t="str">
        <x:v>String</x:v>
      </x:c>
      <x:c r="F466" s="4" t="str">
        <x:v>YES</x:v>
      </x:c>
      <x:c r="G466" s="4" t="str">
        <x:v>待M阶段冻结</x:v>
      </x:c>
      <x:c r="H466" s="17" t="str">
        <x:v>INTERNAL</x:v>
      </x:c>
      <x:c r="I466" s="17" t="str">
        <x:v>按资源权限与数据域访问；公开DTO另行白名单</x:v>
      </x:c>
      <x:c r="J466" s="17" t="str">
        <x:v>数据库实体不得直接序列化为响应</x:v>
      </x:c>
      <x:c r="K466" s="17" t="str">
        <x:v>DTO白名单；长度/枚举/归属/状态校验；禁止信任客户端派生值</x:v>
      </x:c>
      <x:c r="L466" s="17" t="str">
        <x:v>按实体version或审计日志保留变更证据</x:v>
      </x:c>
      <x:c r="M466" s="4" t="str">
        <x:v>M4</x:v>
      </x:c>
      <x:c r="N466" s="4" t="str">
        <x:v>P0-100,P0-101,P0-112,P0-113</x:v>
      </x:c>
      <x:c r="O466" s="4" t="str">
        <x:v>综合方案§13核心数据模型</x:v>
      </x:c>
      <x:c r="P466" s="4" t="str">
        <x:v>DRAFT_FROM_SCHEME</x:v>
      </x:c>
    </x:row>
    <x:row r="467" ht="23" customHeight="1">
      <x:c r="A467" s="4" t="str">
        <x:v>Runner</x:v>
      </x:c>
      <x:c r="B467" s="4" t="str">
        <x:v>mobileEncrypted</x:v>
      </x:c>
      <x:c r="C467" s="17" t="str">
        <x:v>mobileEncrypted</x:v>
      </x:c>
      <x:c r="D467" s="4" t="str">
        <x:v>5</x:v>
      </x:c>
      <x:c r="E467" s="4" t="str">
        <x:v>String</x:v>
      </x:c>
      <x:c r="F467" s="4" t="str">
        <x:v>YES</x:v>
      </x:c>
      <x:c r="G467" s="4" t="str">
        <x:v>待M阶段冻结</x:v>
      </x:c>
      <x:c r="H467" s="17" t="str">
        <x:v>PERSONAL_OR_SENSITIVE</x:v>
      </x:c>
      <x:c r="I467" s="17" t="str">
        <x:v>按角色、对象归属及配送阶段脱敏/解密</x:v>
      </x:c>
      <x:c r="J467" s="17" t="str">
        <x:v>禁止跨供应商、越阶段或批量无审批导出</x:v>
      </x:c>
      <x:c r="K467" s="17" t="str">
        <x:v>DTO白名单；长度/枚举/归属/状态校验；禁止信任客户端派生值</x:v>
      </x:c>
      <x:c r="L467" s="17" t="str">
        <x:v>按实体version或审计日志保留变更证据</x:v>
      </x:c>
      <x:c r="M467" s="4" t="str">
        <x:v>M4</x:v>
      </x:c>
      <x:c r="N467" s="4" t="str">
        <x:v>P0-100,P0-101,P0-112,P0-113</x:v>
      </x:c>
      <x:c r="O467" s="4" t="str">
        <x:v>综合方案§13核心数据模型</x:v>
      </x:c>
      <x:c r="P467" s="4" t="str">
        <x:v>DRAFT_FROM_SCHEME</x:v>
      </x:c>
    </x:row>
    <x:row r="468" ht="23" customHeight="1">
      <x:c r="A468" s="4" t="str">
        <x:v>Runner</x:v>
      </x:c>
      <x:c r="B468" s="4" t="str">
        <x:v>serviceAreaCodes</x:v>
      </x:c>
      <x:c r="C468" s="17" t="str">
        <x:v>serviceAreaCodes</x:v>
      </x:c>
      <x:c r="D468" s="4" t="str">
        <x:v>6</x:v>
      </x:c>
      <x:c r="E468" s="4" t="str">
        <x:v>String</x:v>
      </x:c>
      <x:c r="F468" s="4" t="str">
        <x:v>YES</x:v>
      </x:c>
      <x:c r="G468" s="4" t="str">
        <x:v>待M阶段冻结</x:v>
      </x:c>
      <x:c r="H468" s="17" t="str">
        <x:v>INTERNAL</x:v>
      </x:c>
      <x:c r="I468" s="17" t="str">
        <x:v>按资源权限与数据域访问；公开DTO另行白名单</x:v>
      </x:c>
      <x:c r="J468" s="17" t="str">
        <x:v>数据库实体不得直接序列化为响应</x:v>
      </x:c>
      <x:c r="K468" s="17" t="str">
        <x:v>DTO白名单；长度/枚举/归属/状态校验；禁止信任客户端派生值</x:v>
      </x:c>
      <x:c r="L468" s="17" t="str">
        <x:v>按实体version或审计日志保留变更证据</x:v>
      </x:c>
      <x:c r="M468" s="4" t="str">
        <x:v>M4</x:v>
      </x:c>
      <x:c r="N468" s="4" t="str">
        <x:v>P0-100,P0-101,P0-112,P0-113</x:v>
      </x:c>
      <x:c r="O468" s="4" t="str">
        <x:v>综合方案§13核心数据模型</x:v>
      </x:c>
      <x:c r="P468" s="4" t="str">
        <x:v>DRAFT_FROM_SCHEME</x:v>
      </x:c>
    </x:row>
    <x:row r="469" ht="23" customHeight="1">
      <x:c r="A469" s="4" t="str">
        <x:v>Runner</x:v>
      </x:c>
      <x:c r="B469" s="4" t="str">
        <x:v>status</x:v>
      </x:c>
      <x:c r="C469" s="17" t="str">
        <x:v>status</x:v>
      </x:c>
      <x:c r="D469" s="4" t="str">
        <x:v>7</x:v>
      </x:c>
      <x:c r="E469" s="4" t="str">
        <x:v>Enum/String</x:v>
      </x:c>
      <x:c r="F469" s="4" t="str">
        <x:v>YES</x:v>
      </x:c>
      <x:c r="G469" s="4" t="str">
        <x:v>待M阶段冻结</x:v>
      </x:c>
      <x:c r="H469" s="17" t="str">
        <x:v>INTERNAL</x:v>
      </x:c>
      <x:c r="I469" s="17" t="str">
        <x:v>按资源权限与数据域访问；公开DTO另行白名单</x:v>
      </x:c>
      <x:c r="J469" s="17" t="str">
        <x:v>数据库实体不得直接序列化为响应</x:v>
      </x:c>
      <x:c r="K469" s="17" t="str">
        <x:v>DTO白名单；长度/枚举/归属/状态校验；禁止信任客户端派生值</x:v>
      </x:c>
      <x:c r="L469" s="17" t="str">
        <x:v>按实体version或审计日志保留变更证据</x:v>
      </x:c>
      <x:c r="M469" s="4" t="str">
        <x:v>M4</x:v>
      </x:c>
      <x:c r="N469" s="4" t="str">
        <x:v>P0-100,P0-101,P0-112,P0-113</x:v>
      </x:c>
      <x:c r="O469" s="4" t="str">
        <x:v>综合方案§13核心数据模型</x:v>
      </x:c>
      <x:c r="P469" s="4" t="str">
        <x:v>DRAFT_FROM_SCHEME</x:v>
      </x:c>
    </x:row>
    <x:row r="470" ht="23" customHeight="1">
      <x:c r="A470" s="4" t="str">
        <x:v>Runner</x:v>
      </x:c>
      <x:c r="B470" s="4" t="str">
        <x:v>onlineStatus</x:v>
      </x:c>
      <x:c r="C470" s="17" t="str">
        <x:v>onlineStatus</x:v>
      </x:c>
      <x:c r="D470" s="4" t="str">
        <x:v>8</x:v>
      </x:c>
      <x:c r="E470" s="4" t="str">
        <x:v>Enum/String</x:v>
      </x:c>
      <x:c r="F470" s="4" t="str">
        <x:v>YES</x:v>
      </x:c>
      <x:c r="G470" s="4" t="str">
        <x:v>待M阶段冻结</x:v>
      </x:c>
      <x:c r="H470" s="17" t="str">
        <x:v>INTERNAL</x:v>
      </x:c>
      <x:c r="I470" s="17" t="str">
        <x:v>按资源权限与数据域访问；公开DTO另行白名单</x:v>
      </x:c>
      <x:c r="J470" s="17" t="str">
        <x:v>数据库实体不得直接序列化为响应</x:v>
      </x:c>
      <x:c r="K470" s="17" t="str">
        <x:v>DTO白名单；长度/枚举/归属/状态校验；禁止信任客户端派生值</x:v>
      </x:c>
      <x:c r="L470" s="17" t="str">
        <x:v>按实体version或审计日志保留变更证据</x:v>
      </x:c>
      <x:c r="M470" s="4" t="str">
        <x:v>M4</x:v>
      </x:c>
      <x:c r="N470" s="4" t="str">
        <x:v>P0-100,P0-101,P0-112,P0-113</x:v>
      </x:c>
      <x:c r="O470" s="4" t="str">
        <x:v>综合方案§13核心数据模型</x:v>
      </x:c>
      <x:c r="P470" s="4" t="str">
        <x:v>DRAFT_FROM_SCHEME</x:v>
      </x:c>
    </x:row>
    <x:row r="471" ht="23" customHeight="1">
      <x:c r="A471" s="4" t="str">
        <x:v>Runner</x:v>
      </x:c>
      <x:c r="B471" s="4" t="str">
        <x:v>maxActiveTaskCount</x:v>
      </x:c>
      <x:c r="C471" s="17" t="str">
        <x:v>maxActiveTaskCount</x:v>
      </x:c>
      <x:c r="D471" s="4" t="str">
        <x:v>9</x:v>
      </x:c>
      <x:c r="E471" s="4" t="str">
        <x:v>Int</x:v>
      </x:c>
      <x:c r="F471" s="4" t="str">
        <x:v>YES</x:v>
      </x:c>
      <x:c r="G471" s="4" t="str">
        <x:v>待M阶段冻结</x:v>
      </x:c>
      <x:c r="H471" s="17" t="str">
        <x:v>INTERNAL</x:v>
      </x:c>
      <x:c r="I471" s="17" t="str">
        <x:v>按资源权限与数据域访问；公开DTO另行白名单</x:v>
      </x:c>
      <x:c r="J471" s="17" t="str">
        <x:v>数据库实体不得直接序列化为响应</x:v>
      </x:c>
      <x:c r="K471" s="17" t="str">
        <x:v>DTO白名单；长度/枚举/归属/状态校验；禁止信任客户端派生值</x:v>
      </x:c>
      <x:c r="L471" s="17" t="str">
        <x:v>按实体version或审计日志保留变更证据</x:v>
      </x:c>
      <x:c r="M471" s="4" t="str">
        <x:v>M4</x:v>
      </x:c>
      <x:c r="N471" s="4" t="str">
        <x:v>P0-100,P0-101,P0-112,P0-113</x:v>
      </x:c>
      <x:c r="O471" s="4" t="str">
        <x:v>综合方案§13核心数据模型</x:v>
      </x:c>
      <x:c r="P471" s="4" t="str">
        <x:v>DRAFT_FROM_SCHEME</x:v>
      </x:c>
    </x:row>
    <x:row r="472" ht="23" customHeight="1">
      <x:c r="A472" s="4" t="str">
        <x:v>Runner</x:v>
      </x:c>
      <x:c r="B472" s="4" t="str">
        <x:v>version</x:v>
      </x:c>
      <x:c r="C472" s="17" t="str">
        <x:v>version</x:v>
      </x:c>
      <x:c r="D472" s="4" t="str">
        <x:v>10</x:v>
      </x:c>
      <x:c r="E472" s="4" t="str">
        <x:v>Int</x:v>
      </x:c>
      <x:c r="F472" s="4" t="str">
        <x:v>YES</x:v>
      </x:c>
      <x:c r="G472" s="4" t="str">
        <x:v>待M阶段冻结</x:v>
      </x:c>
      <x:c r="H472" s="17" t="str">
        <x:v>INTERNAL</x:v>
      </x:c>
      <x:c r="I472" s="17" t="str">
        <x:v>按资源权限与数据域访问；公开DTO另行白名单</x:v>
      </x:c>
      <x:c r="J472" s="17" t="str">
        <x:v>数据库实体不得直接序列化为响应</x:v>
      </x:c>
      <x:c r="K472" s="17" t="str">
        <x:v>DTO白名单；长度/枚举/归属/状态校验；禁止信任客户端派生值</x:v>
      </x:c>
      <x:c r="L472" s="17" t="str">
        <x:v>按实体version或审计日志保留变更证据</x:v>
      </x:c>
      <x:c r="M472" s="4" t="str">
        <x:v>M4</x:v>
      </x:c>
      <x:c r="N472" s="4" t="str">
        <x:v>P0-100,P0-101,P0-112,P0-113</x:v>
      </x:c>
      <x:c r="O472" s="4" t="str">
        <x:v>综合方案§13核心数据模型</x:v>
      </x:c>
      <x:c r="P472" s="4" t="str">
        <x:v>DRAFT_FROM_SCHEME</x:v>
      </x:c>
    </x:row>
    <x:row r="473" ht="23" customHeight="1">
      <x:c r="A473" s="4" t="str">
        <x:v>RunnerSession</x:v>
      </x:c>
      <x:c r="B473" s="4" t="str">
        <x:v>id</x:v>
      </x:c>
      <x:c r="C473" s="17" t="str">
        <x:v>id</x:v>
      </x:c>
      <x:c r="D473" s="4" t="str">
        <x:v>1</x:v>
      </x:c>
      <x:c r="E473" s="4" t="str">
        <x:v>String/UUID</x:v>
      </x:c>
      <x:c r="F473" s="4" t="str">
        <x:v>YES</x:v>
      </x:c>
      <x:c r="G473" s="4" t="str">
        <x:v>待M阶段冻结</x:v>
      </x:c>
      <x:c r="H473" s="17" t="str">
        <x:v>INTERNAL</x:v>
      </x:c>
      <x:c r="I473" s="17" t="str">
        <x:v>按资源权限与数据域访问；公开DTO另行白名单</x:v>
      </x:c>
      <x:c r="J473" s="17" t="str">
        <x:v>数据库实体不得直接序列化为响应</x:v>
      </x:c>
      <x:c r="K473" s="17" t="str">
        <x:v>DTO白名单；长度/枚举/归属/状态校验；禁止信任客户端派生值</x:v>
      </x:c>
      <x:c r="L473" s="17" t="str">
        <x:v>按实体version或审计日志保留变更证据</x:v>
      </x:c>
      <x:c r="M473" s="4" t="str">
        <x:v>M4</x:v>
      </x:c>
      <x:c r="N473" s="4" t="str">
        <x:v>待切片细化</x:v>
      </x:c>
      <x:c r="O473" s="4" t="str">
        <x:v>综合方案§13核心数据模型</x:v>
      </x:c>
      <x:c r="P473" s="4" t="str">
        <x:v>DRAFT_FROM_SCHEME</x:v>
      </x:c>
    </x:row>
    <x:row r="474" ht="23" customHeight="1">
      <x:c r="A474" s="4" t="str">
        <x:v>RunnerSession</x:v>
      </x:c>
      <x:c r="B474" s="4" t="str">
        <x:v>runnerId</x:v>
      </x:c>
      <x:c r="C474" s="17" t="str">
        <x:v>runnerId</x:v>
      </x:c>
      <x:c r="D474" s="4" t="str">
        <x:v>2</x:v>
      </x:c>
      <x:c r="E474" s="4" t="str">
        <x:v>String/UUID</x:v>
      </x:c>
      <x:c r="F474" s="4" t="str">
        <x:v>YES</x:v>
      </x:c>
      <x:c r="G474" s="4" t="str">
        <x:v>待M阶段冻结</x:v>
      </x:c>
      <x:c r="H474" s="17" t="str">
        <x:v>INTERNAL</x:v>
      </x:c>
      <x:c r="I474" s="17" t="str">
        <x:v>按资源权限与数据域访问；公开DTO另行白名单</x:v>
      </x:c>
      <x:c r="J474" s="17" t="str">
        <x:v>数据库实体不得直接序列化为响应</x:v>
      </x:c>
      <x:c r="K474" s="17" t="str">
        <x:v>DTO白名单；长度/枚举/归属/状态校验；禁止信任客户端派生值</x:v>
      </x:c>
      <x:c r="L474" s="17" t="str">
        <x:v>按实体version或审计日志保留变更证据</x:v>
      </x:c>
      <x:c r="M474" s="4" t="str">
        <x:v>M4</x:v>
      </x:c>
      <x:c r="N474" s="4" t="str">
        <x:v>待切片细化</x:v>
      </x:c>
      <x:c r="O474" s="4" t="str">
        <x:v>综合方案§13核心数据模型</x:v>
      </x:c>
      <x:c r="P474" s="4" t="str">
        <x:v>DRAFT_FROM_SCHEME</x:v>
      </x:c>
    </x:row>
    <x:row r="475" ht="23" customHeight="1">
      <x:c r="A475" s="4" t="str">
        <x:v>RunnerSession</x:v>
      </x:c>
      <x:c r="B475" s="4" t="str">
        <x:v>sessionHash</x:v>
      </x:c>
      <x:c r="C475" s="17" t="str">
        <x:v>sessionHash</x:v>
      </x:c>
      <x:c r="D475" s="4" t="str">
        <x:v>3</x:v>
      </x:c>
      <x:c r="E475" s="4" t="str">
        <x:v>String</x:v>
      </x:c>
      <x:c r="F475" s="4" t="str">
        <x:v>YES</x:v>
      </x:c>
      <x:c r="G475" s="4" t="str">
        <x:v>待M阶段冻结</x:v>
      </x:c>
      <x:c r="H475" s="17" t="str">
        <x:v>SECRET_OR_CREDENTIAL</x:v>
      </x:c>
      <x:c r="I475" s="17" t="str">
        <x:v>仅后端最小权限读取，响应永不返回</x:v>
      </x:c>
      <x:c r="J475" s="17" t="str">
        <x:v>禁止提交、日志、快照和前端下发</x:v>
      </x:c>
      <x:c r="K475" s="17" t="str">
        <x:v>DTO白名单；长度/枚举/归属/状态校验；禁止信任客户端派生值</x:v>
      </x:c>
      <x:c r="L475" s="17" t="str">
        <x:v>按实体version或审计日志保留变更证据</x:v>
      </x:c>
      <x:c r="M475" s="4" t="str">
        <x:v>M4</x:v>
      </x:c>
      <x:c r="N475" s="4" t="str">
        <x:v>待切片细化</x:v>
      </x:c>
      <x:c r="O475" s="4" t="str">
        <x:v>综合方案§13核心数据模型</x:v>
      </x:c>
      <x:c r="P475" s="4" t="str">
        <x:v>DRAFT_FROM_SCHEME</x:v>
      </x:c>
    </x:row>
    <x:row r="476" ht="23" customHeight="1">
      <x:c r="A476" s="4" t="str">
        <x:v>RunnerSession</x:v>
      </x:c>
      <x:c r="B476" s="4" t="str">
        <x:v>deviceInfo</x:v>
      </x:c>
      <x:c r="C476" s="17" t="str">
        <x:v>deviceInfo</x:v>
      </x:c>
      <x:c r="D476" s="4" t="str">
        <x:v>4</x:v>
      </x:c>
      <x:c r="E476" s="4" t="str">
        <x:v>Json</x:v>
      </x:c>
      <x:c r="F476" s="4" t="str">
        <x:v>YES</x:v>
      </x:c>
      <x:c r="G476" s="4" t="str">
        <x:v>待M阶段冻结</x:v>
      </x:c>
      <x:c r="H476" s="17" t="str">
        <x:v>INTERNAL</x:v>
      </x:c>
      <x:c r="I476" s="17" t="str">
        <x:v>按资源权限与数据域访问；公开DTO另行白名单</x:v>
      </x:c>
      <x:c r="J476" s="17" t="str">
        <x:v>数据库实体不得直接序列化为响应</x:v>
      </x:c>
      <x:c r="K476" s="17" t="str">
        <x:v>DTO白名单；长度/枚举/归属/状态校验；禁止信任客户端派生值</x:v>
      </x:c>
      <x:c r="L476" s="17" t="str">
        <x:v>按实体version或审计日志保留变更证据</x:v>
      </x:c>
      <x:c r="M476" s="4" t="str">
        <x:v>M4</x:v>
      </x:c>
      <x:c r="N476" s="4" t="str">
        <x:v>待切片细化</x:v>
      </x:c>
      <x:c r="O476" s="4" t="str">
        <x:v>综合方案§13核心数据模型</x:v>
      </x:c>
      <x:c r="P476" s="4" t="str">
        <x:v>DRAFT_FROM_SCHEME</x:v>
      </x:c>
    </x:row>
    <x:row r="477" ht="23" customHeight="1">
      <x:c r="A477" s="4" t="str">
        <x:v>RunnerSession</x:v>
      </x:c>
      <x:c r="B477" s="4" t="str">
        <x:v>ip</x:v>
      </x:c>
      <x:c r="C477" s="17" t="str">
        <x:v>ip</x:v>
      </x:c>
      <x:c r="D477" s="4" t="str">
        <x:v>5</x:v>
      </x:c>
      <x:c r="E477" s="4" t="str">
        <x:v>String</x:v>
      </x:c>
      <x:c r="F477" s="4" t="str">
        <x:v>YES</x:v>
      </x:c>
      <x:c r="G477" s="4" t="str">
        <x:v>待M阶段冻结</x:v>
      </x:c>
      <x:c r="H477" s="17" t="str">
        <x:v>PERSONAL_OR_SENSITIVE</x:v>
      </x:c>
      <x:c r="I477" s="17" t="str">
        <x:v>按角色、对象归属及配送阶段脱敏/解密</x:v>
      </x:c>
      <x:c r="J477" s="17" t="str">
        <x:v>禁止跨供应商、越阶段或批量无审批导出</x:v>
      </x:c>
      <x:c r="K477" s="17" t="str">
        <x:v>DTO白名单；长度/枚举/归属/状态校验；禁止信任客户端派生值</x:v>
      </x:c>
      <x:c r="L477" s="17" t="str">
        <x:v>按实体version或审计日志保留变更证据</x:v>
      </x:c>
      <x:c r="M477" s="4" t="str">
        <x:v>M4</x:v>
      </x:c>
      <x:c r="N477" s="4" t="str">
        <x:v>待切片细化</x:v>
      </x:c>
      <x:c r="O477" s="4" t="str">
        <x:v>综合方案§13核心数据模型</x:v>
      </x:c>
      <x:c r="P477" s="4" t="str">
        <x:v>DRAFT_FROM_SCHEME</x:v>
      </x:c>
    </x:row>
    <x:row r="478" ht="23" customHeight="1">
      <x:c r="A478" s="4" t="str">
        <x:v>RunnerSession</x:v>
      </x:c>
      <x:c r="B478" s="4" t="str">
        <x:v>expiresAt</x:v>
      </x:c>
      <x:c r="C478" s="17" t="str">
        <x:v>expiresAt</x:v>
      </x:c>
      <x:c r="D478" s="4" t="str">
        <x:v>6</x:v>
      </x:c>
      <x:c r="E478" s="4" t="str">
        <x:v>DateTime</x:v>
      </x:c>
      <x:c r="F478" s="4" t="str">
        <x:v>YES</x:v>
      </x:c>
      <x:c r="G478" s="4" t="str">
        <x:v>ISO-8601+明确时区</x:v>
      </x:c>
      <x:c r="H478" s="17" t="str">
        <x:v>INTERNAL</x:v>
      </x:c>
      <x:c r="I478" s="17" t="str">
        <x:v>按资源权限与数据域访问；公开DTO另行白名单</x:v>
      </x:c>
      <x:c r="J478" s="17" t="str">
        <x:v>数据库实体不得直接序列化为响应</x:v>
      </x:c>
      <x:c r="K478" s="17" t="str">
        <x:v>DTO白名单；长度/枚举/归属/状态校验；禁止信任客户端派生值</x:v>
      </x:c>
      <x:c r="L478" s="17" t="str">
        <x:v>按实体version或审计日志保留变更证据</x:v>
      </x:c>
      <x:c r="M478" s="4" t="str">
        <x:v>M4</x:v>
      </x:c>
      <x:c r="N478" s="4" t="str">
        <x:v>待切片细化</x:v>
      </x:c>
      <x:c r="O478" s="4" t="str">
        <x:v>综合方案§13核心数据模型</x:v>
      </x:c>
      <x:c r="P478" s="4" t="str">
        <x:v>DRAFT_FROM_SCHEME</x:v>
      </x:c>
    </x:row>
    <x:row r="479" ht="23" customHeight="1">
      <x:c r="A479" s="4" t="str">
        <x:v>RunnerSession</x:v>
      </x:c>
      <x:c r="B479" s="4" t="str">
        <x:v>revokedAt</x:v>
      </x:c>
      <x:c r="C479" s="17" t="str">
        <x:v>revokedAt?</x:v>
      </x:c>
      <x:c r="D479" s="4" t="str">
        <x:v>7</x:v>
      </x:c>
      <x:c r="E479" s="4" t="str">
        <x:v>DateTime</x:v>
      </x:c>
      <x:c r="F479" s="4" t="str">
        <x:v>NO</x:v>
      </x:c>
      <x:c r="G479" s="4" t="str">
        <x:v>ISO-8601+明确时区</x:v>
      </x:c>
      <x:c r="H479" s="17" t="str">
        <x:v>INTERNAL</x:v>
      </x:c>
      <x:c r="I479" s="17" t="str">
        <x:v>按资源权限与数据域访问；公开DTO另行白名单</x:v>
      </x:c>
      <x:c r="J479" s="17" t="str">
        <x:v>数据库实体不得直接序列化为响应</x:v>
      </x:c>
      <x:c r="K479" s="17" t="str">
        <x:v>DTO白名单；长度/枚举/归属/状态校验；禁止信任客户端派生值</x:v>
      </x:c>
      <x:c r="L479" s="17" t="str">
        <x:v>按实体version或审计日志保留变更证据</x:v>
      </x:c>
      <x:c r="M479" s="4" t="str">
        <x:v>M4</x:v>
      </x:c>
      <x:c r="N479" s="4" t="str">
        <x:v>待切片细化</x:v>
      </x:c>
      <x:c r="O479" s="4" t="str">
        <x:v>综合方案§13核心数据模型</x:v>
      </x:c>
      <x:c r="P479" s="4" t="str">
        <x:v>DRAFT_FROM_SCHEME</x:v>
      </x:c>
    </x:row>
    <x:row r="480" ht="23" customHeight="1">
      <x:c r="A480" s="4" t="str">
        <x:v>DeliveryTask</x:v>
      </x:c>
      <x:c r="B480" s="4" t="str">
        <x:v>id</x:v>
      </x:c>
      <x:c r="C480" s="17" t="str">
        <x:v>id</x:v>
      </x:c>
      <x:c r="D480" s="4" t="str">
        <x:v>1</x:v>
      </x:c>
      <x:c r="E480" s="4" t="str">
        <x:v>String/UUID</x:v>
      </x:c>
      <x:c r="F480" s="4" t="str">
        <x:v>YES</x:v>
      </x:c>
      <x:c r="G480" s="4" t="str">
        <x:v>待M阶段冻结</x:v>
      </x:c>
      <x:c r="H480" s="17" t="str">
        <x:v>INTERNAL</x:v>
      </x:c>
      <x:c r="I480" s="17" t="str">
        <x:v>按资源权限与数据域访问；公开DTO另行白名单</x:v>
      </x:c>
      <x:c r="J480" s="17" t="str">
        <x:v>数据库实体不得直接序列化为响应</x:v>
      </x:c>
      <x:c r="K480" s="17" t="str">
        <x:v>DTO白名单；长度/枚举/归属/状态校验；禁止信任客户端派生值</x:v>
      </x:c>
      <x:c r="L480" s="17" t="str">
        <x:v>按实体version或审计日志保留变更证据</x:v>
      </x:c>
      <x:c r="M480" s="4" t="str">
        <x:v>M4</x:v>
      </x:c>
      <x:c r="N480" s="4" t="str">
        <x:v>P0-032,P0-033,P0-034,P0-099,P0-102,P0-103,P0-105,P0-107,P0-108</x:v>
      </x:c>
      <x:c r="O480" s="4" t="str">
        <x:v>综合方案§13核心数据模型</x:v>
      </x:c>
      <x:c r="P480" s="4" t="str">
        <x:v>DRAFT_FROM_SCHEME</x:v>
      </x:c>
    </x:row>
    <x:row r="481" ht="23" customHeight="1">
      <x:c r="A481" s="4" t="str">
        <x:v>DeliveryTask</x:v>
      </x:c>
      <x:c r="B481" s="4" t="str">
        <x:v>orderId</x:v>
      </x:c>
      <x:c r="C481" s="17" t="str">
        <x:v>orderId</x:v>
      </x:c>
      <x:c r="D481" s="4" t="str">
        <x:v>2</x:v>
      </x:c>
      <x:c r="E481" s="4" t="str">
        <x:v>String/UUID</x:v>
      </x:c>
      <x:c r="F481" s="4" t="str">
        <x:v>YES</x:v>
      </x:c>
      <x:c r="G481" s="4" t="str">
        <x:v>待M阶段冻结</x:v>
      </x:c>
      <x:c r="H481" s="17" t="str">
        <x:v>INTERNAL</x:v>
      </x:c>
      <x:c r="I481" s="17" t="str">
        <x:v>按资源权限与数据域访问；公开DTO另行白名单</x:v>
      </x:c>
      <x:c r="J481" s="17" t="str">
        <x:v>数据库实体不得直接序列化为响应</x:v>
      </x:c>
      <x:c r="K481" s="17" t="str">
        <x:v>DTO白名单；长度/枚举/归属/状态校验；禁止信任客户端派生值</x:v>
      </x:c>
      <x:c r="L481" s="17" t="str">
        <x:v>按实体version或审计日志保留变更证据</x:v>
      </x:c>
      <x:c r="M481" s="4" t="str">
        <x:v>M4</x:v>
      </x:c>
      <x:c r="N481" s="4" t="str">
        <x:v>P0-032,P0-033,P0-034,P0-099,P0-102,P0-103,P0-105,P0-107,P0-108</x:v>
      </x:c>
      <x:c r="O481" s="4" t="str">
        <x:v>综合方案§13核心数据模型</x:v>
      </x:c>
      <x:c r="P481" s="4" t="str">
        <x:v>DRAFT_FROM_SCHEME</x:v>
      </x:c>
    </x:row>
    <x:row r="482" ht="23" customHeight="1">
      <x:c r="A482" s="4" t="str">
        <x:v>DeliveryTask</x:v>
      </x:c>
      <x:c r="B482" s="4" t="str">
        <x:v>supplierFulfillmentSubOrderId</x:v>
      </x:c>
      <x:c r="C482" s="17" t="str">
        <x:v>supplierFulfillmentSubOrderId</x:v>
      </x:c>
      <x:c r="D482" s="4" t="str">
        <x:v>3</x:v>
      </x:c>
      <x:c r="E482" s="4" t="str">
        <x:v>String/UUID</x:v>
      </x:c>
      <x:c r="F482" s="4" t="str">
        <x:v>YES</x:v>
      </x:c>
      <x:c r="G482" s="4" t="str">
        <x:v>待M阶段冻结</x:v>
      </x:c>
      <x:c r="H482" s="17" t="str">
        <x:v>INTERNAL</x:v>
      </x:c>
      <x:c r="I482" s="17" t="str">
        <x:v>按资源权限与数据域访问；公开DTO另行白名单</x:v>
      </x:c>
      <x:c r="J482" s="17" t="str">
        <x:v>数据库实体不得直接序列化为响应</x:v>
      </x:c>
      <x:c r="K482" s="17" t="str">
        <x:v>DTO白名单；长度/枚举/归属/状态校验；禁止信任客户端派生值</x:v>
      </x:c>
      <x:c r="L482" s="17" t="str">
        <x:v>按实体version或审计日志保留变更证据</x:v>
      </x:c>
      <x:c r="M482" s="4" t="str">
        <x:v>M4</x:v>
      </x:c>
      <x:c r="N482" s="4" t="str">
        <x:v>P0-032,P0-033,P0-034,P0-099,P0-102,P0-103,P0-105,P0-107,P0-108</x:v>
      </x:c>
      <x:c r="O482" s="4" t="str">
        <x:v>综合方案§13核心数据模型</x:v>
      </x:c>
      <x:c r="P482" s="4" t="str">
        <x:v>DRAFT_FROM_SCHEME</x:v>
      </x:c>
    </x:row>
    <x:row r="483" ht="23" customHeight="1">
      <x:c r="A483" s="4" t="str">
        <x:v>DeliveryTask</x:v>
      </x:c>
      <x:c r="B483" s="4" t="str">
        <x:v>supplierId</x:v>
      </x:c>
      <x:c r="C483" s="17" t="str">
        <x:v>supplierId</x:v>
      </x:c>
      <x:c r="D483" s="4" t="str">
        <x:v>4</x:v>
      </x:c>
      <x:c r="E483" s="4" t="str">
        <x:v>String/UUID</x:v>
      </x:c>
      <x:c r="F483" s="4" t="str">
        <x:v>YES</x:v>
      </x:c>
      <x:c r="G483" s="4" t="str">
        <x:v>待M阶段冻结</x:v>
      </x:c>
      <x:c r="H483" s="17" t="str">
        <x:v>INTERNAL</x:v>
      </x:c>
      <x:c r="I483" s="17" t="str">
        <x:v>按资源权限与数据域访问；公开DTO另行白名单</x:v>
      </x:c>
      <x:c r="J483" s="17" t="str">
        <x:v>数据库实体不得直接序列化为响应</x:v>
      </x:c>
      <x:c r="K483" s="17" t="str">
        <x:v>DTO白名单；长度/枚举/归属/状态校验；禁止信任客户端派生值</x:v>
      </x:c>
      <x:c r="L483" s="17" t="str">
        <x:v>按实体version或审计日志保留变更证据</x:v>
      </x:c>
      <x:c r="M483" s="4" t="str">
        <x:v>M4</x:v>
      </x:c>
      <x:c r="N483" s="4" t="str">
        <x:v>P0-032,P0-033,P0-034,P0-099,P0-102,P0-103,P0-105,P0-107,P0-108</x:v>
      </x:c>
      <x:c r="O483" s="4" t="str">
        <x:v>综合方案§13核心数据模型</x:v>
      </x:c>
      <x:c r="P483" s="4" t="str">
        <x:v>DRAFT_FROM_SCHEME</x:v>
      </x:c>
    </x:row>
    <x:row r="484" ht="23" customHeight="1">
      <x:c r="A484" s="4" t="str">
        <x:v>DeliveryTask</x:v>
      </x:c>
      <x:c r="B484" s="4" t="str">
        <x:v>runnerId</x:v>
      </x:c>
      <x:c r="C484" s="17" t="str">
        <x:v>runnerId?</x:v>
      </x:c>
      <x:c r="D484" s="4" t="str">
        <x:v>5</x:v>
      </x:c>
      <x:c r="E484" s="4" t="str">
        <x:v>String/UUID</x:v>
      </x:c>
      <x:c r="F484" s="4" t="str">
        <x:v>NO</x:v>
      </x:c>
      <x:c r="G484" s="4" t="str">
        <x:v>待M阶段冻结</x:v>
      </x:c>
      <x:c r="H484" s="17" t="str">
        <x:v>INTERNAL</x:v>
      </x:c>
      <x:c r="I484" s="17" t="str">
        <x:v>按资源权限与数据域访问；公开DTO另行白名单</x:v>
      </x:c>
      <x:c r="J484" s="17" t="str">
        <x:v>数据库实体不得直接序列化为响应</x:v>
      </x:c>
      <x:c r="K484" s="17" t="str">
        <x:v>DTO白名单；长度/枚举/归属/状态校验；禁止信任客户端派生值</x:v>
      </x:c>
      <x:c r="L484" s="17" t="str">
        <x:v>按实体version或审计日志保留变更证据</x:v>
      </x:c>
      <x:c r="M484" s="4" t="str">
        <x:v>M4</x:v>
      </x:c>
      <x:c r="N484" s="4" t="str">
        <x:v>P0-032,P0-033,P0-034,P0-099,P0-102,P0-103,P0-105,P0-107,P0-108</x:v>
      </x:c>
      <x:c r="O484" s="4" t="str">
        <x:v>综合方案§13核心数据模型</x:v>
      </x:c>
      <x:c r="P484" s="4" t="str">
        <x:v>DRAFT_FROM_SCHEME</x:v>
      </x:c>
    </x:row>
    <x:row r="485" ht="23" customHeight="1">
      <x:c r="A485" s="4" t="str">
        <x:v>DeliveryTask</x:v>
      </x:c>
      <x:c r="B485" s="4" t="str">
        <x:v>pickupPointSnapshot</x:v>
      </x:c>
      <x:c r="C485" s="17" t="str">
        <x:v>pickupPointSnapshot [name,address,lat,lng,contact]</x:v>
      </x:c>
      <x:c r="D485" s="4" t="str">
        <x:v>6</x:v>
      </x:c>
      <x:c r="E485" s="4" t="str">
        <x:v>Json</x:v>
      </x:c>
      <x:c r="F485" s="4" t="str">
        <x:v>YES</x:v>
      </x:c>
      <x:c r="G485" s="4" t="str">
        <x:v>待M阶段冻结</x:v>
      </x:c>
      <x:c r="H485" s="17" t="str">
        <x:v>INTERNAL</x:v>
      </x:c>
      <x:c r="I485" s="17" t="str">
        <x:v>按资源权限与数据域访问；公开DTO另行白名单</x:v>
      </x:c>
      <x:c r="J485" s="17" t="str">
        <x:v>数据库实体不得直接序列化为响应</x:v>
      </x:c>
      <x:c r="K485" s="17" t="str">
        <x:v>DTO白名单；长度/枚举/归属/状态校验；禁止信任客户端派生值</x:v>
      </x:c>
      <x:c r="L485" s="17" t="str">
        <x:v>按实体version或审计日志保留变更证据</x:v>
      </x:c>
      <x:c r="M485" s="4" t="str">
        <x:v>M4</x:v>
      </x:c>
      <x:c r="N485" s="4" t="str">
        <x:v>P0-032,P0-033,P0-034,P0-099,P0-102,P0-103,P0-105,P0-107,P0-108</x:v>
      </x:c>
      <x:c r="O485" s="4" t="str">
        <x:v>综合方案§13核心数据模型</x:v>
      </x:c>
      <x:c r="P485" s="4" t="str">
        <x:v>DRAFT_FROM_SCHEME</x:v>
      </x:c>
    </x:row>
    <x:row r="486" ht="23" customHeight="1">
      <x:c r="A486" s="4" t="str">
        <x:v>DeliveryTask</x:v>
      </x:c>
      <x:c r="B486" s="4" t="str">
        <x:v>destinationSnapshot</x:v>
      </x:c>
      <x:c r="C486" s="17" t="str">
        <x:v>destinationSnapshot [name,address,lat,lng,contact]</x:v>
      </x:c>
      <x:c r="D486" s="4" t="str">
        <x:v>7</x:v>
      </x:c>
      <x:c r="E486" s="4" t="str">
        <x:v>Json</x:v>
      </x:c>
      <x:c r="F486" s="4" t="str">
        <x:v>YES</x:v>
      </x:c>
      <x:c r="G486" s="4" t="str">
        <x:v>待M阶段冻结</x:v>
      </x:c>
      <x:c r="H486" s="17" t="str">
        <x:v>INTERNAL</x:v>
      </x:c>
      <x:c r="I486" s="17" t="str">
        <x:v>按资源权限与数据域访问；公开DTO另行白名单</x:v>
      </x:c>
      <x:c r="J486" s="17" t="str">
        <x:v>数据库实体不得直接序列化为响应</x:v>
      </x:c>
      <x:c r="K486" s="17" t="str">
        <x:v>DTO白名单；长度/枚举/归属/状态校验；禁止信任客户端派生值</x:v>
      </x:c>
      <x:c r="L486" s="17" t="str">
        <x:v>按实体version或审计日志保留变更证据</x:v>
      </x:c>
      <x:c r="M486" s="4" t="str">
        <x:v>M4</x:v>
      </x:c>
      <x:c r="N486" s="4" t="str">
        <x:v>P0-032,P0-033,P0-034,P0-099,P0-102,P0-103,P0-105,P0-107,P0-108</x:v>
      </x:c>
      <x:c r="O486" s="4" t="str">
        <x:v>综合方案§13核心数据模型</x:v>
      </x:c>
      <x:c r="P486" s="4" t="str">
        <x:v>DRAFT_FROM_SCHEME</x:v>
      </x:c>
    </x:row>
    <x:row r="487" ht="23" customHeight="1">
      <x:c r="A487" s="4" t="str">
        <x:v>DeliveryTask</x:v>
      </x:c>
      <x:c r="B487" s="4" t="str">
        <x:v>taskType</x:v>
      </x:c>
      <x:c r="C487" s="17" t="str">
        <x:v>taskType=RETAIL_RUNNER</x:v>
      </x:c>
      <x:c r="D487" s="4" t="str">
        <x:v>8</x:v>
      </x:c>
      <x:c r="E487" s="4" t="str">
        <x:v>Enum/String</x:v>
      </x:c>
      <x:c r="F487" s="4" t="str">
        <x:v>YES</x:v>
      </x:c>
      <x:c r="G487" s="4" t="str">
        <x:v>待M阶段冻结</x:v>
      </x:c>
      <x:c r="H487" s="17" t="str">
        <x:v>INTERNAL</x:v>
      </x:c>
      <x:c r="I487" s="17" t="str">
        <x:v>按资源权限与数据域访问；公开DTO另行白名单</x:v>
      </x:c>
      <x:c r="J487" s="17" t="str">
        <x:v>数据库实体不得直接序列化为响应</x:v>
      </x:c>
      <x:c r="K487" s="17" t="str">
        <x:v>DTO白名单；长度/枚举/归属/状态校验；禁止信任客户端派生值</x:v>
      </x:c>
      <x:c r="L487" s="17" t="str">
        <x:v>按实体version或审计日志保留变更证据</x:v>
      </x:c>
      <x:c r="M487" s="4" t="str">
        <x:v>M4</x:v>
      </x:c>
      <x:c r="N487" s="4" t="str">
        <x:v>P0-032,P0-033,P0-034,P0-099,P0-102,P0-103,P0-105,P0-107,P0-108</x:v>
      </x:c>
      <x:c r="O487" s="4" t="str">
        <x:v>综合方案§13核心数据模型</x:v>
      </x:c>
      <x:c r="P487" s="4" t="str">
        <x:v>DRAFT_FROM_SCHEME</x:v>
      </x:c>
    </x:row>
    <x:row r="488" ht="23" customHeight="1">
      <x:c r="A488" s="4" t="str">
        <x:v>DeliveryTask</x:v>
      </x:c>
      <x:c r="B488" s="4" t="str">
        <x:v>status</x:v>
      </x:c>
      <x:c r="C488" s="17" t="str">
        <x:v>status</x:v>
      </x:c>
      <x:c r="D488" s="4" t="str">
        <x:v>9</x:v>
      </x:c>
      <x:c r="E488" s="4" t="str">
        <x:v>Enum/String</x:v>
      </x:c>
      <x:c r="F488" s="4" t="str">
        <x:v>YES</x:v>
      </x:c>
      <x:c r="G488" s="4" t="str">
        <x:v>待M阶段冻结</x:v>
      </x:c>
      <x:c r="H488" s="17" t="str">
        <x:v>INTERNAL</x:v>
      </x:c>
      <x:c r="I488" s="17" t="str">
        <x:v>按资源权限与数据域访问；公开DTO另行白名单</x:v>
      </x:c>
      <x:c r="J488" s="17" t="str">
        <x:v>数据库实体不得直接序列化为响应</x:v>
      </x:c>
      <x:c r="K488" s="17" t="str">
        <x:v>DTO白名单；长度/枚举/归属/状态校验；禁止信任客户端派生值</x:v>
      </x:c>
      <x:c r="L488" s="17" t="str">
        <x:v>按实体version或审计日志保留变更证据</x:v>
      </x:c>
      <x:c r="M488" s="4" t="str">
        <x:v>M4</x:v>
      </x:c>
      <x:c r="N488" s="4" t="str">
        <x:v>P0-032,P0-033,P0-034,P0-099,P0-102,P0-103,P0-105,P0-107,P0-108</x:v>
      </x:c>
      <x:c r="O488" s="4" t="str">
        <x:v>综合方案§13核心数据模型</x:v>
      </x:c>
      <x:c r="P488" s="4" t="str">
        <x:v>DRAFT_FROM_SCHEME</x:v>
      </x:c>
    </x:row>
    <x:row r="489" ht="23" customHeight="1">
      <x:c r="A489" s="4" t="str">
        <x:v>DeliveryTask</x:v>
      </x:c>
      <x:c r="B489" s="4" t="str">
        <x:v>feeSnapshot</x:v>
      </x:c>
      <x:c r="C489" s="17" t="str">
        <x:v>feeSnapshot</x:v>
      </x:c>
      <x:c r="D489" s="4" t="str">
        <x:v>10</x:v>
      </x:c>
      <x:c r="E489" s="4" t="str">
        <x:v>Json</x:v>
      </x:c>
      <x:c r="F489" s="4" t="str">
        <x:v>YES</x:v>
      </x:c>
      <x:c r="G489" s="4" t="str">
        <x:v>待M阶段冻结</x:v>
      </x:c>
      <x:c r="H489" s="17" t="str">
        <x:v>INTERNAL</x:v>
      </x:c>
      <x:c r="I489" s="17" t="str">
        <x:v>按资源权限与数据域访问；公开DTO另行白名单</x:v>
      </x:c>
      <x:c r="J489" s="17" t="str">
        <x:v>数据库实体不得直接序列化为响应</x:v>
      </x:c>
      <x:c r="K489" s="17" t="str">
        <x:v>DTO白名单；长度/枚举/归属/状态校验；禁止信任客户端派生值</x:v>
      </x:c>
      <x:c r="L489" s="17" t="str">
        <x:v>按实体version或审计日志保留变更证据</x:v>
      </x:c>
      <x:c r="M489" s="4" t="str">
        <x:v>M4</x:v>
      </x:c>
      <x:c r="N489" s="4" t="str">
        <x:v>P0-032,P0-033,P0-034,P0-099,P0-102,P0-103,P0-105,P0-107,P0-108</x:v>
      </x:c>
      <x:c r="O489" s="4" t="str">
        <x:v>综合方案§13核心数据模型</x:v>
      </x:c>
      <x:c r="P489" s="4" t="str">
        <x:v>DRAFT_FROM_SCHEME</x:v>
      </x:c>
    </x:row>
    <x:row r="490" ht="23" customHeight="1">
      <x:c r="A490" s="4" t="str">
        <x:v>DeliveryTask</x:v>
      </x:c>
      <x:c r="B490" s="4" t="str">
        <x:v>hallPublishedAt</x:v>
      </x:c>
      <x:c r="C490" s="17" t="str">
        <x:v>hallPublishedAt?</x:v>
      </x:c>
      <x:c r="D490" s="4" t="str">
        <x:v>11</x:v>
      </x:c>
      <x:c r="E490" s="4" t="str">
        <x:v>DateTime</x:v>
      </x:c>
      <x:c r="F490" s="4" t="str">
        <x:v>NO</x:v>
      </x:c>
      <x:c r="G490" s="4" t="str">
        <x:v>ISO-8601+明确时区</x:v>
      </x:c>
      <x:c r="H490" s="17" t="str">
        <x:v>INTERNAL</x:v>
      </x:c>
      <x:c r="I490" s="17" t="str">
        <x:v>按资源权限与数据域访问；公开DTO另行白名单</x:v>
      </x:c>
      <x:c r="J490" s="17" t="str">
        <x:v>数据库实体不得直接序列化为响应</x:v>
      </x:c>
      <x:c r="K490" s="17" t="str">
        <x:v>DTO白名单；长度/枚举/归属/状态校验；禁止信任客户端派生值</x:v>
      </x:c>
      <x:c r="L490" s="17" t="str">
        <x:v>按实体version或审计日志保留变更证据</x:v>
      </x:c>
      <x:c r="M490" s="4" t="str">
        <x:v>M4</x:v>
      </x:c>
      <x:c r="N490" s="4" t="str">
        <x:v>P0-032,P0-033,P0-034,P0-099,P0-102,P0-103,P0-105,P0-107,P0-108</x:v>
      </x:c>
      <x:c r="O490" s="4" t="str">
        <x:v>综合方案§13核心数据模型</x:v>
      </x:c>
      <x:c r="P490" s="4" t="str">
        <x:v>DRAFT_FROM_SCHEME</x:v>
      </x:c>
    </x:row>
    <x:row r="491" ht="23" customHeight="1">
      <x:c r="A491" s="4" t="str">
        <x:v>DeliveryTask</x:v>
      </x:c>
      <x:c r="B491" s="4" t="str">
        <x:v>acceptedAt</x:v>
      </x:c>
      <x:c r="C491" s="17" t="str">
        <x:v>acceptedAt?</x:v>
      </x:c>
      <x:c r="D491" s="4" t="str">
        <x:v>12</x:v>
      </x:c>
      <x:c r="E491" s="4" t="str">
        <x:v>DateTime</x:v>
      </x:c>
      <x:c r="F491" s="4" t="str">
        <x:v>NO</x:v>
      </x:c>
      <x:c r="G491" s="4" t="str">
        <x:v>ISO-8601+明确时区</x:v>
      </x:c>
      <x:c r="H491" s="17" t="str">
        <x:v>INTERNAL</x:v>
      </x:c>
      <x:c r="I491" s="17" t="str">
        <x:v>按资源权限与数据域访问；公开DTO另行白名单</x:v>
      </x:c>
      <x:c r="J491" s="17" t="str">
        <x:v>数据库实体不得直接序列化为响应</x:v>
      </x:c>
      <x:c r="K491" s="17" t="str">
        <x:v>DTO白名单；长度/枚举/归属/状态校验；禁止信任客户端派生值</x:v>
      </x:c>
      <x:c r="L491" s="17" t="str">
        <x:v>按实体version或审计日志保留变更证据</x:v>
      </x:c>
      <x:c r="M491" s="4" t="str">
        <x:v>M4</x:v>
      </x:c>
      <x:c r="N491" s="4" t="str">
        <x:v>P0-032,P0-033,P0-034,P0-099,P0-102,P0-103,P0-105,P0-107,P0-108</x:v>
      </x:c>
      <x:c r="O491" s="4" t="str">
        <x:v>综合方案§13核心数据模型</x:v>
      </x:c>
      <x:c r="P491" s="4" t="str">
        <x:v>DRAFT_FROM_SCHEME</x:v>
      </x:c>
    </x:row>
    <x:row r="492" ht="23" customHeight="1">
      <x:c r="A492" s="4" t="str">
        <x:v>DeliveryTask</x:v>
      </x:c>
      <x:c r="B492" s="4" t="str">
        <x:v>deliveredAt</x:v>
      </x:c>
      <x:c r="C492" s="17" t="str">
        <x:v>deliveredAt?</x:v>
      </x:c>
      <x:c r="D492" s="4" t="str">
        <x:v>13</x:v>
      </x:c>
      <x:c r="E492" s="4" t="str">
        <x:v>DateTime</x:v>
      </x:c>
      <x:c r="F492" s="4" t="str">
        <x:v>NO</x:v>
      </x:c>
      <x:c r="G492" s="4" t="str">
        <x:v>ISO-8601+明确时区</x:v>
      </x:c>
      <x:c r="H492" s="17" t="str">
        <x:v>INTERNAL</x:v>
      </x:c>
      <x:c r="I492" s="17" t="str">
        <x:v>按资源权限与数据域访问；公开DTO另行白名单</x:v>
      </x:c>
      <x:c r="J492" s="17" t="str">
        <x:v>数据库实体不得直接序列化为响应</x:v>
      </x:c>
      <x:c r="K492" s="17" t="str">
        <x:v>DTO白名单；长度/枚举/归属/状态校验；禁止信任客户端派生值</x:v>
      </x:c>
      <x:c r="L492" s="17" t="str">
        <x:v>按实体version或审计日志保留变更证据</x:v>
      </x:c>
      <x:c r="M492" s="4" t="str">
        <x:v>M4</x:v>
      </x:c>
      <x:c r="N492" s="4" t="str">
        <x:v>P0-032,P0-033,P0-034,P0-099,P0-102,P0-103,P0-105,P0-107,P0-108</x:v>
      </x:c>
      <x:c r="O492" s="4" t="str">
        <x:v>综合方案§13核心数据模型</x:v>
      </x:c>
      <x:c r="P492" s="4" t="str">
        <x:v>DRAFT_FROM_SCHEME</x:v>
      </x:c>
    </x:row>
    <x:row r="493" ht="23" customHeight="1">
      <x:c r="A493" s="4" t="str">
        <x:v>DeliveryTask</x:v>
      </x:c>
      <x:c r="B493" s="4" t="str">
        <x:v>version</x:v>
      </x:c>
      <x:c r="C493" s="17" t="str">
        <x:v>version</x:v>
      </x:c>
      <x:c r="D493" s="4" t="str">
        <x:v>14</x:v>
      </x:c>
      <x:c r="E493" s="4" t="str">
        <x:v>Int</x:v>
      </x:c>
      <x:c r="F493" s="4" t="str">
        <x:v>YES</x:v>
      </x:c>
      <x:c r="G493" s="4" t="str">
        <x:v>待M阶段冻结</x:v>
      </x:c>
      <x:c r="H493" s="17" t="str">
        <x:v>INTERNAL</x:v>
      </x:c>
      <x:c r="I493" s="17" t="str">
        <x:v>按资源权限与数据域访问；公开DTO另行白名单</x:v>
      </x:c>
      <x:c r="J493" s="17" t="str">
        <x:v>数据库实体不得直接序列化为响应</x:v>
      </x:c>
      <x:c r="K493" s="17" t="str">
        <x:v>DTO白名单；长度/枚举/归属/状态校验；禁止信任客户端派生值</x:v>
      </x:c>
      <x:c r="L493" s="17" t="str">
        <x:v>按实体version或审计日志保留变更证据</x:v>
      </x:c>
      <x:c r="M493" s="4" t="str">
        <x:v>M4</x:v>
      </x:c>
      <x:c r="N493" s="4" t="str">
        <x:v>P0-032,P0-033,P0-034,P0-099,P0-102,P0-103,P0-105,P0-107,P0-108</x:v>
      </x:c>
      <x:c r="O493" s="4" t="str">
        <x:v>综合方案§13核心数据模型</x:v>
      </x:c>
      <x:c r="P493" s="4" t="str">
        <x:v>DRAFT_FROM_SCHEME</x:v>
      </x:c>
    </x:row>
    <x:row r="494" ht="23" customHeight="1">
      <x:c r="A494" s="4" t="str">
        <x:v>DeliveryTaskAssignmentLog</x:v>
      </x:c>
      <x:c r="B494" s="4" t="str">
        <x:v>id</x:v>
      </x:c>
      <x:c r="C494" s="17" t="str">
        <x:v>id</x:v>
      </x:c>
      <x:c r="D494" s="4" t="str">
        <x:v>1</x:v>
      </x:c>
      <x:c r="E494" s="4" t="str">
        <x:v>String/UUID</x:v>
      </x:c>
      <x:c r="F494" s="4" t="str">
        <x:v>YES</x:v>
      </x:c>
      <x:c r="G494" s="4" t="str">
        <x:v>待M阶段冻结</x:v>
      </x:c>
      <x:c r="H494" s="17" t="str">
        <x:v>INTERNAL</x:v>
      </x:c>
      <x:c r="I494" s="17" t="str">
        <x:v>按资源权限与数据域访问；公开DTO另行白名单</x:v>
      </x:c>
      <x:c r="J494" s="17" t="str">
        <x:v>数据库实体不得直接序列化为响应</x:v>
      </x:c>
      <x:c r="K494" s="17" t="str">
        <x:v>DTO白名单；长度/枚举/归属/状态校验；禁止信任客户端派生值</x:v>
      </x:c>
      <x:c r="L494" s="17" t="str">
        <x:v>追加/版本/快照，不覆盖已生效历史</x:v>
      </x:c>
      <x:c r="M494" s="4" t="str">
        <x:v>M4</x:v>
      </x:c>
      <x:c r="N494" s="4" t="str">
        <x:v>待切片细化</x:v>
      </x:c>
      <x:c r="O494" s="4" t="str">
        <x:v>综合方案§13核心数据模型</x:v>
      </x:c>
      <x:c r="P494" s="4" t="str">
        <x:v>DRAFT_FROM_SCHEME</x:v>
      </x:c>
    </x:row>
    <x:row r="495" ht="23" customHeight="1">
      <x:c r="A495" s="4" t="str">
        <x:v>DeliveryTaskAssignmentLog</x:v>
      </x:c>
      <x:c r="B495" s="4" t="str">
        <x:v>deliveryTaskId</x:v>
      </x:c>
      <x:c r="C495" s="17" t="str">
        <x:v>deliveryTaskId</x:v>
      </x:c>
      <x:c r="D495" s="4" t="str">
        <x:v>2</x:v>
      </x:c>
      <x:c r="E495" s="4" t="str">
        <x:v>String/UUID</x:v>
      </x:c>
      <x:c r="F495" s="4" t="str">
        <x:v>YES</x:v>
      </x:c>
      <x:c r="G495" s="4" t="str">
        <x:v>待M阶段冻结</x:v>
      </x:c>
      <x:c r="H495" s="17" t="str">
        <x:v>INTERNAL</x:v>
      </x:c>
      <x:c r="I495" s="17" t="str">
        <x:v>按资源权限与数据域访问；公开DTO另行白名单</x:v>
      </x:c>
      <x:c r="J495" s="17" t="str">
        <x:v>数据库实体不得直接序列化为响应</x:v>
      </x:c>
      <x:c r="K495" s="17" t="str">
        <x:v>DTO白名单；长度/枚举/归属/状态校验；禁止信任客户端派生值</x:v>
      </x:c>
      <x:c r="L495" s="17" t="str">
        <x:v>追加/版本/快照，不覆盖已生效历史</x:v>
      </x:c>
      <x:c r="M495" s="4" t="str">
        <x:v>M4</x:v>
      </x:c>
      <x:c r="N495" s="4" t="str">
        <x:v>待切片细化</x:v>
      </x:c>
      <x:c r="O495" s="4" t="str">
        <x:v>综合方案§13核心数据模型</x:v>
      </x:c>
      <x:c r="P495" s="4" t="str">
        <x:v>DRAFT_FROM_SCHEME</x:v>
      </x:c>
    </x:row>
    <x:row r="496" ht="23" customHeight="1">
      <x:c r="A496" s="4" t="str">
        <x:v>DeliveryTaskAssignmentLog</x:v>
      </x:c>
      <x:c r="B496" s="4" t="str">
        <x:v>fromRunnerId</x:v>
      </x:c>
      <x:c r="C496" s="17" t="str">
        <x:v>fromRunnerId?</x:v>
      </x:c>
      <x:c r="D496" s="4" t="str">
        <x:v>3</x:v>
      </x:c>
      <x:c r="E496" s="4" t="str">
        <x:v>String/UUID</x:v>
      </x:c>
      <x:c r="F496" s="4" t="str">
        <x:v>NO</x:v>
      </x:c>
      <x:c r="G496" s="4" t="str">
        <x:v>待M阶段冻结</x:v>
      </x:c>
      <x:c r="H496" s="17" t="str">
        <x:v>INTERNAL</x:v>
      </x:c>
      <x:c r="I496" s="17" t="str">
        <x:v>按资源权限与数据域访问；公开DTO另行白名单</x:v>
      </x:c>
      <x:c r="J496" s="17" t="str">
        <x:v>数据库实体不得直接序列化为响应</x:v>
      </x:c>
      <x:c r="K496" s="17" t="str">
        <x:v>DTO白名单；长度/枚举/归属/状态校验；禁止信任客户端派生值</x:v>
      </x:c>
      <x:c r="L496" s="17" t="str">
        <x:v>追加/版本/快照，不覆盖已生效历史</x:v>
      </x:c>
      <x:c r="M496" s="4" t="str">
        <x:v>M4</x:v>
      </x:c>
      <x:c r="N496" s="4" t="str">
        <x:v>待切片细化</x:v>
      </x:c>
      <x:c r="O496" s="4" t="str">
        <x:v>综合方案§13核心数据模型</x:v>
      </x:c>
      <x:c r="P496" s="4" t="str">
        <x:v>DRAFT_FROM_SCHEME</x:v>
      </x:c>
    </x:row>
    <x:row r="497" ht="23" customHeight="1">
      <x:c r="A497" s="4" t="str">
        <x:v>DeliveryTaskAssignmentLog</x:v>
      </x:c>
      <x:c r="B497" s="4" t="str">
        <x:v>toRunnerId</x:v>
      </x:c>
      <x:c r="C497" s="17" t="str">
        <x:v>toRunnerId?</x:v>
      </x:c>
      <x:c r="D497" s="4" t="str">
        <x:v>4</x:v>
      </x:c>
      <x:c r="E497" s="4" t="str">
        <x:v>String/UUID</x:v>
      </x:c>
      <x:c r="F497" s="4" t="str">
        <x:v>NO</x:v>
      </x:c>
      <x:c r="G497" s="4" t="str">
        <x:v>待M阶段冻结</x:v>
      </x:c>
      <x:c r="H497" s="17" t="str">
        <x:v>INTERNAL</x:v>
      </x:c>
      <x:c r="I497" s="17" t="str">
        <x:v>按资源权限与数据域访问；公开DTO另行白名单</x:v>
      </x:c>
      <x:c r="J497" s="17" t="str">
        <x:v>数据库实体不得直接序列化为响应</x:v>
      </x:c>
      <x:c r="K497" s="17" t="str">
        <x:v>DTO白名单；长度/枚举/归属/状态校验；禁止信任客户端派生值</x:v>
      </x:c>
      <x:c r="L497" s="17" t="str">
        <x:v>追加/版本/快照，不覆盖已生效历史</x:v>
      </x:c>
      <x:c r="M497" s="4" t="str">
        <x:v>M4</x:v>
      </x:c>
      <x:c r="N497" s="4" t="str">
        <x:v>待切片细化</x:v>
      </x:c>
      <x:c r="O497" s="4" t="str">
        <x:v>综合方案§13核心数据模型</x:v>
      </x:c>
      <x:c r="P497" s="4" t="str">
        <x:v>DRAFT_FROM_SCHEME</x:v>
      </x:c>
    </x:row>
    <x:row r="498" ht="23" customHeight="1">
      <x:c r="A498" s="4" t="str">
        <x:v>DeliveryTaskAssignmentLog</x:v>
      </x:c>
      <x:c r="B498" s="4" t="str">
        <x:v>action</x:v>
      </x:c>
      <x:c r="C498" s="17" t="str">
        <x:v>action</x:v>
      </x:c>
      <x:c r="D498" s="4" t="str">
        <x:v>5</x:v>
      </x:c>
      <x:c r="E498" s="4" t="str">
        <x:v>Enum/String</x:v>
      </x:c>
      <x:c r="F498" s="4" t="str">
        <x:v>YES</x:v>
      </x:c>
      <x:c r="G498" s="4" t="str">
        <x:v>待M阶段冻结</x:v>
      </x:c>
      <x:c r="H498" s="17" t="str">
        <x:v>INTERNAL</x:v>
      </x:c>
      <x:c r="I498" s="17" t="str">
        <x:v>按资源权限与数据域访问；公开DTO另行白名单</x:v>
      </x:c>
      <x:c r="J498" s="17" t="str">
        <x:v>数据库实体不得直接序列化为响应</x:v>
      </x:c>
      <x:c r="K498" s="17" t="str">
        <x:v>DTO白名单；长度/枚举/归属/状态校验；禁止信任客户端派生值</x:v>
      </x:c>
      <x:c r="L498" s="17" t="str">
        <x:v>追加/版本/快照，不覆盖已生效历史</x:v>
      </x:c>
      <x:c r="M498" s="4" t="str">
        <x:v>M4</x:v>
      </x:c>
      <x:c r="N498" s="4" t="str">
        <x:v>待切片细化</x:v>
      </x:c>
      <x:c r="O498" s="4" t="str">
        <x:v>综合方案§13核心数据模型</x:v>
      </x:c>
      <x:c r="P498" s="4" t="str">
        <x:v>DRAFT_FROM_SCHEME</x:v>
      </x:c>
    </x:row>
    <x:row r="499" ht="23" customHeight="1">
      <x:c r="A499" s="4" t="str">
        <x:v>DeliveryTaskAssignmentLog</x:v>
      </x:c>
      <x:c r="B499" s="4" t="str">
        <x:v>reason</x:v>
      </x:c>
      <x:c r="C499" s="17" t="str">
        <x:v>reason</x:v>
      </x:c>
      <x:c r="D499" s="4" t="str">
        <x:v>6</x:v>
      </x:c>
      <x:c r="E499" s="4" t="str">
        <x:v>String</x:v>
      </x:c>
      <x:c r="F499" s="4" t="str">
        <x:v>YES</x:v>
      </x:c>
      <x:c r="G499" s="4" t="str">
        <x:v>待M阶段冻结</x:v>
      </x:c>
      <x:c r="H499" s="17" t="str">
        <x:v>INTERNAL</x:v>
      </x:c>
      <x:c r="I499" s="17" t="str">
        <x:v>按资源权限与数据域访问；公开DTO另行白名单</x:v>
      </x:c>
      <x:c r="J499" s="17" t="str">
        <x:v>数据库实体不得直接序列化为响应</x:v>
      </x:c>
      <x:c r="K499" s="17" t="str">
        <x:v>DTO白名单；长度/枚举/归属/状态校验；禁止信任客户端派生值</x:v>
      </x:c>
      <x:c r="L499" s="17" t="str">
        <x:v>追加/版本/快照，不覆盖已生效历史</x:v>
      </x:c>
      <x:c r="M499" s="4" t="str">
        <x:v>M4</x:v>
      </x:c>
      <x:c r="N499" s="4" t="str">
        <x:v>待切片细化</x:v>
      </x:c>
      <x:c r="O499" s="4" t="str">
        <x:v>综合方案§13核心数据模型</x:v>
      </x:c>
      <x:c r="P499" s="4" t="str">
        <x:v>DRAFT_FROM_SCHEME</x:v>
      </x:c>
    </x:row>
    <x:row r="500" ht="23" customHeight="1">
      <x:c r="A500" s="4" t="str">
        <x:v>DeliveryTaskAssignmentLog</x:v>
      </x:c>
      <x:c r="B500" s="4" t="str">
        <x:v>operatedBy</x:v>
      </x:c>
      <x:c r="C500" s="17" t="str">
        <x:v>operatedBy</x:v>
      </x:c>
      <x:c r="D500" s="4" t="str">
        <x:v>7</x:v>
      </x:c>
      <x:c r="E500" s="4" t="str">
        <x:v>String</x:v>
      </x:c>
      <x:c r="F500" s="4" t="str">
        <x:v>YES</x:v>
      </x:c>
      <x:c r="G500" s="4" t="str">
        <x:v>待M阶段冻结</x:v>
      </x:c>
      <x:c r="H500" s="17" t="str">
        <x:v>INTERNAL</x:v>
      </x:c>
      <x:c r="I500" s="17" t="str">
        <x:v>按资源权限与数据域访问；公开DTO另行白名单</x:v>
      </x:c>
      <x:c r="J500" s="17" t="str">
        <x:v>数据库实体不得直接序列化为响应</x:v>
      </x:c>
      <x:c r="K500" s="17" t="str">
        <x:v>DTO白名单；长度/枚举/归属/状态校验；禁止信任客户端派生值</x:v>
      </x:c>
      <x:c r="L500" s="17" t="str">
        <x:v>追加/版本/快照，不覆盖已生效历史</x:v>
      </x:c>
      <x:c r="M500" s="4" t="str">
        <x:v>M4</x:v>
      </x:c>
      <x:c r="N500" s="4" t="str">
        <x:v>待切片细化</x:v>
      </x:c>
      <x:c r="O500" s="4" t="str">
        <x:v>综合方案§13核心数据模型</x:v>
      </x:c>
      <x:c r="P500" s="4" t="str">
        <x:v>DRAFT_FROM_SCHEME</x:v>
      </x:c>
    </x:row>
    <x:row r="501" ht="23" customHeight="1">
      <x:c r="A501" s="4" t="str">
        <x:v>DeliveryTaskAssignmentLog</x:v>
      </x:c>
      <x:c r="B501" s="4" t="str">
        <x:v>occurredAt</x:v>
      </x:c>
      <x:c r="C501" s="17" t="str">
        <x:v>occurredAt</x:v>
      </x:c>
      <x:c r="D501" s="4" t="str">
        <x:v>8</x:v>
      </x:c>
      <x:c r="E501" s="4" t="str">
        <x:v>DateTime</x:v>
      </x:c>
      <x:c r="F501" s="4" t="str">
        <x:v>YES</x:v>
      </x:c>
      <x:c r="G501" s="4" t="str">
        <x:v>ISO-8601+明确时区</x:v>
      </x:c>
      <x:c r="H501" s="17" t="str">
        <x:v>INTERNAL</x:v>
      </x:c>
      <x:c r="I501" s="17" t="str">
        <x:v>按资源权限与数据域访问；公开DTO另行白名单</x:v>
      </x:c>
      <x:c r="J501" s="17" t="str">
        <x:v>数据库实体不得直接序列化为响应</x:v>
      </x:c>
      <x:c r="K501" s="17" t="str">
        <x:v>DTO白名单；长度/枚举/归属/状态校验；禁止信任客户端派生值</x:v>
      </x:c>
      <x:c r="L501" s="17" t="str">
        <x:v>追加/版本/快照，不覆盖已生效历史</x:v>
      </x:c>
      <x:c r="M501" s="4" t="str">
        <x:v>M4</x:v>
      </x:c>
      <x:c r="N501" s="4" t="str">
        <x:v>待切片细化</x:v>
      </x:c>
      <x:c r="O501" s="4" t="str">
        <x:v>综合方案§13核心数据模型</x:v>
      </x:c>
      <x:c r="P501" s="4" t="str">
        <x:v>DRAFT_FROM_SCHEME</x:v>
      </x:c>
    </x:row>
    <x:row r="502" ht="23" customHeight="1">
      <x:c r="A502" s="4" t="str">
        <x:v>DeliveryNodeLog</x:v>
      </x:c>
      <x:c r="B502" s="4" t="str">
        <x:v>id</x:v>
      </x:c>
      <x:c r="C502" s="17" t="str">
        <x:v>id</x:v>
      </x:c>
      <x:c r="D502" s="4" t="str">
        <x:v>1</x:v>
      </x:c>
      <x:c r="E502" s="4" t="str">
        <x:v>String/UUID</x:v>
      </x:c>
      <x:c r="F502" s="4" t="str">
        <x:v>YES</x:v>
      </x:c>
      <x:c r="G502" s="4" t="str">
        <x:v>待M阶段冻结</x:v>
      </x:c>
      <x:c r="H502" s="17" t="str">
        <x:v>INTERNAL</x:v>
      </x:c>
      <x:c r="I502" s="17" t="str">
        <x:v>按资源权限与数据域访问；公开DTO另行白名单</x:v>
      </x:c>
      <x:c r="J502" s="17" t="str">
        <x:v>数据库实体不得直接序列化为响应</x:v>
      </x:c>
      <x:c r="K502" s="17" t="str">
        <x:v>DTO白名单；长度/枚举/归属/状态校验；禁止信任客户端派生值</x:v>
      </x:c>
      <x:c r="L502" s="17" t="str">
        <x:v>追加/版本/快照，不覆盖已生效历史</x:v>
      </x:c>
      <x:c r="M502" s="4" t="str">
        <x:v>M4</x:v>
      </x:c>
      <x:c r="N502" s="4" t="str">
        <x:v>待切片细化</x:v>
      </x:c>
      <x:c r="O502" s="4" t="str">
        <x:v>综合方案§13核心数据模型</x:v>
      </x:c>
      <x:c r="P502" s="4" t="str">
        <x:v>DRAFT_FROM_SCHEME</x:v>
      </x:c>
    </x:row>
    <x:row r="503" ht="23" customHeight="1">
      <x:c r="A503" s="4" t="str">
        <x:v>DeliveryNodeLog</x:v>
      </x:c>
      <x:c r="B503" s="4" t="str">
        <x:v>deliveryTaskId</x:v>
      </x:c>
      <x:c r="C503" s="17" t="str">
        <x:v>deliveryTaskId</x:v>
      </x:c>
      <x:c r="D503" s="4" t="str">
        <x:v>2</x:v>
      </x:c>
      <x:c r="E503" s="4" t="str">
        <x:v>String/UUID</x:v>
      </x:c>
      <x:c r="F503" s="4" t="str">
        <x:v>YES</x:v>
      </x:c>
      <x:c r="G503" s="4" t="str">
        <x:v>待M阶段冻结</x:v>
      </x:c>
      <x:c r="H503" s="17" t="str">
        <x:v>INTERNAL</x:v>
      </x:c>
      <x:c r="I503" s="17" t="str">
        <x:v>按资源权限与数据域访问；公开DTO另行白名单</x:v>
      </x:c>
      <x:c r="J503" s="17" t="str">
        <x:v>数据库实体不得直接序列化为响应</x:v>
      </x:c>
      <x:c r="K503" s="17" t="str">
        <x:v>DTO白名单；长度/枚举/归属/状态校验；禁止信任客户端派生值</x:v>
      </x:c>
      <x:c r="L503" s="17" t="str">
        <x:v>追加/版本/快照，不覆盖已生效历史</x:v>
      </x:c>
      <x:c r="M503" s="4" t="str">
        <x:v>M4</x:v>
      </x:c>
      <x:c r="N503" s="4" t="str">
        <x:v>待切片细化</x:v>
      </x:c>
      <x:c r="O503" s="4" t="str">
        <x:v>综合方案§13核心数据模型</x:v>
      </x:c>
      <x:c r="P503" s="4" t="str">
        <x:v>DRAFT_FROM_SCHEME</x:v>
      </x:c>
    </x:row>
    <x:row r="504" ht="23" customHeight="1">
      <x:c r="A504" s="4" t="str">
        <x:v>DeliveryNodeLog</x:v>
      </x:c>
      <x:c r="B504" s="4" t="str">
        <x:v>node</x:v>
      </x:c>
      <x:c r="C504" s="17" t="str">
        <x:v>node</x:v>
      </x:c>
      <x:c r="D504" s="4" t="str">
        <x:v>3</x:v>
      </x:c>
      <x:c r="E504" s="4" t="str">
        <x:v>Enum/String</x:v>
      </x:c>
      <x:c r="F504" s="4" t="str">
        <x:v>YES</x:v>
      </x:c>
      <x:c r="G504" s="4" t="str">
        <x:v>待M阶段冻结</x:v>
      </x:c>
      <x:c r="H504" s="17" t="str">
        <x:v>INTERNAL</x:v>
      </x:c>
      <x:c r="I504" s="17" t="str">
        <x:v>按资源权限与数据域访问；公开DTO另行白名单</x:v>
      </x:c>
      <x:c r="J504" s="17" t="str">
        <x:v>数据库实体不得直接序列化为响应</x:v>
      </x:c>
      <x:c r="K504" s="17" t="str">
        <x:v>DTO白名单；长度/枚举/归属/状态校验；禁止信任客户端派生值</x:v>
      </x:c>
      <x:c r="L504" s="17" t="str">
        <x:v>追加/版本/快照，不覆盖已生效历史</x:v>
      </x:c>
      <x:c r="M504" s="4" t="str">
        <x:v>M4</x:v>
      </x:c>
      <x:c r="N504" s="4" t="str">
        <x:v>待切片细化</x:v>
      </x:c>
      <x:c r="O504" s="4" t="str">
        <x:v>综合方案§13核心数据模型</x:v>
      </x:c>
      <x:c r="P504" s="4" t="str">
        <x:v>DRAFT_FROM_SCHEME</x:v>
      </x:c>
    </x:row>
    <x:row r="505" ht="23" customHeight="1">
      <x:c r="A505" s="4" t="str">
        <x:v>DeliveryNodeLog</x:v>
      </x:c>
      <x:c r="B505" s="4" t="str">
        <x:v>operatorId</x:v>
      </x:c>
      <x:c r="C505" s="17" t="str">
        <x:v>operatorId</x:v>
      </x:c>
      <x:c r="D505" s="4" t="str">
        <x:v>4</x:v>
      </x:c>
      <x:c r="E505" s="4" t="str">
        <x:v>String/UUID</x:v>
      </x:c>
      <x:c r="F505" s="4" t="str">
        <x:v>YES</x:v>
      </x:c>
      <x:c r="G505" s="4" t="str">
        <x:v>待M阶段冻结</x:v>
      </x:c>
      <x:c r="H505" s="17" t="str">
        <x:v>INTERNAL</x:v>
      </x:c>
      <x:c r="I505" s="17" t="str">
        <x:v>按资源权限与数据域访问；公开DTO另行白名单</x:v>
      </x:c>
      <x:c r="J505" s="17" t="str">
        <x:v>数据库实体不得直接序列化为响应</x:v>
      </x:c>
      <x:c r="K505" s="17" t="str">
        <x:v>DTO白名单；长度/枚举/归属/状态校验；禁止信任客户端派生值</x:v>
      </x:c>
      <x:c r="L505" s="17" t="str">
        <x:v>追加/版本/快照，不覆盖已生效历史</x:v>
      </x:c>
      <x:c r="M505" s="4" t="str">
        <x:v>M4</x:v>
      </x:c>
      <x:c r="N505" s="4" t="str">
        <x:v>待切片细化</x:v>
      </x:c>
      <x:c r="O505" s="4" t="str">
        <x:v>综合方案§13核心数据模型</x:v>
      </x:c>
      <x:c r="P505" s="4" t="str">
        <x:v>DRAFT_FROM_SCHEME</x:v>
      </x:c>
    </x:row>
    <x:row r="506" ht="23" customHeight="1">
      <x:c r="A506" s="4" t="str">
        <x:v>DeliveryNodeLog</x:v>
      </x:c>
      <x:c r="B506" s="4" t="str">
        <x:v>idempotencyKey</x:v>
      </x:c>
      <x:c r="C506" s="17" t="str">
        <x:v>idempotencyKey</x:v>
      </x:c>
      <x:c r="D506" s="4" t="str">
        <x:v>5</x:v>
      </x:c>
      <x:c r="E506" s="4" t="str">
        <x:v>String</x:v>
      </x:c>
      <x:c r="F506" s="4" t="str">
        <x:v>YES</x:v>
      </x:c>
      <x:c r="G506" s="4" t="str">
        <x:v>待M阶段冻结</x:v>
      </x:c>
      <x:c r="H506" s="17" t="str">
        <x:v>INTERNAL</x:v>
      </x:c>
      <x:c r="I506" s="17" t="str">
        <x:v>按资源权限与数据域访问；公开DTO另行白名单</x:v>
      </x:c>
      <x:c r="J506" s="17" t="str">
        <x:v>数据库实体不得直接序列化为响应</x:v>
      </x:c>
      <x:c r="K506" s="17" t="str">
        <x:v>DTO白名单；长度/枚举/归属/状态校验；禁止信任客户端派生值</x:v>
      </x:c>
      <x:c r="L506" s="17" t="str">
        <x:v>追加/版本/快照，不覆盖已生效历史</x:v>
      </x:c>
      <x:c r="M506" s="4" t="str">
        <x:v>M4</x:v>
      </x:c>
      <x:c r="N506" s="4" t="str">
        <x:v>待切片细化</x:v>
      </x:c>
      <x:c r="O506" s="4" t="str">
        <x:v>综合方案§13核心数据模型</x:v>
      </x:c>
      <x:c r="P506" s="4" t="str">
        <x:v>DRAFT_FROM_SCHEME</x:v>
      </x:c>
    </x:row>
    <x:row r="507" ht="23" customHeight="1">
      <x:c r="A507" s="4" t="str">
        <x:v>DeliveryNodeLog</x:v>
      </x:c>
      <x:c r="B507" s="4" t="str">
        <x:v>occurredAt</x:v>
      </x:c>
      <x:c r="C507" s="17" t="str">
        <x:v>occurredAt</x:v>
      </x:c>
      <x:c r="D507" s="4" t="str">
        <x:v>6</x:v>
      </x:c>
      <x:c r="E507" s="4" t="str">
        <x:v>DateTime</x:v>
      </x:c>
      <x:c r="F507" s="4" t="str">
        <x:v>YES</x:v>
      </x:c>
      <x:c r="G507" s="4" t="str">
        <x:v>ISO-8601+明确时区</x:v>
      </x:c>
      <x:c r="H507" s="17" t="str">
        <x:v>INTERNAL</x:v>
      </x:c>
      <x:c r="I507" s="17" t="str">
        <x:v>按资源权限与数据域访问；公开DTO另行白名单</x:v>
      </x:c>
      <x:c r="J507" s="17" t="str">
        <x:v>数据库实体不得直接序列化为响应</x:v>
      </x:c>
      <x:c r="K507" s="17" t="str">
        <x:v>DTO白名单；长度/枚举/归属/状态校验；禁止信任客户端派生值</x:v>
      </x:c>
      <x:c r="L507" s="17" t="str">
        <x:v>追加/版本/快照，不覆盖已生效历史</x:v>
      </x:c>
      <x:c r="M507" s="4" t="str">
        <x:v>M4</x:v>
      </x:c>
      <x:c r="N507" s="4" t="str">
        <x:v>待切片细化</x:v>
      </x:c>
      <x:c r="O507" s="4" t="str">
        <x:v>综合方案§13核心数据模型</x:v>
      </x:c>
      <x:c r="P507" s="4" t="str">
        <x:v>DRAFT_FROM_SCHEME</x:v>
      </x:c>
    </x:row>
    <x:row r="508" ht="23" customHeight="1">
      <x:c r="A508" s="4" t="str">
        <x:v>DeliveryNodeLog</x:v>
      </x:c>
      <x:c r="B508" s="4" t="str">
        <x:v>lat</x:v>
      </x:c>
      <x:c r="C508" s="17" t="str">
        <x:v>lat?</x:v>
      </x:c>
      <x:c r="D508" s="4" t="str">
        <x:v>7</x:v>
      </x:c>
      <x:c r="E508" s="4" t="str">
        <x:v>DateTime</x:v>
      </x:c>
      <x:c r="F508" s="4" t="str">
        <x:v>NO</x:v>
      </x:c>
      <x:c r="G508" s="4" t="str">
        <x:v>ISO-8601+明确时区</x:v>
      </x:c>
      <x:c r="H508" s="17" t="str">
        <x:v>PERSONAL_OR_SENSITIVE</x:v>
      </x:c>
      <x:c r="I508" s="17" t="str">
        <x:v>按角色、对象归属及配送阶段脱敏/解密</x:v>
      </x:c>
      <x:c r="J508" s="17" t="str">
        <x:v>禁止跨供应商、越阶段或批量无审批导出</x:v>
      </x:c>
      <x:c r="K508" s="17" t="str">
        <x:v>DTO白名单；长度/枚举/归属/状态校验；禁止信任客户端派生值</x:v>
      </x:c>
      <x:c r="L508" s="17" t="str">
        <x:v>追加/版本/快照，不覆盖已生效历史</x:v>
      </x:c>
      <x:c r="M508" s="4" t="str">
        <x:v>M4</x:v>
      </x:c>
      <x:c r="N508" s="4" t="str">
        <x:v>待切片细化</x:v>
      </x:c>
      <x:c r="O508" s="4" t="str">
        <x:v>综合方案§13核心数据模型</x:v>
      </x:c>
      <x:c r="P508" s="4" t="str">
        <x:v>DRAFT_FROM_SCHEME</x:v>
      </x:c>
    </x:row>
    <x:row r="509" ht="23" customHeight="1">
      <x:c r="A509" s="4" t="str">
        <x:v>DeliveryNodeLog</x:v>
      </x:c>
      <x:c r="B509" s="4" t="str">
        <x:v>lng</x:v>
      </x:c>
      <x:c r="C509" s="17" t="str">
        <x:v>lng?</x:v>
      </x:c>
      <x:c r="D509" s="4" t="str">
        <x:v>8</x:v>
      </x:c>
      <x:c r="E509" s="4" t="str">
        <x:v>Decimal</x:v>
      </x:c>
      <x:c r="F509" s="4" t="str">
        <x:v>NO</x:v>
      </x:c>
      <x:c r="G509" s="4" t="str">
        <x:v>待M阶段冻结</x:v>
      </x:c>
      <x:c r="H509" s="17" t="str">
        <x:v>PERSONAL_OR_SENSITIVE</x:v>
      </x:c>
      <x:c r="I509" s="17" t="str">
        <x:v>按角色、对象归属及配送阶段脱敏/解密</x:v>
      </x:c>
      <x:c r="J509" s="17" t="str">
        <x:v>禁止跨供应商、越阶段或批量无审批导出</x:v>
      </x:c>
      <x:c r="K509" s="17" t="str">
        <x:v>DTO白名单；长度/枚举/归属/状态校验；禁止信任客户端派生值</x:v>
      </x:c>
      <x:c r="L509" s="17" t="str">
        <x:v>追加/版本/快照，不覆盖已生效历史</x:v>
      </x:c>
      <x:c r="M509" s="4" t="str">
        <x:v>M4</x:v>
      </x:c>
      <x:c r="N509" s="4" t="str">
        <x:v>待切片细化</x:v>
      </x:c>
      <x:c r="O509" s="4" t="str">
        <x:v>综合方案§13核心数据模型</x:v>
      </x:c>
      <x:c r="P509" s="4" t="str">
        <x:v>DRAFT_FROM_SCHEME</x:v>
      </x:c>
    </x:row>
    <x:row r="510" ht="23" customHeight="1">
      <x:c r="A510" s="4" t="str">
        <x:v>DeliveryNodeLog</x:v>
      </x:c>
      <x:c r="B510" s="4" t="str">
        <x:v>evidenceUrl</x:v>
      </x:c>
      <x:c r="C510" s="17" t="str">
        <x:v>evidenceUrl?</x:v>
      </x:c>
      <x:c r="D510" s="4" t="str">
        <x:v>9</x:v>
      </x:c>
      <x:c r="E510" s="4" t="str">
        <x:v>String</x:v>
      </x:c>
      <x:c r="F510" s="4" t="str">
        <x:v>NO</x:v>
      </x:c>
      <x:c r="G510" s="4" t="str">
        <x:v>待M阶段冻结</x:v>
      </x:c>
      <x:c r="H510" s="17" t="str">
        <x:v>INTERNAL</x:v>
      </x:c>
      <x:c r="I510" s="17" t="str">
        <x:v>按资源权限与数据域访问；公开DTO另行白名单</x:v>
      </x:c>
      <x:c r="J510" s="17" t="str">
        <x:v>数据库实体不得直接序列化为响应</x:v>
      </x:c>
      <x:c r="K510" s="17" t="str">
        <x:v>DTO白名单；长度/枚举/归属/状态校验；禁止信任客户端派生值</x:v>
      </x:c>
      <x:c r="L510" s="17" t="str">
        <x:v>追加/版本/快照，不覆盖已生效历史</x:v>
      </x:c>
      <x:c r="M510" s="4" t="str">
        <x:v>M4</x:v>
      </x:c>
      <x:c r="N510" s="4" t="str">
        <x:v>待切片细化</x:v>
      </x:c>
      <x:c r="O510" s="4" t="str">
        <x:v>综合方案§13核心数据模型</x:v>
      </x:c>
      <x:c r="P510" s="4" t="str">
        <x:v>DRAFT_FROM_SCHEME</x:v>
      </x:c>
    </x:row>
    <x:row r="511" ht="23" customHeight="1">
      <x:c r="A511" s="4" t="str">
        <x:v>DeliveryNodeLog</x:v>
      </x:c>
      <x:c r="B511" s="4" t="str">
        <x:v>remark</x:v>
      </x:c>
      <x:c r="C511" s="17" t="str">
        <x:v>remark?</x:v>
      </x:c>
      <x:c r="D511" s="4" t="str">
        <x:v>10</x:v>
      </x:c>
      <x:c r="E511" s="4" t="str">
        <x:v>String</x:v>
      </x:c>
      <x:c r="F511" s="4" t="str">
        <x:v>NO</x:v>
      </x:c>
      <x:c r="G511" s="4" t="str">
        <x:v>待M阶段冻结</x:v>
      </x:c>
      <x:c r="H511" s="17" t="str">
        <x:v>INTERNAL</x:v>
      </x:c>
      <x:c r="I511" s="17" t="str">
        <x:v>按资源权限与数据域访问；公开DTO另行白名单</x:v>
      </x:c>
      <x:c r="J511" s="17" t="str">
        <x:v>数据库实体不得直接序列化为响应</x:v>
      </x:c>
      <x:c r="K511" s="17" t="str">
        <x:v>DTO白名单；长度/枚举/归属/状态校验；禁止信任客户端派生值</x:v>
      </x:c>
      <x:c r="L511" s="17" t="str">
        <x:v>追加/版本/快照，不覆盖已生效历史</x:v>
      </x:c>
      <x:c r="M511" s="4" t="str">
        <x:v>M4</x:v>
      </x:c>
      <x:c r="N511" s="4" t="str">
        <x:v>待切片细化</x:v>
      </x:c>
      <x:c r="O511" s="4" t="str">
        <x:v>综合方案§13核心数据模型</x:v>
      </x:c>
      <x:c r="P511" s="4" t="str">
        <x:v>DRAFT_FROM_SCHEME</x:v>
      </x:c>
    </x:row>
    <x:row r="512" ht="23" customHeight="1">
      <x:c r="A512" s="4" t="str">
        <x:v>DeliveryException</x:v>
      </x:c>
      <x:c r="B512" s="4" t="str">
        <x:v>id</x:v>
      </x:c>
      <x:c r="C512" s="17" t="str">
        <x:v>id</x:v>
      </x:c>
      <x:c r="D512" s="4" t="str">
        <x:v>1</x:v>
      </x:c>
      <x:c r="E512" s="4" t="str">
        <x:v>String/UUID</x:v>
      </x:c>
      <x:c r="F512" s="4" t="str">
        <x:v>YES</x:v>
      </x:c>
      <x:c r="G512" s="4" t="str">
        <x:v>待M阶段冻结</x:v>
      </x:c>
      <x:c r="H512" s="17" t="str">
        <x:v>INTERNAL</x:v>
      </x:c>
      <x:c r="I512" s="17" t="str">
        <x:v>按资源权限与数据域访问；公开DTO另行白名单</x:v>
      </x:c>
      <x:c r="J512" s="17" t="str">
        <x:v>数据库实体不得直接序列化为响应</x:v>
      </x:c>
      <x:c r="K512" s="17" t="str">
        <x:v>DTO白名单；长度/枚举/归属/状态校验；禁止信任客户端派生值</x:v>
      </x:c>
      <x:c r="L512" s="17" t="str">
        <x:v>按实体version或审计日志保留变更证据</x:v>
      </x:c>
      <x:c r="M512" s="4" t="str">
        <x:v>M4</x:v>
      </x:c>
      <x:c r="N512" s="4" t="str">
        <x:v>待切片细化</x:v>
      </x:c>
      <x:c r="O512" s="4" t="str">
        <x:v>综合方案§13核心数据模型</x:v>
      </x:c>
      <x:c r="P512" s="4" t="str">
        <x:v>DRAFT_FROM_SCHEME</x:v>
      </x:c>
    </x:row>
    <x:row r="513" ht="23" customHeight="1">
      <x:c r="A513" s="4" t="str">
        <x:v>DeliveryException</x:v>
      </x:c>
      <x:c r="B513" s="4" t="str">
        <x:v>deliveryType</x:v>
      </x:c>
      <x:c r="C513" s="17" t="str">
        <x:v>deliveryType</x:v>
      </x:c>
      <x:c r="D513" s="4" t="str">
        <x:v>2</x:v>
      </x:c>
      <x:c r="E513" s="4" t="str">
        <x:v>Enum/String</x:v>
      </x:c>
      <x:c r="F513" s="4" t="str">
        <x:v>YES</x:v>
      </x:c>
      <x:c r="G513" s="4" t="str">
        <x:v>待M阶段冻结</x:v>
      </x:c>
      <x:c r="H513" s="17" t="str">
        <x:v>INTERNAL</x:v>
      </x:c>
      <x:c r="I513" s="17" t="str">
        <x:v>按资源权限与数据域访问；公开DTO另行白名单</x:v>
      </x:c>
      <x:c r="J513" s="17" t="str">
        <x:v>数据库实体不得直接序列化为响应</x:v>
      </x:c>
      <x:c r="K513" s="17" t="str">
        <x:v>DTO白名单；长度/枚举/归属/状态校验；禁止信任客户端派生值</x:v>
      </x:c>
      <x:c r="L513" s="17" t="str">
        <x:v>按实体version或审计日志保留变更证据</x:v>
      </x:c>
      <x:c r="M513" s="4" t="str">
        <x:v>M4</x:v>
      </x:c>
      <x:c r="N513" s="4" t="str">
        <x:v>待切片细化</x:v>
      </x:c>
      <x:c r="O513" s="4" t="str">
        <x:v>综合方案§13核心数据模型</x:v>
      </x:c>
      <x:c r="P513" s="4" t="str">
        <x:v>DRAFT_FROM_SCHEME</x:v>
      </x:c>
    </x:row>
    <x:row r="514" ht="23" customHeight="1">
      <x:c r="A514" s="4" t="str">
        <x:v>DeliveryException</x:v>
      </x:c>
      <x:c r="B514" s="4" t="str">
        <x:v>deliveryId</x:v>
      </x:c>
      <x:c r="C514" s="17" t="str">
        <x:v>deliveryId</x:v>
      </x:c>
      <x:c r="D514" s="4" t="str">
        <x:v>3</x:v>
      </x:c>
      <x:c r="E514" s="4" t="str">
        <x:v>String/UUID</x:v>
      </x:c>
      <x:c r="F514" s="4" t="str">
        <x:v>YES</x:v>
      </x:c>
      <x:c r="G514" s="4" t="str">
        <x:v>待M阶段冻结</x:v>
      </x:c>
      <x:c r="H514" s="17" t="str">
        <x:v>INTERNAL</x:v>
      </x:c>
      <x:c r="I514" s="17" t="str">
        <x:v>按资源权限与数据域访问；公开DTO另行白名单</x:v>
      </x:c>
      <x:c r="J514" s="17" t="str">
        <x:v>数据库实体不得直接序列化为响应</x:v>
      </x:c>
      <x:c r="K514" s="17" t="str">
        <x:v>DTO白名单；长度/枚举/归属/状态校验；禁止信任客户端派生值</x:v>
      </x:c>
      <x:c r="L514" s="17" t="str">
        <x:v>按实体version或审计日志保留变更证据</x:v>
      </x:c>
      <x:c r="M514" s="4" t="str">
        <x:v>M4</x:v>
      </x:c>
      <x:c r="N514" s="4" t="str">
        <x:v>待切片细化</x:v>
      </x:c>
      <x:c r="O514" s="4" t="str">
        <x:v>综合方案§13核心数据模型</x:v>
      </x:c>
      <x:c r="P514" s="4" t="str">
        <x:v>DRAFT_FROM_SCHEME</x:v>
      </x:c>
    </x:row>
    <x:row r="515" ht="23" customHeight="1">
      <x:c r="A515" s="4" t="str">
        <x:v>DeliveryException</x:v>
      </x:c>
      <x:c r="B515" s="4" t="str">
        <x:v>exceptionType</x:v>
      </x:c>
      <x:c r="C515" s="17" t="str">
        <x:v>exceptionType</x:v>
      </x:c>
      <x:c r="D515" s="4" t="str">
        <x:v>4</x:v>
      </x:c>
      <x:c r="E515" s="4" t="str">
        <x:v>Enum/String</x:v>
      </x:c>
      <x:c r="F515" s="4" t="str">
        <x:v>YES</x:v>
      </x:c>
      <x:c r="G515" s="4" t="str">
        <x:v>待M阶段冻结</x:v>
      </x:c>
      <x:c r="H515" s="17" t="str">
        <x:v>INTERNAL</x:v>
      </x:c>
      <x:c r="I515" s="17" t="str">
        <x:v>按资源权限与数据域访问；公开DTO另行白名单</x:v>
      </x:c>
      <x:c r="J515" s="17" t="str">
        <x:v>数据库实体不得直接序列化为响应</x:v>
      </x:c>
      <x:c r="K515" s="17" t="str">
        <x:v>DTO白名单；长度/枚举/归属/状态校验；禁止信任客户端派生值</x:v>
      </x:c>
      <x:c r="L515" s="17" t="str">
        <x:v>按实体version或审计日志保留变更证据</x:v>
      </x:c>
      <x:c r="M515" s="4" t="str">
        <x:v>M4</x:v>
      </x:c>
      <x:c r="N515" s="4" t="str">
        <x:v>待切片细化</x:v>
      </x:c>
      <x:c r="O515" s="4" t="str">
        <x:v>综合方案§13核心数据模型</x:v>
      </x:c>
      <x:c r="P515" s="4" t="str">
        <x:v>DRAFT_FROM_SCHEME</x:v>
      </x:c>
    </x:row>
    <x:row r="516" ht="23" customHeight="1">
      <x:c r="A516" s="4" t="str">
        <x:v>DeliveryException</x:v>
      </x:c>
      <x:c r="B516" s="4" t="str">
        <x:v>reporterType</x:v>
      </x:c>
      <x:c r="C516" s="17" t="str">
        <x:v>reporterType</x:v>
      </x:c>
      <x:c r="D516" s="4" t="str">
        <x:v>5</x:v>
      </x:c>
      <x:c r="E516" s="4" t="str">
        <x:v>Enum/String</x:v>
      </x:c>
      <x:c r="F516" s="4" t="str">
        <x:v>YES</x:v>
      </x:c>
      <x:c r="G516" s="4" t="str">
        <x:v>待M阶段冻结</x:v>
      </x:c>
      <x:c r="H516" s="17" t="str">
        <x:v>INTERNAL</x:v>
      </x:c>
      <x:c r="I516" s="17" t="str">
        <x:v>按资源权限与数据域访问；公开DTO另行白名单</x:v>
      </x:c>
      <x:c r="J516" s="17" t="str">
        <x:v>数据库实体不得直接序列化为响应</x:v>
      </x:c>
      <x:c r="K516" s="17" t="str">
        <x:v>DTO白名单；长度/枚举/归属/状态校验；禁止信任客户端派生值</x:v>
      </x:c>
      <x:c r="L516" s="17" t="str">
        <x:v>按实体version或审计日志保留变更证据</x:v>
      </x:c>
      <x:c r="M516" s="4" t="str">
        <x:v>M4</x:v>
      </x:c>
      <x:c r="N516" s="4" t="str">
        <x:v>待切片细化</x:v>
      </x:c>
      <x:c r="O516" s="4" t="str">
        <x:v>综合方案§13核心数据模型</x:v>
      </x:c>
      <x:c r="P516" s="4" t="str">
        <x:v>DRAFT_FROM_SCHEME</x:v>
      </x:c>
    </x:row>
    <x:row r="517" ht="23" customHeight="1">
      <x:c r="A517" s="4" t="str">
        <x:v>DeliveryException</x:v>
      </x:c>
      <x:c r="B517" s="4" t="str">
        <x:v>reporterId</x:v>
      </x:c>
      <x:c r="C517" s="17" t="str">
        <x:v>reporterId</x:v>
      </x:c>
      <x:c r="D517" s="4" t="str">
        <x:v>6</x:v>
      </x:c>
      <x:c r="E517" s="4" t="str">
        <x:v>String/UUID</x:v>
      </x:c>
      <x:c r="F517" s="4" t="str">
        <x:v>YES</x:v>
      </x:c>
      <x:c r="G517" s="4" t="str">
        <x:v>待M阶段冻结</x:v>
      </x:c>
      <x:c r="H517" s="17" t="str">
        <x:v>INTERNAL</x:v>
      </x:c>
      <x:c r="I517" s="17" t="str">
        <x:v>按资源权限与数据域访问；公开DTO另行白名单</x:v>
      </x:c>
      <x:c r="J517" s="17" t="str">
        <x:v>数据库实体不得直接序列化为响应</x:v>
      </x:c>
      <x:c r="K517" s="17" t="str">
        <x:v>DTO白名单；长度/枚举/归属/状态校验；禁止信任客户端派生值</x:v>
      </x:c>
      <x:c r="L517" s="17" t="str">
        <x:v>按实体version或审计日志保留变更证据</x:v>
      </x:c>
      <x:c r="M517" s="4" t="str">
        <x:v>M4</x:v>
      </x:c>
      <x:c r="N517" s="4" t="str">
        <x:v>待切片细化</x:v>
      </x:c>
      <x:c r="O517" s="4" t="str">
        <x:v>综合方案§13核心数据模型</x:v>
      </x:c>
      <x:c r="P517" s="4" t="str">
        <x:v>DRAFT_FROM_SCHEME</x:v>
      </x:c>
    </x:row>
    <x:row r="518" ht="23" customHeight="1">
      <x:c r="A518" s="4" t="str">
        <x:v>DeliveryException</x:v>
      </x:c>
      <x:c r="B518" s="4" t="str">
        <x:v>description</x:v>
      </x:c>
      <x:c r="C518" s="17" t="str">
        <x:v>description</x:v>
      </x:c>
      <x:c r="D518" s="4" t="str">
        <x:v>7</x:v>
      </x:c>
      <x:c r="E518" s="4" t="str">
        <x:v>String</x:v>
      </x:c>
      <x:c r="F518" s="4" t="str">
        <x:v>YES</x:v>
      </x:c>
      <x:c r="G518" s="4" t="str">
        <x:v>待M阶段冻结</x:v>
      </x:c>
      <x:c r="H518" s="17" t="str">
        <x:v>PERSONAL_OR_SENSITIVE</x:v>
      </x:c>
      <x:c r="I518" s="17" t="str">
        <x:v>按角色、对象归属及配送阶段脱敏/解密</x:v>
      </x:c>
      <x:c r="J518" s="17" t="str">
        <x:v>禁止跨供应商、越阶段或批量无审批导出</x:v>
      </x:c>
      <x:c r="K518" s="17" t="str">
        <x:v>DTO白名单；长度/枚举/归属/状态校验；禁止信任客户端派生值</x:v>
      </x:c>
      <x:c r="L518" s="17" t="str">
        <x:v>按实体version或审计日志保留变更证据</x:v>
      </x:c>
      <x:c r="M518" s="4" t="str">
        <x:v>M4</x:v>
      </x:c>
      <x:c r="N518" s="4" t="str">
        <x:v>待切片细化</x:v>
      </x:c>
      <x:c r="O518" s="4" t="str">
        <x:v>综合方案§13核心数据模型</x:v>
      </x:c>
      <x:c r="P518" s="4" t="str">
        <x:v>DRAFT_FROM_SCHEME</x:v>
      </x:c>
    </x:row>
    <x:row r="519" ht="23" customHeight="1">
      <x:c r="A519" s="4" t="str">
        <x:v>DeliveryException</x:v>
      </x:c>
      <x:c r="B519" s="4" t="str">
        <x:v>evidenceUrls</x:v>
      </x:c>
      <x:c r="C519" s="17" t="str">
        <x:v>evidenceUrls</x:v>
      </x:c>
      <x:c r="D519" s="4" t="str">
        <x:v>8</x:v>
      </x:c>
      <x:c r="E519" s="4" t="str">
        <x:v>Json</x:v>
      </x:c>
      <x:c r="F519" s="4" t="str">
        <x:v>YES</x:v>
      </x:c>
      <x:c r="G519" s="4" t="str">
        <x:v>待M阶段冻结</x:v>
      </x:c>
      <x:c r="H519" s="17" t="str">
        <x:v>INTERNAL</x:v>
      </x:c>
      <x:c r="I519" s="17" t="str">
        <x:v>按资源权限与数据域访问；公开DTO另行白名单</x:v>
      </x:c>
      <x:c r="J519" s="17" t="str">
        <x:v>数据库实体不得直接序列化为响应</x:v>
      </x:c>
      <x:c r="K519" s="17" t="str">
        <x:v>DTO白名单；长度/枚举/归属/状态校验；禁止信任客户端派生值</x:v>
      </x:c>
      <x:c r="L519" s="17" t="str">
        <x:v>按实体version或审计日志保留变更证据</x:v>
      </x:c>
      <x:c r="M519" s="4" t="str">
        <x:v>M4</x:v>
      </x:c>
      <x:c r="N519" s="4" t="str">
        <x:v>待切片细化</x:v>
      </x:c>
      <x:c r="O519" s="4" t="str">
        <x:v>综合方案§13核心数据模型</x:v>
      </x:c>
      <x:c r="P519" s="4" t="str">
        <x:v>DRAFT_FROM_SCHEME</x:v>
      </x:c>
    </x:row>
    <x:row r="520" ht="23" customHeight="1">
      <x:c r="A520" s="4" t="str">
        <x:v>DeliveryException</x:v>
      </x:c>
      <x:c r="B520" s="4" t="str">
        <x:v>responsibilityType</x:v>
      </x:c>
      <x:c r="C520" s="17" t="str">
        <x:v>responsibilityType?</x:v>
      </x:c>
      <x:c r="D520" s="4" t="str">
        <x:v>9</x:v>
      </x:c>
      <x:c r="E520" s="4" t="str">
        <x:v>Enum/String</x:v>
      </x:c>
      <x:c r="F520" s="4" t="str">
        <x:v>NO</x:v>
      </x:c>
      <x:c r="G520" s="4" t="str">
        <x:v>待M阶段冻结</x:v>
      </x:c>
      <x:c r="H520" s="17" t="str">
        <x:v>INTERNAL</x:v>
      </x:c>
      <x:c r="I520" s="17" t="str">
        <x:v>按资源权限与数据域访问；公开DTO另行白名单</x:v>
      </x:c>
      <x:c r="J520" s="17" t="str">
        <x:v>数据库实体不得直接序列化为响应</x:v>
      </x:c>
      <x:c r="K520" s="17" t="str">
        <x:v>DTO白名单；长度/枚举/归属/状态校验；禁止信任客户端派生值</x:v>
      </x:c>
      <x:c r="L520" s="17" t="str">
        <x:v>按实体version或审计日志保留变更证据</x:v>
      </x:c>
      <x:c r="M520" s="4" t="str">
        <x:v>M4</x:v>
      </x:c>
      <x:c r="N520" s="4" t="str">
        <x:v>待切片细化</x:v>
      </x:c>
      <x:c r="O520" s="4" t="str">
        <x:v>综合方案§13核心数据模型</x:v>
      </x:c>
      <x:c r="P520" s="4" t="str">
        <x:v>DRAFT_FROM_SCHEME</x:v>
      </x:c>
    </x:row>
    <x:row r="521" ht="23" customHeight="1">
      <x:c r="A521" s="4" t="str">
        <x:v>DeliveryException</x:v>
      </x:c>
      <x:c r="B521" s="4" t="str">
        <x:v>status</x:v>
      </x:c>
      <x:c r="C521" s="17" t="str">
        <x:v>status</x:v>
      </x:c>
      <x:c r="D521" s="4" t="str">
        <x:v>10</x:v>
      </x:c>
      <x:c r="E521" s="4" t="str">
        <x:v>Enum/String</x:v>
      </x:c>
      <x:c r="F521" s="4" t="str">
        <x:v>YES</x:v>
      </x:c>
      <x:c r="G521" s="4" t="str">
        <x:v>待M阶段冻结</x:v>
      </x:c>
      <x:c r="H521" s="17" t="str">
        <x:v>INTERNAL</x:v>
      </x:c>
      <x:c r="I521" s="17" t="str">
        <x:v>按资源权限与数据域访问；公开DTO另行白名单</x:v>
      </x:c>
      <x:c r="J521" s="17" t="str">
        <x:v>数据库实体不得直接序列化为响应</x:v>
      </x:c>
      <x:c r="K521" s="17" t="str">
        <x:v>DTO白名单；长度/枚举/归属/状态校验；禁止信任客户端派生值</x:v>
      </x:c>
      <x:c r="L521" s="17" t="str">
        <x:v>按实体version或审计日志保留变更证据</x:v>
      </x:c>
      <x:c r="M521" s="4" t="str">
        <x:v>M4</x:v>
      </x:c>
      <x:c r="N521" s="4" t="str">
        <x:v>待切片细化</x:v>
      </x:c>
      <x:c r="O521" s="4" t="str">
        <x:v>综合方案§13核心数据模型</x:v>
      </x:c>
      <x:c r="P521" s="4" t="str">
        <x:v>DRAFT_FROM_SCHEME</x:v>
      </x:c>
    </x:row>
    <x:row r="522" ht="23" customHeight="1">
      <x:c r="A522" s="4" t="str">
        <x:v>DeliveryException</x:v>
      </x:c>
      <x:c r="B522" s="4" t="str">
        <x:v>resolvedAt</x:v>
      </x:c>
      <x:c r="C522" s="17" t="str">
        <x:v>resolvedAt?</x:v>
      </x:c>
      <x:c r="D522" s="4" t="str">
        <x:v>11</x:v>
      </x:c>
      <x:c r="E522" s="4" t="str">
        <x:v>DateTime</x:v>
      </x:c>
      <x:c r="F522" s="4" t="str">
        <x:v>NO</x:v>
      </x:c>
      <x:c r="G522" s="4" t="str">
        <x:v>ISO-8601+明确时区</x:v>
      </x:c>
      <x:c r="H522" s="17" t="str">
        <x:v>INTERNAL</x:v>
      </x:c>
      <x:c r="I522" s="17" t="str">
        <x:v>按资源权限与数据域访问；公开DTO另行白名单</x:v>
      </x:c>
      <x:c r="J522" s="17" t="str">
        <x:v>数据库实体不得直接序列化为响应</x:v>
      </x:c>
      <x:c r="K522" s="17" t="str">
        <x:v>DTO白名单；长度/枚举/归属/状态校验；禁止信任客户端派生值</x:v>
      </x:c>
      <x:c r="L522" s="17" t="str">
        <x:v>按实体version或审计日志保留变更证据</x:v>
      </x:c>
      <x:c r="M522" s="4" t="str">
        <x:v>M4</x:v>
      </x:c>
      <x:c r="N522" s="4" t="str">
        <x:v>待切片细化</x:v>
      </x:c>
      <x:c r="O522" s="4" t="str">
        <x:v>综合方案§13核心数据模型</x:v>
      </x:c>
      <x:c r="P522" s="4" t="str">
        <x:v>DRAFT_FROM_SCHEME</x:v>
      </x:c>
    </x:row>
    <x:row r="523" ht="23" customHeight="1">
      <x:c r="A523" s="4" t="str">
        <x:v>DeliveryProof</x:v>
      </x:c>
      <x:c r="B523" s="4" t="str">
        <x:v>id</x:v>
      </x:c>
      <x:c r="C523" s="17" t="str">
        <x:v>id</x:v>
      </x:c>
      <x:c r="D523" s="4" t="str">
        <x:v>1</x:v>
      </x:c>
      <x:c r="E523" s="4" t="str">
        <x:v>String/UUID</x:v>
      </x:c>
      <x:c r="F523" s="4" t="str">
        <x:v>YES</x:v>
      </x:c>
      <x:c r="G523" s="4" t="str">
        <x:v>待M阶段冻结</x:v>
      </x:c>
      <x:c r="H523" s="17" t="str">
        <x:v>INTERNAL</x:v>
      </x:c>
      <x:c r="I523" s="17" t="str">
        <x:v>按资源权限与数据域访问；公开DTO另行白名单</x:v>
      </x:c>
      <x:c r="J523" s="17" t="str">
        <x:v>数据库实体不得直接序列化为响应</x:v>
      </x:c>
      <x:c r="K523" s="17" t="str">
        <x:v>DTO白名单；长度/枚举/归属/状态校验；禁止信任客户端派生值</x:v>
      </x:c>
      <x:c r="L523" s="17" t="str">
        <x:v>按实体version或审计日志保留变更证据</x:v>
      </x:c>
      <x:c r="M523" s="4" t="str">
        <x:v>M4</x:v>
      </x:c>
      <x:c r="N523" s="4" t="str">
        <x:v>待切片细化</x:v>
      </x:c>
      <x:c r="O523" s="4" t="str">
        <x:v>综合方案§13核心数据模型</x:v>
      </x:c>
      <x:c r="P523" s="4" t="str">
        <x:v>DRAFT_FROM_SCHEME</x:v>
      </x:c>
    </x:row>
    <x:row r="524" ht="23" customHeight="1">
      <x:c r="A524" s="4" t="str">
        <x:v>DeliveryProof</x:v>
      </x:c>
      <x:c r="B524" s="4" t="str">
        <x:v>deliveryType</x:v>
      </x:c>
      <x:c r="C524" s="17" t="str">
        <x:v>deliveryType</x:v>
      </x:c>
      <x:c r="D524" s="4" t="str">
        <x:v>2</x:v>
      </x:c>
      <x:c r="E524" s="4" t="str">
        <x:v>Enum/String</x:v>
      </x:c>
      <x:c r="F524" s="4" t="str">
        <x:v>YES</x:v>
      </x:c>
      <x:c r="G524" s="4" t="str">
        <x:v>待M阶段冻结</x:v>
      </x:c>
      <x:c r="H524" s="17" t="str">
        <x:v>INTERNAL</x:v>
      </x:c>
      <x:c r="I524" s="17" t="str">
        <x:v>按资源权限与数据域访问；公开DTO另行白名单</x:v>
      </x:c>
      <x:c r="J524" s="17" t="str">
        <x:v>数据库实体不得直接序列化为响应</x:v>
      </x:c>
      <x:c r="K524" s="17" t="str">
        <x:v>DTO白名单；长度/枚举/归属/状态校验；禁止信任客户端派生值</x:v>
      </x:c>
      <x:c r="L524" s="17" t="str">
        <x:v>按实体version或审计日志保留变更证据</x:v>
      </x:c>
      <x:c r="M524" s="4" t="str">
        <x:v>M4</x:v>
      </x:c>
      <x:c r="N524" s="4" t="str">
        <x:v>待切片细化</x:v>
      </x:c>
      <x:c r="O524" s="4" t="str">
        <x:v>综合方案§13核心数据模型</x:v>
      </x:c>
      <x:c r="P524" s="4" t="str">
        <x:v>DRAFT_FROM_SCHEME</x:v>
      </x:c>
    </x:row>
    <x:row r="525" ht="23" customHeight="1">
      <x:c r="A525" s="4" t="str">
        <x:v>DeliveryProof</x:v>
      </x:c>
      <x:c r="B525" s="4" t="str">
        <x:v>deliveryId</x:v>
      </x:c>
      <x:c r="C525" s="17" t="str">
        <x:v>deliveryId</x:v>
      </x:c>
      <x:c r="D525" s="4" t="str">
        <x:v>3</x:v>
      </x:c>
      <x:c r="E525" s="4" t="str">
        <x:v>String/UUID</x:v>
      </x:c>
      <x:c r="F525" s="4" t="str">
        <x:v>YES</x:v>
      </x:c>
      <x:c r="G525" s="4" t="str">
        <x:v>待M阶段冻结</x:v>
      </x:c>
      <x:c r="H525" s="17" t="str">
        <x:v>INTERNAL</x:v>
      </x:c>
      <x:c r="I525" s="17" t="str">
        <x:v>按资源权限与数据域访问；公开DTO另行白名单</x:v>
      </x:c>
      <x:c r="J525" s="17" t="str">
        <x:v>数据库实体不得直接序列化为响应</x:v>
      </x:c>
      <x:c r="K525" s="17" t="str">
        <x:v>DTO白名单；长度/枚举/归属/状态校验；禁止信任客户端派生值</x:v>
      </x:c>
      <x:c r="L525" s="17" t="str">
        <x:v>按实体version或审计日志保留变更证据</x:v>
      </x:c>
      <x:c r="M525" s="4" t="str">
        <x:v>M4</x:v>
      </x:c>
      <x:c r="N525" s="4" t="str">
        <x:v>待切片细化</x:v>
      </x:c>
      <x:c r="O525" s="4" t="str">
        <x:v>综合方案§13核心数据模型</x:v>
      </x:c>
      <x:c r="P525" s="4" t="str">
        <x:v>DRAFT_FROM_SCHEME</x:v>
      </x:c>
    </x:row>
    <x:row r="526" ht="23" customHeight="1">
      <x:c r="A526" s="4" t="str">
        <x:v>DeliveryProof</x:v>
      </x:c>
      <x:c r="B526" s="4" t="str">
        <x:v>proofType</x:v>
      </x:c>
      <x:c r="C526" s="17" t="str">
        <x:v>proofType</x:v>
      </x:c>
      <x:c r="D526" s="4" t="str">
        <x:v>4</x:v>
      </x:c>
      <x:c r="E526" s="4" t="str">
        <x:v>Enum/String</x:v>
      </x:c>
      <x:c r="F526" s="4" t="str">
        <x:v>YES</x:v>
      </x:c>
      <x:c r="G526" s="4" t="str">
        <x:v>待M阶段冻结</x:v>
      </x:c>
      <x:c r="H526" s="17" t="str">
        <x:v>INTERNAL</x:v>
      </x:c>
      <x:c r="I526" s="17" t="str">
        <x:v>按资源权限与数据域访问；公开DTO另行白名单</x:v>
      </x:c>
      <x:c r="J526" s="17" t="str">
        <x:v>数据库实体不得直接序列化为响应</x:v>
      </x:c>
      <x:c r="K526" s="17" t="str">
        <x:v>DTO白名单；长度/枚举/归属/状态校验；禁止信任客户端派生值</x:v>
      </x:c>
      <x:c r="L526" s="17" t="str">
        <x:v>按实体version或审计日志保留变更证据</x:v>
      </x:c>
      <x:c r="M526" s="4" t="str">
        <x:v>M4</x:v>
      </x:c>
      <x:c r="N526" s="4" t="str">
        <x:v>待切片细化</x:v>
      </x:c>
      <x:c r="O526" s="4" t="str">
        <x:v>综合方案§13核心数据模型</x:v>
      </x:c>
      <x:c r="P526" s="4" t="str">
        <x:v>DRAFT_FROM_SCHEME</x:v>
      </x:c>
    </x:row>
    <x:row r="527" ht="23" customHeight="1">
      <x:c r="A527" s="4" t="str">
        <x:v>DeliveryProof</x:v>
      </x:c>
      <x:c r="B527" s="4" t="str">
        <x:v>storageKey</x:v>
      </x:c>
      <x:c r="C527" s="17" t="str">
        <x:v>storageKey</x:v>
      </x:c>
      <x:c r="D527" s="4" t="str">
        <x:v>5</x:v>
      </x:c>
      <x:c r="E527" s="4" t="str">
        <x:v>String</x:v>
      </x:c>
      <x:c r="F527" s="4" t="str">
        <x:v>YES</x:v>
      </x:c>
      <x:c r="G527" s="4" t="str">
        <x:v>待M阶段冻结</x:v>
      </x:c>
      <x:c r="H527" s="17" t="str">
        <x:v>INTERNAL</x:v>
      </x:c>
      <x:c r="I527" s="17" t="str">
        <x:v>按资源权限与数据域访问；公开DTO另行白名单</x:v>
      </x:c>
      <x:c r="J527" s="17" t="str">
        <x:v>数据库实体不得直接序列化为响应</x:v>
      </x:c>
      <x:c r="K527" s="17" t="str">
        <x:v>DTO白名单；长度/枚举/归属/状态校验；禁止信任客户端派生值</x:v>
      </x:c>
      <x:c r="L527" s="17" t="str">
        <x:v>按实体version或审计日志保留变更证据</x:v>
      </x:c>
      <x:c r="M527" s="4" t="str">
        <x:v>M4</x:v>
      </x:c>
      <x:c r="N527" s="4" t="str">
        <x:v>待切片细化</x:v>
      </x:c>
      <x:c r="O527" s="4" t="str">
        <x:v>综合方案§13核心数据模型</x:v>
      </x:c>
      <x:c r="P527" s="4" t="str">
        <x:v>DRAFT_FROM_SCHEME</x:v>
      </x:c>
    </x:row>
    <x:row r="528" ht="23" customHeight="1">
      <x:c r="A528" s="4" t="str">
        <x:v>DeliveryProof</x:v>
      </x:c>
      <x:c r="B528" s="4" t="str">
        <x:v>capturedBy</x:v>
      </x:c>
      <x:c r="C528" s="17" t="str">
        <x:v>capturedBy</x:v>
      </x:c>
      <x:c r="D528" s="4" t="str">
        <x:v>6</x:v>
      </x:c>
      <x:c r="E528" s="4" t="str">
        <x:v>String</x:v>
      </x:c>
      <x:c r="F528" s="4" t="str">
        <x:v>YES</x:v>
      </x:c>
      <x:c r="G528" s="4" t="str">
        <x:v>待M阶段冻结</x:v>
      </x:c>
      <x:c r="H528" s="17" t="str">
        <x:v>INTERNAL</x:v>
      </x:c>
      <x:c r="I528" s="17" t="str">
        <x:v>按资源权限与数据域访问；公开DTO另行白名单</x:v>
      </x:c>
      <x:c r="J528" s="17" t="str">
        <x:v>数据库实体不得直接序列化为响应</x:v>
      </x:c>
      <x:c r="K528" s="17" t="str">
        <x:v>DTO白名单；长度/枚举/归属/状态校验；禁止信任客户端派生值</x:v>
      </x:c>
      <x:c r="L528" s="17" t="str">
        <x:v>按实体version或审计日志保留变更证据</x:v>
      </x:c>
      <x:c r="M528" s="4" t="str">
        <x:v>M4</x:v>
      </x:c>
      <x:c r="N528" s="4" t="str">
        <x:v>待切片细化</x:v>
      </x:c>
      <x:c r="O528" s="4" t="str">
        <x:v>综合方案§13核心数据模型</x:v>
      </x:c>
      <x:c r="P528" s="4" t="str">
        <x:v>DRAFT_FROM_SCHEME</x:v>
      </x:c>
    </x:row>
    <x:row r="529" ht="23" customHeight="1">
      <x:c r="A529" s="4" t="str">
        <x:v>DeliveryProof</x:v>
      </x:c>
      <x:c r="B529" s="4" t="str">
        <x:v>capturedAt</x:v>
      </x:c>
      <x:c r="C529" s="17" t="str">
        <x:v>capturedAt</x:v>
      </x:c>
      <x:c r="D529" s="4" t="str">
        <x:v>7</x:v>
      </x:c>
      <x:c r="E529" s="4" t="str">
        <x:v>DateTime</x:v>
      </x:c>
      <x:c r="F529" s="4" t="str">
        <x:v>YES</x:v>
      </x:c>
      <x:c r="G529" s="4" t="str">
        <x:v>ISO-8601+明确时区</x:v>
      </x:c>
      <x:c r="H529" s="17" t="str">
        <x:v>INTERNAL</x:v>
      </x:c>
      <x:c r="I529" s="17" t="str">
        <x:v>按资源权限与数据域访问；公开DTO另行白名单</x:v>
      </x:c>
      <x:c r="J529" s="17" t="str">
        <x:v>数据库实体不得直接序列化为响应</x:v>
      </x:c>
      <x:c r="K529" s="17" t="str">
        <x:v>DTO白名单；长度/枚举/归属/状态校验；禁止信任客户端派生值</x:v>
      </x:c>
      <x:c r="L529" s="17" t="str">
        <x:v>按实体version或审计日志保留变更证据</x:v>
      </x:c>
      <x:c r="M529" s="4" t="str">
        <x:v>M4</x:v>
      </x:c>
      <x:c r="N529" s="4" t="str">
        <x:v>待切片细化</x:v>
      </x:c>
      <x:c r="O529" s="4" t="str">
        <x:v>综合方案§13核心数据模型</x:v>
      </x:c>
      <x:c r="P529" s="4" t="str">
        <x:v>DRAFT_FROM_SCHEME</x:v>
      </x:c>
    </x:row>
    <x:row r="530" ht="23" customHeight="1">
      <x:c r="A530" s="4" t="str">
        <x:v>DeliveryProof</x:v>
      </x:c>
      <x:c r="B530" s="4" t="str">
        <x:v>retentionPolicy</x:v>
      </x:c>
      <x:c r="C530" s="17" t="str">
        <x:v>retentionPolicy</x:v>
      </x:c>
      <x:c r="D530" s="4" t="str">
        <x:v>8</x:v>
      </x:c>
      <x:c r="E530" s="4" t="str">
        <x:v>String</x:v>
      </x:c>
      <x:c r="F530" s="4" t="str">
        <x:v>YES</x:v>
      </x:c>
      <x:c r="G530" s="4" t="str">
        <x:v>待M阶段冻结</x:v>
      </x:c>
      <x:c r="H530" s="17" t="str">
        <x:v>INTERNAL</x:v>
      </x:c>
      <x:c r="I530" s="17" t="str">
        <x:v>按资源权限与数据域访问；公开DTO另行白名单</x:v>
      </x:c>
      <x:c r="J530" s="17" t="str">
        <x:v>数据库实体不得直接序列化为响应</x:v>
      </x:c>
      <x:c r="K530" s="17" t="str">
        <x:v>DTO白名单；长度/枚举/归属/状态校验；禁止信任客户端派生值</x:v>
      </x:c>
      <x:c r="L530" s="17" t="str">
        <x:v>按实体version或审计日志保留变更证据</x:v>
      </x:c>
      <x:c r="M530" s="4" t="str">
        <x:v>M4</x:v>
      </x:c>
      <x:c r="N530" s="4" t="str">
        <x:v>待切片细化</x:v>
      </x:c>
      <x:c r="O530" s="4" t="str">
        <x:v>综合方案§13核心数据模型</x:v>
      </x:c>
      <x:c r="P530" s="4" t="str">
        <x:v>DRAFT_FROM_SCHEME</x:v>
      </x:c>
    </x:row>
    <x:row r="531" ht="23" customHeight="1">
      <x:c r="A531" s="4" t="str">
        <x:v>RunnerCompensationRecord</x:v>
      </x:c>
      <x:c r="B531" s="4" t="str">
        <x:v>id</x:v>
      </x:c>
      <x:c r="C531" s="17" t="str">
        <x:v>id</x:v>
      </x:c>
      <x:c r="D531" s="4" t="str">
        <x:v>1</x:v>
      </x:c>
      <x:c r="E531" s="4" t="str">
        <x:v>String/UUID</x:v>
      </x:c>
      <x:c r="F531" s="4" t="str">
        <x:v>YES</x:v>
      </x:c>
      <x:c r="G531" s="4" t="str">
        <x:v>待M阶段冻结</x:v>
      </x:c>
      <x:c r="H531" s="17" t="str">
        <x:v>INTERNAL</x:v>
      </x:c>
      <x:c r="I531" s="17" t="str">
        <x:v>按资源权限与数据域访问；公开DTO另行白名单</x:v>
      </x:c>
      <x:c r="J531" s="17" t="str">
        <x:v>数据库实体不得直接序列化为响应</x:v>
      </x:c>
      <x:c r="K531" s="17" t="str">
        <x:v>DTO白名单；长度/枚举/归属/状态校验；禁止信任客户端派生值</x:v>
      </x:c>
      <x:c r="L531" s="17" t="str">
        <x:v>按实体version或审计日志保留变更证据</x:v>
      </x:c>
      <x:c r="M531" s="4" t="str">
        <x:v>M4</x:v>
      </x:c>
      <x:c r="N531" s="4" t="str">
        <x:v>待切片细化</x:v>
      </x:c>
      <x:c r="O531" s="4" t="str">
        <x:v>综合方案§13核心数据模型</x:v>
      </x:c>
      <x:c r="P531" s="4" t="str">
        <x:v>DRAFT_FROM_SCHEME</x:v>
      </x:c>
    </x:row>
    <x:row r="532" ht="23" customHeight="1">
      <x:c r="A532" s="4" t="str">
        <x:v>RunnerCompensationRecord</x:v>
      </x:c>
      <x:c r="B532" s="4" t="str">
        <x:v>runnerId</x:v>
      </x:c>
      <x:c r="C532" s="17" t="str">
        <x:v>runnerId</x:v>
      </x:c>
      <x:c r="D532" s="4" t="str">
        <x:v>2</x:v>
      </x:c>
      <x:c r="E532" s="4" t="str">
        <x:v>String/UUID</x:v>
      </x:c>
      <x:c r="F532" s="4" t="str">
        <x:v>YES</x:v>
      </x:c>
      <x:c r="G532" s="4" t="str">
        <x:v>待M阶段冻结</x:v>
      </x:c>
      <x:c r="H532" s="17" t="str">
        <x:v>INTERNAL</x:v>
      </x:c>
      <x:c r="I532" s="17" t="str">
        <x:v>按资源权限与数据域访问；公开DTO另行白名单</x:v>
      </x:c>
      <x:c r="J532" s="17" t="str">
        <x:v>数据库实体不得直接序列化为响应</x:v>
      </x:c>
      <x:c r="K532" s="17" t="str">
        <x:v>DTO白名单；长度/枚举/归属/状态校验；禁止信任客户端派生值</x:v>
      </x:c>
      <x:c r="L532" s="17" t="str">
        <x:v>按实体version或审计日志保留变更证据</x:v>
      </x:c>
      <x:c r="M532" s="4" t="str">
        <x:v>M4</x:v>
      </x:c>
      <x:c r="N532" s="4" t="str">
        <x:v>待切片细化</x:v>
      </x:c>
      <x:c r="O532" s="4" t="str">
        <x:v>综合方案§13核心数据模型</x:v>
      </x:c>
      <x:c r="P532" s="4" t="str">
        <x:v>DRAFT_FROM_SCHEME</x:v>
      </x:c>
    </x:row>
    <x:row r="533" ht="23" customHeight="1">
      <x:c r="A533" s="4" t="str">
        <x:v>RunnerCompensationRecord</x:v>
      </x:c>
      <x:c r="B533" s="4" t="str">
        <x:v>deliveryTaskId</x:v>
      </x:c>
      <x:c r="C533" s="17" t="str">
        <x:v>deliveryTaskId</x:v>
      </x:c>
      <x:c r="D533" s="4" t="str">
        <x:v>3</x:v>
      </x:c>
      <x:c r="E533" s="4" t="str">
        <x:v>String/UUID</x:v>
      </x:c>
      <x:c r="F533" s="4" t="str">
        <x:v>YES</x:v>
      </x:c>
      <x:c r="G533" s="4" t="str">
        <x:v>待M阶段冻结</x:v>
      </x:c>
      <x:c r="H533" s="17" t="str">
        <x:v>INTERNAL</x:v>
      </x:c>
      <x:c r="I533" s="17" t="str">
        <x:v>按资源权限与数据域访问；公开DTO另行白名单</x:v>
      </x:c>
      <x:c r="J533" s="17" t="str">
        <x:v>数据库实体不得直接序列化为响应</x:v>
      </x:c>
      <x:c r="K533" s="17" t="str">
        <x:v>DTO白名单；长度/枚举/归属/状态校验；禁止信任客户端派生值</x:v>
      </x:c>
      <x:c r="L533" s="17" t="str">
        <x:v>按实体version或审计日志保留变更证据</x:v>
      </x:c>
      <x:c r="M533" s="4" t="str">
        <x:v>M4</x:v>
      </x:c>
      <x:c r="N533" s="4" t="str">
        <x:v>待切片细化</x:v>
      </x:c>
      <x:c r="O533" s="4" t="str">
        <x:v>综合方案§13核心数据模型</x:v>
      </x:c>
      <x:c r="P533" s="4" t="str">
        <x:v>DRAFT_FROM_SCHEME</x:v>
      </x:c>
    </x:row>
    <x:row r="534" ht="23" customHeight="1">
      <x:c r="A534" s="4" t="str">
        <x:v>RunnerCompensationRecord</x:v>
      </x:c>
      <x:c r="B534" s="4" t="str">
        <x:v>feeSnapshot</x:v>
      </x:c>
      <x:c r="C534" s="17" t="str">
        <x:v>feeSnapshot</x:v>
      </x:c>
      <x:c r="D534" s="4" t="str">
        <x:v>4</x:v>
      </x:c>
      <x:c r="E534" s="4" t="str">
        <x:v>Json</x:v>
      </x:c>
      <x:c r="F534" s="4" t="str">
        <x:v>YES</x:v>
      </x:c>
      <x:c r="G534" s="4" t="str">
        <x:v>待M阶段冻结</x:v>
      </x:c>
      <x:c r="H534" s="17" t="str">
        <x:v>INTERNAL</x:v>
      </x:c>
      <x:c r="I534" s="17" t="str">
        <x:v>按资源权限与数据域访问；公开DTO另行白名单</x:v>
      </x:c>
      <x:c r="J534" s="17" t="str">
        <x:v>数据库实体不得直接序列化为响应</x:v>
      </x:c>
      <x:c r="K534" s="17" t="str">
        <x:v>DTO白名单；长度/枚举/归属/状态校验；禁止信任客户端派生值</x:v>
      </x:c>
      <x:c r="L534" s="17" t="str">
        <x:v>按实体version或审计日志保留变更证据</x:v>
      </x:c>
      <x:c r="M534" s="4" t="str">
        <x:v>M4</x:v>
      </x:c>
      <x:c r="N534" s="4" t="str">
        <x:v>待切片细化</x:v>
      </x:c>
      <x:c r="O534" s="4" t="str">
        <x:v>综合方案§13核心数据模型</x:v>
      </x:c>
      <x:c r="P534" s="4" t="str">
        <x:v>DRAFT_FROM_SCHEME</x:v>
      </x:c>
    </x:row>
    <x:row r="535" ht="23" customHeight="1">
      <x:c r="A535" s="4" t="str">
        <x:v>RunnerCompensationRecord</x:v>
      </x:c>
      <x:c r="B535" s="4" t="str">
        <x:v>adjustmentAmount</x:v>
      </x:c>
      <x:c r="C535" s="17" t="str">
        <x:v>adjustmentAmount</x:v>
      </x:c>
      <x:c r="D535" s="4" t="str">
        <x:v>5</x:v>
      </x:c>
      <x:c r="E535" s="4" t="str">
        <x:v>Int(分)</x:v>
      </x:c>
      <x:c r="F535" s="4" t="str">
        <x:v>YES</x:v>
      </x:c>
      <x:c r="G535" s="4" t="str">
        <x:v>整数分</x:v>
      </x:c>
      <x:c r="H535" s="17" t="str">
        <x:v>FINANCIAL</x:v>
      </x:c>
      <x:c r="I535" s="17" t="str">
        <x:v>公司财务与必要业务职能；供应商仅本供应商结算视图</x:v>
      </x:c>
      <x:c r="J535" s="17" t="str">
        <x:v>消费者响应仅返回自身交易白名单字段</x:v>
      </x:c>
      <x:c r="K535" s="17" t="str">
        <x:v>DTO白名单；长度/枚举/归属/状态校验；禁止信任客户端派生值</x:v>
      </x:c>
      <x:c r="L535" s="17" t="str">
        <x:v>按实体version或审计日志保留变更证据</x:v>
      </x:c>
      <x:c r="M535" s="4" t="str">
        <x:v>M4</x:v>
      </x:c>
      <x:c r="N535" s="4" t="str">
        <x:v>待切片细化</x:v>
      </x:c>
      <x:c r="O535" s="4" t="str">
        <x:v>综合方案§13核心数据模型</x:v>
      </x:c>
      <x:c r="P535" s="4" t="str">
        <x:v>DRAFT_FROM_SCHEME</x:v>
      </x:c>
    </x:row>
    <x:row r="536" ht="23" customHeight="1">
      <x:c r="A536" s="4" t="str">
        <x:v>RunnerCompensationRecord</x:v>
      </x:c>
      <x:c r="B536" s="4" t="str">
        <x:v>finalAmount</x:v>
      </x:c>
      <x:c r="C536" s="17" t="str">
        <x:v>finalAmount</x:v>
      </x:c>
      <x:c r="D536" s="4" t="str">
        <x:v>6</x:v>
      </x:c>
      <x:c r="E536" s="4" t="str">
        <x:v>Int(分)</x:v>
      </x:c>
      <x:c r="F536" s="4" t="str">
        <x:v>YES</x:v>
      </x:c>
      <x:c r="G536" s="4" t="str">
        <x:v>整数分</x:v>
      </x:c>
      <x:c r="H536" s="17" t="str">
        <x:v>FINANCIAL</x:v>
      </x:c>
      <x:c r="I536" s="17" t="str">
        <x:v>公司财务与必要业务职能；供应商仅本供应商结算视图</x:v>
      </x:c>
      <x:c r="J536" s="17" t="str">
        <x:v>消费者响应仅返回自身交易白名单字段</x:v>
      </x:c>
      <x:c r="K536" s="17" t="str">
        <x:v>DTO白名单；长度/枚举/归属/状态校验；禁止信任客户端派生值</x:v>
      </x:c>
      <x:c r="L536" s="17" t="str">
        <x:v>按实体version或审计日志保留变更证据</x:v>
      </x:c>
      <x:c r="M536" s="4" t="str">
        <x:v>M4</x:v>
      </x:c>
      <x:c r="N536" s="4" t="str">
        <x:v>待切片细化</x:v>
      </x:c>
      <x:c r="O536" s="4" t="str">
        <x:v>综合方案§13核心数据模型</x:v>
      </x:c>
      <x:c r="P536" s="4" t="str">
        <x:v>DRAFT_FROM_SCHEME</x:v>
      </x:c>
    </x:row>
    <x:row r="537" ht="23" customHeight="1">
      <x:c r="A537" s="4" t="str">
        <x:v>RunnerCompensationRecord</x:v>
      </x:c>
      <x:c r="B537" s="4" t="str">
        <x:v>status</x:v>
      </x:c>
      <x:c r="C537" s="17" t="str">
        <x:v>status</x:v>
      </x:c>
      <x:c r="D537" s="4" t="str">
        <x:v>7</x:v>
      </x:c>
      <x:c r="E537" s="4" t="str">
        <x:v>Enum/String</x:v>
      </x:c>
      <x:c r="F537" s="4" t="str">
        <x:v>YES</x:v>
      </x:c>
      <x:c r="G537" s="4" t="str">
        <x:v>待M阶段冻结</x:v>
      </x:c>
      <x:c r="H537" s="17" t="str">
        <x:v>INTERNAL</x:v>
      </x:c>
      <x:c r="I537" s="17" t="str">
        <x:v>按资源权限与数据域访问；公开DTO另行白名单</x:v>
      </x:c>
      <x:c r="J537" s="17" t="str">
        <x:v>数据库实体不得直接序列化为响应</x:v>
      </x:c>
      <x:c r="K537" s="17" t="str">
        <x:v>DTO白名单；长度/枚举/归属/状态校验；禁止信任客户端派生值</x:v>
      </x:c>
      <x:c r="L537" s="17" t="str">
        <x:v>按实体version或审计日志保留变更证据</x:v>
      </x:c>
      <x:c r="M537" s="4" t="str">
        <x:v>M4</x:v>
      </x:c>
      <x:c r="N537" s="4" t="str">
        <x:v>待切片细化</x:v>
      </x:c>
      <x:c r="O537" s="4" t="str">
        <x:v>综合方案§13核心数据模型</x:v>
      </x:c>
      <x:c r="P537" s="4" t="str">
        <x:v>DRAFT_FROM_SCHEME</x:v>
      </x:c>
    </x:row>
    <x:row r="538" ht="23" customHeight="1">
      <x:c r="A538" s="4" t="str">
        <x:v>RunnerCompensationRecord</x:v>
      </x:c>
      <x:c r="B538" s="4" t="str">
        <x:v>offlinePaidAt</x:v>
      </x:c>
      <x:c r="C538" s="17" t="str">
        <x:v>offlinePaidAt?</x:v>
      </x:c>
      <x:c r="D538" s="4" t="str">
        <x:v>8</x:v>
      </x:c>
      <x:c r="E538" s="4" t="str">
        <x:v>DateTime</x:v>
      </x:c>
      <x:c r="F538" s="4" t="str">
        <x:v>NO</x:v>
      </x:c>
      <x:c r="G538" s="4" t="str">
        <x:v>ISO-8601+明确时区</x:v>
      </x:c>
      <x:c r="H538" s="17" t="str">
        <x:v>INTERNAL</x:v>
      </x:c>
      <x:c r="I538" s="17" t="str">
        <x:v>按资源权限与数据域访问；公开DTO另行白名单</x:v>
      </x:c>
      <x:c r="J538" s="17" t="str">
        <x:v>数据库实体不得直接序列化为响应</x:v>
      </x:c>
      <x:c r="K538" s="17" t="str">
        <x:v>DTO白名单；长度/枚举/归属/状态校验；禁止信任客户端派生值</x:v>
      </x:c>
      <x:c r="L538" s="17" t="str">
        <x:v>按实体version或审计日志保留变更证据</x:v>
      </x:c>
      <x:c r="M538" s="4" t="str">
        <x:v>M4</x:v>
      </x:c>
      <x:c r="N538" s="4" t="str">
        <x:v>待切片细化</x:v>
      </x:c>
      <x:c r="O538" s="4" t="str">
        <x:v>综合方案§13核心数据模型</x:v>
      </x:c>
      <x:c r="P538" s="4" t="str">
        <x:v>DRAFT_FROM_SCHEME</x:v>
      </x:c>
    </x:row>
    <x:row r="539" ht="23" customHeight="1">
      <x:c r="A539" s="4" t="str">
        <x:v>RunnerCompensationRecord</x:v>
      </x:c>
      <x:c r="B539" s="4" t="str">
        <x:v>voucherRef</x:v>
      </x:c>
      <x:c r="C539" s="17" t="str">
        <x:v>voucherRef?</x:v>
      </x:c>
      <x:c r="D539" s="4" t="str">
        <x:v>9</x:v>
      </x:c>
      <x:c r="E539" s="4" t="str">
        <x:v>String</x:v>
      </x:c>
      <x:c r="F539" s="4" t="str">
        <x:v>NO</x:v>
      </x:c>
      <x:c r="G539" s="4" t="str">
        <x:v>待M阶段冻结</x:v>
      </x:c>
      <x:c r="H539" s="17" t="str">
        <x:v>INTERNAL</x:v>
      </x:c>
      <x:c r="I539" s="17" t="str">
        <x:v>按资源权限与数据域访问；公开DTO另行白名单</x:v>
      </x:c>
      <x:c r="J539" s="17" t="str">
        <x:v>数据库实体不得直接序列化为响应</x:v>
      </x:c>
      <x:c r="K539" s="17" t="str">
        <x:v>DTO白名单；长度/枚举/归属/状态校验；禁止信任客户端派生值</x:v>
      </x:c>
      <x:c r="L539" s="17" t="str">
        <x:v>按实体version或审计日志保留变更证据</x:v>
      </x:c>
      <x:c r="M539" s="4" t="str">
        <x:v>M4</x:v>
      </x:c>
      <x:c r="N539" s="4" t="str">
        <x:v>待切片细化</x:v>
      </x:c>
      <x:c r="O539" s="4" t="str">
        <x:v>综合方案§13核心数据模型</x:v>
      </x:c>
      <x:c r="P539" s="4" t="str">
        <x:v>DRAFT_FROM_SCHEME</x:v>
      </x:c>
    </x:row>
    <x:row r="540" ht="23" customHeight="1">
      <x:c r="A540" s="4" t="str">
        <x:v>RunnerCompensationRecord</x:v>
      </x:c>
      <x:c r="B540" s="4" t="str">
        <x:v>version</x:v>
      </x:c>
      <x:c r="C540" s="17" t="str">
        <x:v>version</x:v>
      </x:c>
      <x:c r="D540" s="4" t="str">
        <x:v>10</x:v>
      </x:c>
      <x:c r="E540" s="4" t="str">
        <x:v>Int</x:v>
      </x:c>
      <x:c r="F540" s="4" t="str">
        <x:v>YES</x:v>
      </x:c>
      <x:c r="G540" s="4" t="str">
        <x:v>待M阶段冻结</x:v>
      </x:c>
      <x:c r="H540" s="17" t="str">
        <x:v>INTERNAL</x:v>
      </x:c>
      <x:c r="I540" s="17" t="str">
        <x:v>按资源权限与数据域访问；公开DTO另行白名单</x:v>
      </x:c>
      <x:c r="J540" s="17" t="str">
        <x:v>数据库实体不得直接序列化为响应</x:v>
      </x:c>
      <x:c r="K540" s="17" t="str">
        <x:v>DTO白名单；长度/枚举/归属/状态校验；禁止信任客户端派生值</x:v>
      </x:c>
      <x:c r="L540" s="17" t="str">
        <x:v>按实体version或审计日志保留变更证据</x:v>
      </x:c>
      <x:c r="M540" s="4" t="str">
        <x:v>M4</x:v>
      </x:c>
      <x:c r="N540" s="4" t="str">
        <x:v>待切片细化</x:v>
      </x:c>
      <x:c r="O540" s="4" t="str">
        <x:v>综合方案§13核心数据模型</x:v>
      </x:c>
      <x:c r="P540" s="4" t="str">
        <x:v>DRAFT_FROM_SCHEME</x:v>
      </x:c>
    </x:row>
    <x:row r="541" ht="23" customHeight="1">
      <x:c r="A541" s="4" t="str">
        <x:v>EnterpriseProcurementProfile</x:v>
      </x:c>
      <x:c r="B541" s="4" t="str">
        <x:v>id</x:v>
      </x:c>
      <x:c r="C541" s="17" t="str">
        <x:v>id</x:v>
      </x:c>
      <x:c r="D541" s="4" t="str">
        <x:v>1</x:v>
      </x:c>
      <x:c r="E541" s="4" t="str">
        <x:v>String/UUID</x:v>
      </x:c>
      <x:c r="F541" s="4" t="str">
        <x:v>YES</x:v>
      </x:c>
      <x:c r="G541" s="4" t="str">
        <x:v>待M阶段冻结</x:v>
      </x:c>
      <x:c r="H541" s="17" t="str">
        <x:v>INTERNAL</x:v>
      </x:c>
      <x:c r="I541" s="17" t="str">
        <x:v>按资源权限与数据域访问；公开DTO另行白名单</x:v>
      </x:c>
      <x:c r="J541" s="17" t="str">
        <x:v>数据库实体不得直接序列化为响应</x:v>
      </x:c>
      <x:c r="K541" s="17" t="str">
        <x:v>DTO白名单；长度/枚举/归属/状态校验；禁止信任客户端派生值</x:v>
      </x:c>
      <x:c r="L541" s="17" t="str">
        <x:v>按实体version或审计日志保留变更证据</x:v>
      </x:c>
      <x:c r="M541" s="4" t="str">
        <x:v>M3</x:v>
      </x:c>
      <x:c r="N541" s="4" t="str">
        <x:v>待切片细化</x:v>
      </x:c>
      <x:c r="O541" s="4" t="str">
        <x:v>综合方案§13核心数据模型</x:v>
      </x:c>
      <x:c r="P541" s="4" t="str">
        <x:v>DRAFT_FROM_SCHEME</x:v>
      </x:c>
    </x:row>
    <x:row r="542" ht="23" customHeight="1">
      <x:c r="A542" s="4" t="str">
        <x:v>EnterpriseProcurementProfile</x:v>
      </x:c>
      <x:c r="B542" s="4" t="str">
        <x:v>enterpriseCustomerId</x:v>
      </x:c>
      <x:c r="C542" s="17" t="str">
        <x:v>enterpriseCustomerId</x:v>
      </x:c>
      <x:c r="D542" s="4" t="str">
        <x:v>2</x:v>
      </x:c>
      <x:c r="E542" s="4" t="str">
        <x:v>String/UUID</x:v>
      </x:c>
      <x:c r="F542" s="4" t="str">
        <x:v>YES</x:v>
      </x:c>
      <x:c r="G542" s="4" t="str">
        <x:v>待M阶段冻结</x:v>
      </x:c>
      <x:c r="H542" s="17" t="str">
        <x:v>INTERNAL</x:v>
      </x:c>
      <x:c r="I542" s="17" t="str">
        <x:v>按资源权限与数据域访问；公开DTO另行白名单</x:v>
      </x:c>
      <x:c r="J542" s="17" t="str">
        <x:v>数据库实体不得直接序列化为响应</x:v>
      </x:c>
      <x:c r="K542" s="17" t="str">
        <x:v>DTO白名单；长度/枚举/归属/状态校验；禁止信任客户端派生值</x:v>
      </x:c>
      <x:c r="L542" s="17" t="str">
        <x:v>按实体version或审计日志保留变更证据</x:v>
      </x:c>
      <x:c r="M542" s="4" t="str">
        <x:v>M3</x:v>
      </x:c>
      <x:c r="N542" s="4" t="str">
        <x:v>待切片细化</x:v>
      </x:c>
      <x:c r="O542" s="4" t="str">
        <x:v>综合方案§13核心数据模型</x:v>
      </x:c>
      <x:c r="P542" s="4" t="str">
        <x:v>DRAFT_FROM_SCHEME</x:v>
      </x:c>
    </x:row>
    <x:row r="543" ht="23" customHeight="1">
      <x:c r="A543" s="4" t="str">
        <x:v>EnterpriseProcurementProfile</x:v>
      </x:c>
      <x:c r="B543" s="4" t="str">
        <x:v>defaultInvoiceProfileId</x:v>
      </x:c>
      <x:c r="C543" s="17" t="str">
        <x:v>defaultInvoiceProfileId</x:v>
      </x:c>
      <x:c r="D543" s="4" t="str">
        <x:v>3</x:v>
      </x:c>
      <x:c r="E543" s="4" t="str">
        <x:v>String/UUID</x:v>
      </x:c>
      <x:c r="F543" s="4" t="str">
        <x:v>YES</x:v>
      </x:c>
      <x:c r="G543" s="4" t="str">
        <x:v>待M阶段冻结</x:v>
      </x:c>
      <x:c r="H543" s="17" t="str">
        <x:v>INTERNAL</x:v>
      </x:c>
      <x:c r="I543" s="17" t="str">
        <x:v>按资源权限与数据域访问；公开DTO另行白名单</x:v>
      </x:c>
      <x:c r="J543" s="17" t="str">
        <x:v>数据库实体不得直接序列化为响应</x:v>
      </x:c>
      <x:c r="K543" s="17" t="str">
        <x:v>DTO白名单；长度/枚举/归属/状态校验；禁止信任客户端派生值</x:v>
      </x:c>
      <x:c r="L543" s="17" t="str">
        <x:v>按实体version或审计日志保留变更证据</x:v>
      </x:c>
      <x:c r="M543" s="4" t="str">
        <x:v>M3</x:v>
      </x:c>
      <x:c r="N543" s="4" t="str">
        <x:v>待切片细化</x:v>
      </x:c>
      <x:c r="O543" s="4" t="str">
        <x:v>综合方案§13核心数据模型</x:v>
      </x:c>
      <x:c r="P543" s="4" t="str">
        <x:v>DRAFT_FROM_SCHEME</x:v>
      </x:c>
    </x:row>
    <x:row r="544" ht="23" customHeight="1">
      <x:c r="A544" s="4" t="str">
        <x:v>EnterpriseProcurementProfile</x:v>
      </x:c>
      <x:c r="B544" s="4" t="str">
        <x:v>defaultAddressId</x:v>
      </x:c>
      <x:c r="C544" s="17" t="str">
        <x:v>defaultAddressId</x:v>
      </x:c>
      <x:c r="D544" s="4" t="str">
        <x:v>4</x:v>
      </x:c>
      <x:c r="E544" s="4" t="str">
        <x:v>String/UUID</x:v>
      </x:c>
      <x:c r="F544" s="4" t="str">
        <x:v>YES</x:v>
      </x:c>
      <x:c r="G544" s="4" t="str">
        <x:v>待M阶段冻结</x:v>
      </x:c>
      <x:c r="H544" s="17" t="str">
        <x:v>PERSONAL_OR_SENSITIVE</x:v>
      </x:c>
      <x:c r="I544" s="17" t="str">
        <x:v>按角色、对象归属及配送阶段脱敏/解密</x:v>
      </x:c>
      <x:c r="J544" s="17" t="str">
        <x:v>禁止跨供应商、越阶段或批量无审批导出</x:v>
      </x:c>
      <x:c r="K544" s="17" t="str">
        <x:v>DTO白名单；长度/枚举/归属/状态校验；禁止信任客户端派生值</x:v>
      </x:c>
      <x:c r="L544" s="17" t="str">
        <x:v>按实体version或审计日志保留变更证据</x:v>
      </x:c>
      <x:c r="M544" s="4" t="str">
        <x:v>M3</x:v>
      </x:c>
      <x:c r="N544" s="4" t="str">
        <x:v>待切片细化</x:v>
      </x:c>
      <x:c r="O544" s="4" t="str">
        <x:v>综合方案§13核心数据模型</x:v>
      </x:c>
      <x:c r="P544" s="4" t="str">
        <x:v>DRAFT_FROM_SCHEME</x:v>
      </x:c>
    </x:row>
    <x:row r="545" ht="23" customHeight="1">
      <x:c r="A545" s="4" t="str">
        <x:v>EnterpriseProcurementProfile</x:v>
      </x:c>
      <x:c r="B545" s="4" t="str">
        <x:v>status</x:v>
      </x:c>
      <x:c r="C545" s="17" t="str">
        <x:v>status</x:v>
      </x:c>
      <x:c r="D545" s="4" t="str">
        <x:v>5</x:v>
      </x:c>
      <x:c r="E545" s="4" t="str">
        <x:v>Enum/String</x:v>
      </x:c>
      <x:c r="F545" s="4" t="str">
        <x:v>YES</x:v>
      </x:c>
      <x:c r="G545" s="4" t="str">
        <x:v>待M阶段冻结</x:v>
      </x:c>
      <x:c r="H545" s="17" t="str">
        <x:v>INTERNAL</x:v>
      </x:c>
      <x:c r="I545" s="17" t="str">
        <x:v>按资源权限与数据域访问；公开DTO另行白名单</x:v>
      </x:c>
      <x:c r="J545" s="17" t="str">
        <x:v>数据库实体不得直接序列化为响应</x:v>
      </x:c>
      <x:c r="K545" s="17" t="str">
        <x:v>DTO白名单；长度/枚举/归属/状态校验；禁止信任客户端派生值</x:v>
      </x:c>
      <x:c r="L545" s="17" t="str">
        <x:v>按实体version或审计日志保留变更证据</x:v>
      </x:c>
      <x:c r="M545" s="4" t="str">
        <x:v>M3</x:v>
      </x:c>
      <x:c r="N545" s="4" t="str">
        <x:v>待切片细化</x:v>
      </x:c>
      <x:c r="O545" s="4" t="str">
        <x:v>综合方案§13核心数据模型</x:v>
      </x:c>
      <x:c r="P545" s="4" t="str">
        <x:v>DRAFT_FROM_SCHEME</x:v>
      </x:c>
    </x:row>
    <x:row r="546" ht="23" customHeight="1">
      <x:c r="A546" s="4" t="str">
        <x:v>EnterpriseProcurementOrder</x:v>
      </x:c>
      <x:c r="B546" s="4" t="str">
        <x:v>id</x:v>
      </x:c>
      <x:c r="C546" s="17" t="str">
        <x:v>id</x:v>
      </x:c>
      <x:c r="D546" s="4" t="str">
        <x:v>1</x:v>
      </x:c>
      <x:c r="E546" s="4" t="str">
        <x:v>String/UUID</x:v>
      </x:c>
      <x:c r="F546" s="4" t="str">
        <x:v>YES</x:v>
      </x:c>
      <x:c r="G546" s="4" t="str">
        <x:v>待M阶段冻结</x:v>
      </x:c>
      <x:c r="H546" s="17" t="str">
        <x:v>INTERNAL</x:v>
      </x:c>
      <x:c r="I546" s="17" t="str">
        <x:v>按资源权限与数据域访问；公开DTO另行白名单</x:v>
      </x:c>
      <x:c r="J546" s="17" t="str">
        <x:v>数据库实体不得直接序列化为响应</x:v>
      </x:c>
      <x:c r="K546" s="17" t="str">
        <x:v>DTO白名单；长度/枚举/归属/状态校验；禁止信任客户端派生值</x:v>
      </x:c>
      <x:c r="L546" s="17" t="str">
        <x:v>追加/版本/快照，不覆盖已生效历史</x:v>
      </x:c>
      <x:c r="M546" s="4" t="str">
        <x:v>M3</x:v>
      </x:c>
      <x:c r="N546" s="4" t="str">
        <x:v>P0-029,P0-062,P0-080</x:v>
      </x:c>
      <x:c r="O546" s="4" t="str">
        <x:v>综合方案§13核心数据模型</x:v>
      </x:c>
      <x:c r="P546" s="4" t="str">
        <x:v>DRAFT_FROM_SCHEME</x:v>
      </x:c>
    </x:row>
    <x:row r="547" ht="23" customHeight="1">
      <x:c r="A547" s="4" t="str">
        <x:v>EnterpriseProcurementOrder</x:v>
      </x:c>
      <x:c r="B547" s="4" t="str">
        <x:v>orderId</x:v>
      </x:c>
      <x:c r="C547" s="17" t="str">
        <x:v>orderId</x:v>
      </x:c>
      <x:c r="D547" s="4" t="str">
        <x:v>2</x:v>
      </x:c>
      <x:c r="E547" s="4" t="str">
        <x:v>String/UUID</x:v>
      </x:c>
      <x:c r="F547" s="4" t="str">
        <x:v>YES</x:v>
      </x:c>
      <x:c r="G547" s="4" t="str">
        <x:v>待M阶段冻结</x:v>
      </x:c>
      <x:c r="H547" s="17" t="str">
        <x:v>INTERNAL</x:v>
      </x:c>
      <x:c r="I547" s="17" t="str">
        <x:v>按资源权限与数据域访问；公开DTO另行白名单</x:v>
      </x:c>
      <x:c r="J547" s="17" t="str">
        <x:v>数据库实体不得直接序列化为响应</x:v>
      </x:c>
      <x:c r="K547" s="17" t="str">
        <x:v>DTO白名单；长度/枚举/归属/状态校验；禁止信任客户端派生值</x:v>
      </x:c>
      <x:c r="L547" s="17" t="str">
        <x:v>追加/版本/快照，不覆盖已生效历史</x:v>
      </x:c>
      <x:c r="M547" s="4" t="str">
        <x:v>M3</x:v>
      </x:c>
      <x:c r="N547" s="4" t="str">
        <x:v>P0-029,P0-062,P0-080</x:v>
      </x:c>
      <x:c r="O547" s="4" t="str">
        <x:v>综合方案§13核心数据模型</x:v>
      </x:c>
      <x:c r="P547" s="4" t="str">
        <x:v>DRAFT_FROM_SCHEME</x:v>
      </x:c>
    </x:row>
    <x:row r="548" ht="23" customHeight="1">
      <x:c r="A548" s="4" t="str">
        <x:v>EnterpriseProcurementOrder</x:v>
      </x:c>
      <x:c r="B548" s="4" t="str">
        <x:v>enterpriseCustomerId</x:v>
      </x:c>
      <x:c r="C548" s="17" t="str">
        <x:v>enterpriseCustomerId</x:v>
      </x:c>
      <x:c r="D548" s="4" t="str">
        <x:v>3</x:v>
      </x:c>
      <x:c r="E548" s="4" t="str">
        <x:v>String/UUID</x:v>
      </x:c>
      <x:c r="F548" s="4" t="str">
        <x:v>YES</x:v>
      </x:c>
      <x:c r="G548" s="4" t="str">
        <x:v>待M阶段冻结</x:v>
      </x:c>
      <x:c r="H548" s="17" t="str">
        <x:v>INTERNAL</x:v>
      </x:c>
      <x:c r="I548" s="17" t="str">
        <x:v>按资源权限与数据域访问；公开DTO另行白名单</x:v>
      </x:c>
      <x:c r="J548" s="17" t="str">
        <x:v>数据库实体不得直接序列化为响应</x:v>
      </x:c>
      <x:c r="K548" s="17" t="str">
        <x:v>DTO白名单；长度/枚举/归属/状态校验；禁止信任客户端派生值</x:v>
      </x:c>
      <x:c r="L548" s="17" t="str">
        <x:v>追加/版本/快照，不覆盖已生效历史</x:v>
      </x:c>
      <x:c r="M548" s="4" t="str">
        <x:v>M3</x:v>
      </x:c>
      <x:c r="N548" s="4" t="str">
        <x:v>P0-029,P0-062,P0-080</x:v>
      </x:c>
      <x:c r="O548" s="4" t="str">
        <x:v>综合方案§13核心数据模型</x:v>
      </x:c>
      <x:c r="P548" s="4" t="str">
        <x:v>DRAFT_FROM_SCHEME</x:v>
      </x:c>
    </x:row>
    <x:row r="549" ht="23" customHeight="1">
      <x:c r="A549" s="4" t="str">
        <x:v>EnterpriseProcurementOrder</x:v>
      </x:c>
      <x:c r="B549" s="4" t="str">
        <x:v>purchaserUserId</x:v>
      </x:c>
      <x:c r="C549" s="17" t="str">
        <x:v>purchaserUserId</x:v>
      </x:c>
      <x:c r="D549" s="4" t="str">
        <x:v>4</x:v>
      </x:c>
      <x:c r="E549" s="4" t="str">
        <x:v>String/UUID</x:v>
      </x:c>
      <x:c r="F549" s="4" t="str">
        <x:v>YES</x:v>
      </x:c>
      <x:c r="G549" s="4" t="str">
        <x:v>待M阶段冻结</x:v>
      </x:c>
      <x:c r="H549" s="17" t="str">
        <x:v>INTERNAL</x:v>
      </x:c>
      <x:c r="I549" s="17" t="str">
        <x:v>按资源权限与数据域访问；公开DTO另行白名单</x:v>
      </x:c>
      <x:c r="J549" s="17" t="str">
        <x:v>数据库实体不得直接序列化为响应</x:v>
      </x:c>
      <x:c r="K549" s="17" t="str">
        <x:v>DTO白名单；长度/枚举/归属/状态校验；禁止信任客户端派生值</x:v>
      </x:c>
      <x:c r="L549" s="17" t="str">
        <x:v>追加/版本/快照，不覆盖已生效历史</x:v>
      </x:c>
      <x:c r="M549" s="4" t="str">
        <x:v>M3</x:v>
      </x:c>
      <x:c r="N549" s="4" t="str">
        <x:v>P0-029,P0-062,P0-080</x:v>
      </x:c>
      <x:c r="O549" s="4" t="str">
        <x:v>综合方案§13核心数据模型</x:v>
      </x:c>
      <x:c r="P549" s="4" t="str">
        <x:v>DRAFT_FROM_SCHEME</x:v>
      </x:c>
    </x:row>
    <x:row r="550" ht="23" customHeight="1">
      <x:c r="A550" s="4" t="str">
        <x:v>EnterpriseProcurementOrder</x:v>
      </x:c>
      <x:c r="B550" s="4" t="str">
        <x:v>invoiceProfileSnapshot</x:v>
      </x:c>
      <x:c r="C550" s="17" t="str">
        <x:v>invoiceProfileSnapshot</x:v>
      </x:c>
      <x:c r="D550" s="4" t="str">
        <x:v>5</x:v>
      </x:c>
      <x:c r="E550" s="4" t="str">
        <x:v>Json</x:v>
      </x:c>
      <x:c r="F550" s="4" t="str">
        <x:v>YES</x:v>
      </x:c>
      <x:c r="G550" s="4" t="str">
        <x:v>待M阶段冻结</x:v>
      </x:c>
      <x:c r="H550" s="17" t="str">
        <x:v>INTERNAL</x:v>
      </x:c>
      <x:c r="I550" s="17" t="str">
        <x:v>按资源权限与数据域访问；公开DTO另行白名单</x:v>
      </x:c>
      <x:c r="J550" s="17" t="str">
        <x:v>数据库实体不得直接序列化为响应</x:v>
      </x:c>
      <x:c r="K550" s="17" t="str">
        <x:v>DTO白名单；长度/枚举/归属/状态校验；禁止信任客户端派生值</x:v>
      </x:c>
      <x:c r="L550" s="17" t="str">
        <x:v>追加/版本/快照，不覆盖已生效历史</x:v>
      </x:c>
      <x:c r="M550" s="4" t="str">
        <x:v>M3</x:v>
      </x:c>
      <x:c r="N550" s="4" t="str">
        <x:v>P0-029,P0-062,P0-080</x:v>
      </x:c>
      <x:c r="O550" s="4" t="str">
        <x:v>综合方案§13核心数据模型</x:v>
      </x:c>
      <x:c r="P550" s="4" t="str">
        <x:v>DRAFT_FROM_SCHEME</x:v>
      </x:c>
    </x:row>
    <x:row r="551" ht="23" customHeight="1">
      <x:c r="A551" s="4" t="str">
        <x:v>EnterpriseProcurementOrder</x:v>
      </x:c>
      <x:c r="B551" s="4" t="str">
        <x:v>enterpriseAddressSnapshot</x:v>
      </x:c>
      <x:c r="C551" s="17" t="str">
        <x:v>enterpriseAddressSnapshot</x:v>
      </x:c>
      <x:c r="D551" s="4" t="str">
        <x:v>6</x:v>
      </x:c>
      <x:c r="E551" s="4" t="str">
        <x:v>Json</x:v>
      </x:c>
      <x:c r="F551" s="4" t="str">
        <x:v>YES</x:v>
      </x:c>
      <x:c r="G551" s="4" t="str">
        <x:v>待M阶段冻结</x:v>
      </x:c>
      <x:c r="H551" s="17" t="str">
        <x:v>PERSONAL_OR_SENSITIVE</x:v>
      </x:c>
      <x:c r="I551" s="17" t="str">
        <x:v>按角色、对象归属及配送阶段脱敏/解密</x:v>
      </x:c>
      <x:c r="J551" s="17" t="str">
        <x:v>禁止跨供应商、越阶段或批量无审批导出</x:v>
      </x:c>
      <x:c r="K551" s="17" t="str">
        <x:v>DTO白名单；长度/枚举/归属/状态校验；禁止信任客户端派生值</x:v>
      </x:c>
      <x:c r="L551" s="17" t="str">
        <x:v>追加/版本/快照，不覆盖已生效历史</x:v>
      </x:c>
      <x:c r="M551" s="4" t="str">
        <x:v>M3</x:v>
      </x:c>
      <x:c r="N551" s="4" t="str">
        <x:v>P0-029,P0-062,P0-080</x:v>
      </x:c>
      <x:c r="O551" s="4" t="str">
        <x:v>综合方案§13核心数据模型</x:v>
      </x:c>
      <x:c r="P551" s="4" t="str">
        <x:v>DRAFT_FROM_SCHEME</x:v>
      </x:c>
    </x:row>
    <x:row r="552" ht="23" customHeight="1">
      <x:c r="A552" s="4" t="str">
        <x:v>EnterpriseProcurementOrder</x:v>
      </x:c>
      <x:c r="B552" s="4" t="str">
        <x:v>paymentMethod</x:v>
      </x:c>
      <x:c r="C552" s="17" t="str">
        <x:v>paymentMethod(WECHAT_PAY|BANK_TRANSFER)</x:v>
      </x:c>
      <x:c r="D552" s="4" t="str">
        <x:v>7</x:v>
      </x:c>
      <x:c r="E552" s="4" t="str">
        <x:v>Enum</x:v>
      </x:c>
      <x:c r="F552" s="4" t="str">
        <x:v>YES</x:v>
      </x:c>
      <x:c r="G552" s="4" t="str">
        <x:v>待M阶段冻结</x:v>
      </x:c>
      <x:c r="H552" s="17" t="str">
        <x:v>FINANCIAL</x:v>
      </x:c>
      <x:c r="I552" s="17" t="str">
        <x:v>公司财务与必要业务职能；供应商仅本供应商结算视图</x:v>
      </x:c>
      <x:c r="J552" s="17" t="str">
        <x:v>消费者响应仅返回自身交易白名单字段</x:v>
      </x:c>
      <x:c r="K552" s="17" t="str">
        <x:v>DTO白名单；长度/枚举/归属/状态校验；禁止信任客户端派生值</x:v>
      </x:c>
      <x:c r="L552" s="17" t="str">
        <x:v>追加/版本/快照，不覆盖已生效历史</x:v>
      </x:c>
      <x:c r="M552" s="4" t="str">
        <x:v>M3</x:v>
      </x:c>
      <x:c r="N552" s="4" t="str">
        <x:v>P0-029,P0-062,P0-080</x:v>
      </x:c>
      <x:c r="O552" s="4" t="str">
        <x:v>综合方案§13核心数据模型</x:v>
      </x:c>
      <x:c r="P552" s="4" t="str">
        <x:v>DRAFT_FROM_SCHEME</x:v>
      </x:c>
    </x:row>
    <x:row r="553" ht="23" customHeight="1">
      <x:c r="A553" s="4" t="str">
        <x:v>EnterpriseProcurementOrder</x:v>
      </x:c>
      <x:c r="B553" s="4" t="str">
        <x:v>remittanceReviewStatus</x:v>
      </x:c>
      <x:c r="C553" s="17" t="str">
        <x:v>remittanceReviewStatus</x:v>
      </x:c>
      <x:c r="D553" s="4" t="str">
        <x:v>8</x:v>
      </x:c>
      <x:c r="E553" s="4" t="str">
        <x:v>Enum/String</x:v>
      </x:c>
      <x:c r="F553" s="4" t="str">
        <x:v>YES</x:v>
      </x:c>
      <x:c r="G553" s="4" t="str">
        <x:v>待M阶段冻结</x:v>
      </x:c>
      <x:c r="H553" s="17" t="str">
        <x:v>INTERNAL</x:v>
      </x:c>
      <x:c r="I553" s="17" t="str">
        <x:v>按资源权限与数据域访问；公开DTO另行白名单</x:v>
      </x:c>
      <x:c r="J553" s="17" t="str">
        <x:v>数据库实体不得直接序列化为响应</x:v>
      </x:c>
      <x:c r="K553" s="17" t="str">
        <x:v>DTO白名单；长度/枚举/归属/状态校验；禁止信任客户端派生值</x:v>
      </x:c>
      <x:c r="L553" s="17" t="str">
        <x:v>追加/版本/快照，不覆盖已生效历史</x:v>
      </x:c>
      <x:c r="M553" s="4" t="str">
        <x:v>M3</x:v>
      </x:c>
      <x:c r="N553" s="4" t="str">
        <x:v>P0-029,P0-062,P0-080</x:v>
      </x:c>
      <x:c r="O553" s="4" t="str">
        <x:v>综合方案§13核心数据模型</x:v>
      </x:c>
      <x:c r="P553" s="4" t="str">
        <x:v>DRAFT_FROM_SCHEME</x:v>
      </x:c>
    </x:row>
    <x:row r="554" ht="23" customHeight="1">
      <x:c r="A554" s="4" t="str">
        <x:v>EnterpriseProcurementOrder</x:v>
      </x:c>
      <x:c r="B554" s="4" t="str">
        <x:v>status</x:v>
      </x:c>
      <x:c r="C554" s="17" t="str">
        <x:v>status</x:v>
      </x:c>
      <x:c r="D554" s="4" t="str">
        <x:v>9</x:v>
      </x:c>
      <x:c r="E554" s="4" t="str">
        <x:v>Enum/String</x:v>
      </x:c>
      <x:c r="F554" s="4" t="str">
        <x:v>YES</x:v>
      </x:c>
      <x:c r="G554" s="4" t="str">
        <x:v>待M阶段冻结</x:v>
      </x:c>
      <x:c r="H554" s="17" t="str">
        <x:v>INTERNAL</x:v>
      </x:c>
      <x:c r="I554" s="17" t="str">
        <x:v>按资源权限与数据域访问；公开DTO另行白名单</x:v>
      </x:c>
      <x:c r="J554" s="17" t="str">
        <x:v>数据库实体不得直接序列化为响应</x:v>
      </x:c>
      <x:c r="K554" s="17" t="str">
        <x:v>DTO白名单；长度/枚举/归属/状态校验；禁止信任客户端派生值</x:v>
      </x:c>
      <x:c r="L554" s="17" t="str">
        <x:v>追加/版本/快照，不覆盖已生效历史</x:v>
      </x:c>
      <x:c r="M554" s="4" t="str">
        <x:v>M3</x:v>
      </x:c>
      <x:c r="N554" s="4" t="str">
        <x:v>P0-029,P0-062,P0-080</x:v>
      </x:c>
      <x:c r="O554" s="4" t="str">
        <x:v>综合方案§13核心数据模型</x:v>
      </x:c>
      <x:c r="P554" s="4" t="str">
        <x:v>DRAFT_FROM_SCHEME</x:v>
      </x:c>
    </x:row>
    <x:row r="555" ht="23" customHeight="1">
      <x:c r="A555" s="4" t="str">
        <x:v>SupplierFulfillmentSubOrder</x:v>
      </x:c>
      <x:c r="B555" s="4" t="str">
        <x:v>id</x:v>
      </x:c>
      <x:c r="C555" s="17" t="str">
        <x:v>id</x:v>
      </x:c>
      <x:c r="D555" s="4" t="str">
        <x:v>1</x:v>
      </x:c>
      <x:c r="E555" s="4" t="str">
        <x:v>String/UUID</x:v>
      </x:c>
      <x:c r="F555" s="4" t="str">
        <x:v>YES</x:v>
      </x:c>
      <x:c r="G555" s="4" t="str">
        <x:v>待M阶段冻结</x:v>
      </x:c>
      <x:c r="H555" s="17" t="str">
        <x:v>INTERNAL</x:v>
      </x:c>
      <x:c r="I555" s="17" t="str">
        <x:v>按资源权限与数据域访问；公开DTO另行白名单</x:v>
      </x:c>
      <x:c r="J555" s="17" t="str">
        <x:v>数据库实体不得直接序列化为响应</x:v>
      </x:c>
      <x:c r="K555" s="17" t="str">
        <x:v>DTO白名单；长度/枚举/归属/状态校验；禁止信任客户端派生值</x:v>
      </x:c>
      <x:c r="L555" s="17" t="str">
        <x:v>追加/版本/快照，不覆盖已生效历史</x:v>
      </x:c>
      <x:c r="M555" s="4" t="str">
        <x:v>M3</x:v>
      </x:c>
      <x:c r="N555" s="4" t="str">
        <x:v>P0-031,P0-064,P0-065</x:v>
      </x:c>
      <x:c r="O555" s="4" t="str">
        <x:v>综合方案§13核心数据模型</x:v>
      </x:c>
      <x:c r="P555" s="4" t="str">
        <x:v>DRAFT_FROM_SCHEME</x:v>
      </x:c>
    </x:row>
    <x:row r="556" ht="23" customHeight="1">
      <x:c r="A556" s="4" t="str">
        <x:v>SupplierFulfillmentSubOrder</x:v>
      </x:c>
      <x:c r="B556" s="4" t="str">
        <x:v>orderId</x:v>
      </x:c>
      <x:c r="C556" s="17" t="str">
        <x:v>orderId</x:v>
      </x:c>
      <x:c r="D556" s="4" t="str">
        <x:v>2</x:v>
      </x:c>
      <x:c r="E556" s="4" t="str">
        <x:v>String/UUID</x:v>
      </x:c>
      <x:c r="F556" s="4" t="str">
        <x:v>YES</x:v>
      </x:c>
      <x:c r="G556" s="4" t="str">
        <x:v>待M阶段冻结</x:v>
      </x:c>
      <x:c r="H556" s="17" t="str">
        <x:v>INTERNAL</x:v>
      </x:c>
      <x:c r="I556" s="17" t="str">
        <x:v>按资源权限与数据域访问；公开DTO另行白名单</x:v>
      </x:c>
      <x:c r="J556" s="17" t="str">
        <x:v>数据库实体不得直接序列化为响应</x:v>
      </x:c>
      <x:c r="K556" s="17" t="str">
        <x:v>DTO白名单；长度/枚举/归属/状态校验；禁止信任客户端派生值</x:v>
      </x:c>
      <x:c r="L556" s="17" t="str">
        <x:v>追加/版本/快照，不覆盖已生效历史</x:v>
      </x:c>
      <x:c r="M556" s="4" t="str">
        <x:v>M3</x:v>
      </x:c>
      <x:c r="N556" s="4" t="str">
        <x:v>P0-031,P0-064,P0-065</x:v>
      </x:c>
      <x:c r="O556" s="4" t="str">
        <x:v>综合方案§13核心数据模型</x:v>
      </x:c>
      <x:c r="P556" s="4" t="str">
        <x:v>DRAFT_FROM_SCHEME</x:v>
      </x:c>
    </x:row>
    <x:row r="557" ht="23" customHeight="1">
      <x:c r="A557" s="4" t="str">
        <x:v>SupplierFulfillmentSubOrder</x:v>
      </x:c>
      <x:c r="B557" s="4" t="str">
        <x:v>enterpriseProcurementOrderId</x:v>
      </x:c>
      <x:c r="C557" s="17" t="str">
        <x:v>enterpriseProcurementOrderId?</x:v>
      </x:c>
      <x:c r="D557" s="4" t="str">
        <x:v>3</x:v>
      </x:c>
      <x:c r="E557" s="4" t="str">
        <x:v>String/UUID</x:v>
      </x:c>
      <x:c r="F557" s="4" t="str">
        <x:v>NO</x:v>
      </x:c>
      <x:c r="G557" s="4" t="str">
        <x:v>待M阶段冻结</x:v>
      </x:c>
      <x:c r="H557" s="17" t="str">
        <x:v>INTERNAL</x:v>
      </x:c>
      <x:c r="I557" s="17" t="str">
        <x:v>按资源权限与数据域访问；公开DTO另行白名单</x:v>
      </x:c>
      <x:c r="J557" s="17" t="str">
        <x:v>数据库实体不得直接序列化为响应</x:v>
      </x:c>
      <x:c r="K557" s="17" t="str">
        <x:v>DTO白名单；长度/枚举/归属/状态校验；禁止信任客户端派生值</x:v>
      </x:c>
      <x:c r="L557" s="17" t="str">
        <x:v>追加/版本/快照，不覆盖已生效历史</x:v>
      </x:c>
      <x:c r="M557" s="4" t="str">
        <x:v>M3</x:v>
      </x:c>
      <x:c r="N557" s="4" t="str">
        <x:v>P0-031,P0-064,P0-065</x:v>
      </x:c>
      <x:c r="O557" s="4" t="str">
        <x:v>综合方案§13核心数据模型</x:v>
      </x:c>
      <x:c r="P557" s="4" t="str">
        <x:v>DRAFT_FROM_SCHEME</x:v>
      </x:c>
    </x:row>
    <x:row r="558" ht="23" customHeight="1">
      <x:c r="A558" s="4" t="str">
        <x:v>SupplierFulfillmentSubOrder</x:v>
      </x:c>
      <x:c r="B558" s="4" t="str">
        <x:v>supplierId</x:v>
      </x:c>
      <x:c r="C558" s="17" t="str">
        <x:v>supplierId</x:v>
      </x:c>
      <x:c r="D558" s="4" t="str">
        <x:v>4</x:v>
      </x:c>
      <x:c r="E558" s="4" t="str">
        <x:v>String/UUID</x:v>
      </x:c>
      <x:c r="F558" s="4" t="str">
        <x:v>YES</x:v>
      </x:c>
      <x:c r="G558" s="4" t="str">
        <x:v>待M阶段冻结</x:v>
      </x:c>
      <x:c r="H558" s="17" t="str">
        <x:v>INTERNAL</x:v>
      </x:c>
      <x:c r="I558" s="17" t="str">
        <x:v>按资源权限与数据域访问；公开DTO另行白名单</x:v>
      </x:c>
      <x:c r="J558" s="17" t="str">
        <x:v>数据库实体不得直接序列化为响应</x:v>
      </x:c>
      <x:c r="K558" s="17" t="str">
        <x:v>DTO白名单；长度/枚举/归属/状态校验；禁止信任客户端派生值</x:v>
      </x:c>
      <x:c r="L558" s="17" t="str">
        <x:v>追加/版本/快照，不覆盖已生效历史</x:v>
      </x:c>
      <x:c r="M558" s="4" t="str">
        <x:v>M3</x:v>
      </x:c>
      <x:c r="N558" s="4" t="str">
        <x:v>P0-031,P0-064,P0-065</x:v>
      </x:c>
      <x:c r="O558" s="4" t="str">
        <x:v>综合方案§13核心数据模型</x:v>
      </x:c>
      <x:c r="P558" s="4" t="str">
        <x:v>DRAFT_FROM_SCHEME</x:v>
      </x:c>
    </x:row>
    <x:row r="559" ht="23" customHeight="1">
      <x:c r="A559" s="4" t="str">
        <x:v>SupplierFulfillmentSubOrder</x:v>
      </x:c>
      <x:c r="B559" s="4" t="str">
        <x:v>subOrderNo</x:v>
      </x:c>
      <x:c r="C559" s="17" t="str">
        <x:v>subOrderNo</x:v>
      </x:c>
      <x:c r="D559" s="4" t="str">
        <x:v>5</x:v>
      </x:c>
      <x:c r="E559" s="4" t="str">
        <x:v>String</x:v>
      </x:c>
      <x:c r="F559" s="4" t="str">
        <x:v>YES</x:v>
      </x:c>
      <x:c r="G559" s="4" t="str">
        <x:v>待M阶段冻结</x:v>
      </x:c>
      <x:c r="H559" s="17" t="str">
        <x:v>INTERNAL</x:v>
      </x:c>
      <x:c r="I559" s="17" t="str">
        <x:v>按资源权限与数据域访问；公开DTO另行白名单</x:v>
      </x:c>
      <x:c r="J559" s="17" t="str">
        <x:v>数据库实体不得直接序列化为响应</x:v>
      </x:c>
      <x:c r="K559" s="17" t="str">
        <x:v>DTO白名单；长度/枚举/归属/状态校验；禁止信任客户端派生值</x:v>
      </x:c>
      <x:c r="L559" s="17" t="str">
        <x:v>追加/版本/快照，不覆盖已生效历史</x:v>
      </x:c>
      <x:c r="M559" s="4" t="str">
        <x:v>M3</x:v>
      </x:c>
      <x:c r="N559" s="4" t="str">
        <x:v>P0-031,P0-064,P0-065</x:v>
      </x:c>
      <x:c r="O559" s="4" t="str">
        <x:v>综合方案§13核心数据模型</x:v>
      </x:c>
      <x:c r="P559" s="4" t="str">
        <x:v>DRAFT_FROM_SCHEME</x:v>
      </x:c>
    </x:row>
    <x:row r="560" ht="23" customHeight="1">
      <x:c r="A560" s="4" t="str">
        <x:v>SupplierFulfillmentSubOrder</x:v>
      </x:c>
      <x:c r="B560" s="4" t="str">
        <x:v>goodsAmount</x:v>
      </x:c>
      <x:c r="C560" s="17" t="str">
        <x:v>goodsAmount</x:v>
      </x:c>
      <x:c r="D560" s="4" t="str">
        <x:v>6</x:v>
      </x:c>
      <x:c r="E560" s="4" t="str">
        <x:v>Int(分)</x:v>
      </x:c>
      <x:c r="F560" s="4" t="str">
        <x:v>YES</x:v>
      </x:c>
      <x:c r="G560" s="4" t="str">
        <x:v>整数分</x:v>
      </x:c>
      <x:c r="H560" s="17" t="str">
        <x:v>FINANCIAL</x:v>
      </x:c>
      <x:c r="I560" s="17" t="str">
        <x:v>公司财务与必要业务职能；供应商仅本供应商结算视图</x:v>
      </x:c>
      <x:c r="J560" s="17" t="str">
        <x:v>消费者响应仅返回自身交易白名单字段</x:v>
      </x:c>
      <x:c r="K560" s="17" t="str">
        <x:v>DTO白名单；长度/枚举/归属/状态校验；禁止信任客户端派生值</x:v>
      </x:c>
      <x:c r="L560" s="17" t="str">
        <x:v>追加/版本/快照，不覆盖已生效历史</x:v>
      </x:c>
      <x:c r="M560" s="4" t="str">
        <x:v>M3</x:v>
      </x:c>
      <x:c r="N560" s="4" t="str">
        <x:v>P0-031,P0-064,P0-065</x:v>
      </x:c>
      <x:c r="O560" s="4" t="str">
        <x:v>综合方案§13核心数据模型</x:v>
      </x:c>
      <x:c r="P560" s="4" t="str">
        <x:v>DRAFT_FROM_SCHEME</x:v>
      </x:c>
    </x:row>
    <x:row r="561" ht="23" customHeight="1">
      <x:c r="A561" s="4" t="str">
        <x:v>SupplierFulfillmentSubOrder</x:v>
      </x:c>
      <x:c r="B561" s="4" t="str">
        <x:v>supplyAmount</x:v>
      </x:c>
      <x:c r="C561" s="17" t="str">
        <x:v>supplyAmount</x:v>
      </x:c>
      <x:c r="D561" s="4" t="str">
        <x:v>7</x:v>
      </x:c>
      <x:c r="E561" s="4" t="str">
        <x:v>Int(分)</x:v>
      </x:c>
      <x:c r="F561" s="4" t="str">
        <x:v>YES</x:v>
      </x:c>
      <x:c r="G561" s="4" t="str">
        <x:v>整数分</x:v>
      </x:c>
      <x:c r="H561" s="17" t="str">
        <x:v>STRICT_INTERNAL_SUPPLY_PRICE</x:v>
      </x:c>
      <x:c r="I561" s="17" t="str">
        <x:v>仅公司价格/财务及本供应商价格/财务职能可见</x:v>
      </x:c>
      <x:c r="J561" s="17" t="str">
        <x:v>禁止出现在消费者端、企业采购端、门户公开端及非授权日志</x:v>
      </x:c>
      <x:c r="K561" s="17" t="str">
        <x:v>DTO白名单；长度/枚举/归属/状态校验；禁止信任客户端派生值</x:v>
      </x:c>
      <x:c r="L561" s="17" t="str">
        <x:v>追加/版本/快照，不覆盖已生效历史</x:v>
      </x:c>
      <x:c r="M561" s="4" t="str">
        <x:v>M3</x:v>
      </x:c>
      <x:c r="N561" s="4" t="str">
        <x:v>P0-031,P0-064,P0-065</x:v>
      </x:c>
      <x:c r="O561" s="4" t="str">
        <x:v>综合方案§13核心数据模型</x:v>
      </x:c>
      <x:c r="P561" s="4" t="str">
        <x:v>DRAFT_FROM_SCHEME</x:v>
      </x:c>
    </x:row>
    <x:row r="562" ht="23" customHeight="1">
      <x:c r="A562" s="4" t="str">
        <x:v>SupplierFulfillmentSubOrder</x:v>
      </x:c>
      <x:c r="B562" s="4" t="str">
        <x:v>channelType</x:v>
      </x:c>
      <x:c r="C562" s="17" t="str">
        <x:v>channelType</x:v>
      </x:c>
      <x:c r="D562" s="4" t="str">
        <x:v>8</x:v>
      </x:c>
      <x:c r="E562" s="4" t="str">
        <x:v>Enum/String</x:v>
      </x:c>
      <x:c r="F562" s="4" t="str">
        <x:v>YES</x:v>
      </x:c>
      <x:c r="G562" s="4" t="str">
        <x:v>待M阶段冻结</x:v>
      </x:c>
      <x:c r="H562" s="17" t="str">
        <x:v>INTERNAL</x:v>
      </x:c>
      <x:c r="I562" s="17" t="str">
        <x:v>按资源权限与数据域访问；公开DTO另行白名单</x:v>
      </x:c>
      <x:c r="J562" s="17" t="str">
        <x:v>数据库实体不得直接序列化为响应</x:v>
      </x:c>
      <x:c r="K562" s="17" t="str">
        <x:v>DTO白名单；长度/枚举/归属/状态校验；禁止信任客户端派生值</x:v>
      </x:c>
      <x:c r="L562" s="17" t="str">
        <x:v>追加/版本/快照，不覆盖已生效历史</x:v>
      </x:c>
      <x:c r="M562" s="4" t="str">
        <x:v>M3</x:v>
      </x:c>
      <x:c r="N562" s="4" t="str">
        <x:v>P0-031,P0-064,P0-065</x:v>
      </x:c>
      <x:c r="O562" s="4" t="str">
        <x:v>综合方案§13核心数据模型</x:v>
      </x:c>
      <x:c r="P562" s="4" t="str">
        <x:v>DRAFT_FROM_SCHEME</x:v>
      </x:c>
    </x:row>
    <x:row r="563" ht="23" customHeight="1">
      <x:c r="A563" s="4" t="str">
        <x:v>SupplierFulfillmentSubOrder</x:v>
      </x:c>
      <x:c r="B563" s="4" t="str">
        <x:v>preparationStatus</x:v>
      </x:c>
      <x:c r="C563" s="17" t="str">
        <x:v>preparationStatus</x:v>
      </x:c>
      <x:c r="D563" s="4" t="str">
        <x:v>9</x:v>
      </x:c>
      <x:c r="E563" s="4" t="str">
        <x:v>Enum/String</x:v>
      </x:c>
      <x:c r="F563" s="4" t="str">
        <x:v>YES</x:v>
      </x:c>
      <x:c r="G563" s="4" t="str">
        <x:v>待M阶段冻结</x:v>
      </x:c>
      <x:c r="H563" s="17" t="str">
        <x:v>INTERNAL</x:v>
      </x:c>
      <x:c r="I563" s="17" t="str">
        <x:v>按资源权限与数据域访问；公开DTO另行白名单</x:v>
      </x:c>
      <x:c r="J563" s="17" t="str">
        <x:v>数据库实体不得直接序列化为响应</x:v>
      </x:c>
      <x:c r="K563" s="17" t="str">
        <x:v>DTO白名单；长度/枚举/归属/状态校验；禁止信任客户端派生值</x:v>
      </x:c>
      <x:c r="L563" s="17" t="str">
        <x:v>追加/版本/快照，不覆盖已生效历史</x:v>
      </x:c>
      <x:c r="M563" s="4" t="str">
        <x:v>M3</x:v>
      </x:c>
      <x:c r="N563" s="4" t="str">
        <x:v>P0-031,P0-064,P0-065</x:v>
      </x:c>
      <x:c r="O563" s="4" t="str">
        <x:v>综合方案§13核心数据模型</x:v>
      </x:c>
      <x:c r="P563" s="4" t="str">
        <x:v>DRAFT_FROM_SCHEME</x:v>
      </x:c>
    </x:row>
    <x:row r="564" ht="23" customHeight="1">
      <x:c r="A564" s="4" t="str">
        <x:v>SupplierFulfillmentSubOrder</x:v>
      </x:c>
      <x:c r="B564" s="4" t="str">
        <x:v>handoverStatus</x:v>
      </x:c>
      <x:c r="C564" s="17" t="str">
        <x:v>handoverStatus</x:v>
      </x:c>
      <x:c r="D564" s="4" t="str">
        <x:v>10</x:v>
      </x:c>
      <x:c r="E564" s="4" t="str">
        <x:v>Enum/String</x:v>
      </x:c>
      <x:c r="F564" s="4" t="str">
        <x:v>YES</x:v>
      </x:c>
      <x:c r="G564" s="4" t="str">
        <x:v>待M阶段冻结</x:v>
      </x:c>
      <x:c r="H564" s="17" t="str">
        <x:v>INTERNAL</x:v>
      </x:c>
      <x:c r="I564" s="17" t="str">
        <x:v>按资源权限与数据域访问；公开DTO另行白名单</x:v>
      </x:c>
      <x:c r="J564" s="17" t="str">
        <x:v>数据库实体不得直接序列化为响应</x:v>
      </x:c>
      <x:c r="K564" s="17" t="str">
        <x:v>DTO白名单；长度/枚举/归属/状态校验；禁止信任客户端派生值</x:v>
      </x:c>
      <x:c r="L564" s="17" t="str">
        <x:v>追加/版本/快照，不覆盖已生效历史</x:v>
      </x:c>
      <x:c r="M564" s="4" t="str">
        <x:v>M3</x:v>
      </x:c>
      <x:c r="N564" s="4" t="str">
        <x:v>P0-031,P0-064,P0-065</x:v>
      </x:c>
      <x:c r="O564" s="4" t="str">
        <x:v>综合方案§13核心数据模型</x:v>
      </x:c>
      <x:c r="P564" s="4" t="str">
        <x:v>DRAFT_FROM_SCHEME</x:v>
      </x:c>
    </x:row>
    <x:row r="565" ht="23" customHeight="1">
      <x:c r="A565" s="4" t="str">
        <x:v>SupplierFulfillmentSubOrder</x:v>
      </x:c>
      <x:c r="B565" s="4" t="str">
        <x:v>settlementStatus</x:v>
      </x:c>
      <x:c r="C565" s="17" t="str">
        <x:v>settlementStatus</x:v>
      </x:c>
      <x:c r="D565" s="4" t="str">
        <x:v>11</x:v>
      </x:c>
      <x:c r="E565" s="4" t="str">
        <x:v>Enum/String</x:v>
      </x:c>
      <x:c r="F565" s="4" t="str">
        <x:v>YES</x:v>
      </x:c>
      <x:c r="G565" s="4" t="str">
        <x:v>待M阶段冻结</x:v>
      </x:c>
      <x:c r="H565" s="17" t="str">
        <x:v>FINANCIAL</x:v>
      </x:c>
      <x:c r="I565" s="17" t="str">
        <x:v>公司财务与必要业务职能；供应商仅本供应商结算视图</x:v>
      </x:c>
      <x:c r="J565" s="17" t="str">
        <x:v>消费者响应仅返回自身交易白名单字段</x:v>
      </x:c>
      <x:c r="K565" s="17" t="str">
        <x:v>DTO白名单；长度/枚举/归属/状态校验；禁止信任客户端派生值</x:v>
      </x:c>
      <x:c r="L565" s="17" t="str">
        <x:v>追加/版本/快照，不覆盖已生效历史</x:v>
      </x:c>
      <x:c r="M565" s="4" t="str">
        <x:v>M3</x:v>
      </x:c>
      <x:c r="N565" s="4" t="str">
        <x:v>P0-031,P0-064,P0-065</x:v>
      </x:c>
      <x:c r="O565" s="4" t="str">
        <x:v>综合方案§13核心数据模型</x:v>
      </x:c>
      <x:c r="P565" s="4" t="str">
        <x:v>DRAFT_FROM_SCHEME</x:v>
      </x:c>
    </x:row>
    <x:row r="566" ht="23" customHeight="1">
      <x:c r="A566" s="4" t="str">
        <x:v>EnterpriseDeliveryOrder</x:v>
      </x:c>
      <x:c r="B566" s="4" t="str">
        <x:v>id</x:v>
      </x:c>
      <x:c r="C566" s="17" t="str">
        <x:v>id</x:v>
      </x:c>
      <x:c r="D566" s="4" t="str">
        <x:v>1</x:v>
      </x:c>
      <x:c r="E566" s="4" t="str">
        <x:v>String/UUID</x:v>
      </x:c>
      <x:c r="F566" s="4" t="str">
        <x:v>YES</x:v>
      </x:c>
      <x:c r="G566" s="4" t="str">
        <x:v>待M阶段冻结</x:v>
      </x:c>
      <x:c r="H566" s="17" t="str">
        <x:v>INTERNAL</x:v>
      </x:c>
      <x:c r="I566" s="17" t="str">
        <x:v>按资源权限与数据域访问；公开DTO另行白名单</x:v>
      </x:c>
      <x:c r="J566" s="17" t="str">
        <x:v>数据库实体不得直接序列化为响应</x:v>
      </x:c>
      <x:c r="K566" s="17" t="str">
        <x:v>DTO白名单；长度/枚举/归属/状态校验；禁止信任客户端派生值</x:v>
      </x:c>
      <x:c r="L566" s="17" t="str">
        <x:v>追加/版本/快照，不覆盖已生效历史</x:v>
      </x:c>
      <x:c r="M566" s="4" t="str">
        <x:v>M4</x:v>
      </x:c>
      <x:c r="N566" s="4" t="str">
        <x:v>P0-064,P0-115,P0-118,P0-119</x:v>
      </x:c>
      <x:c r="O566" s="4" t="str">
        <x:v>综合方案§13核心数据模型</x:v>
      </x:c>
      <x:c r="P566" s="4" t="str">
        <x:v>DRAFT_FROM_SCHEME</x:v>
      </x:c>
    </x:row>
    <x:row r="567" ht="23" customHeight="1">
      <x:c r="A567" s="4" t="str">
        <x:v>EnterpriseDeliveryOrder</x:v>
      </x:c>
      <x:c r="B567" s="4" t="str">
        <x:v>enterpriseProcurementOrderId</x:v>
      </x:c>
      <x:c r="C567" s="17" t="str">
        <x:v>enterpriseProcurementOrderId</x:v>
      </x:c>
      <x:c r="D567" s="4" t="str">
        <x:v>2</x:v>
      </x:c>
      <x:c r="E567" s="4" t="str">
        <x:v>String/UUID</x:v>
      </x:c>
      <x:c r="F567" s="4" t="str">
        <x:v>YES</x:v>
      </x:c>
      <x:c r="G567" s="4" t="str">
        <x:v>待M阶段冻结</x:v>
      </x:c>
      <x:c r="H567" s="17" t="str">
        <x:v>INTERNAL</x:v>
      </x:c>
      <x:c r="I567" s="17" t="str">
        <x:v>按资源权限与数据域访问；公开DTO另行白名单</x:v>
      </x:c>
      <x:c r="J567" s="17" t="str">
        <x:v>数据库实体不得直接序列化为响应</x:v>
      </x:c>
      <x:c r="K567" s="17" t="str">
        <x:v>DTO白名单；长度/枚举/归属/状态校验；禁止信任客户端派生值</x:v>
      </x:c>
      <x:c r="L567" s="17" t="str">
        <x:v>追加/版本/快照，不覆盖已生效历史</x:v>
      </x:c>
      <x:c r="M567" s="4" t="str">
        <x:v>M4</x:v>
      </x:c>
      <x:c r="N567" s="4" t="str">
        <x:v>P0-064,P0-115,P0-118,P0-119</x:v>
      </x:c>
      <x:c r="O567" s="4" t="str">
        <x:v>综合方案§13核心数据模型</x:v>
      </x:c>
      <x:c r="P567" s="4" t="str">
        <x:v>DRAFT_FROM_SCHEME</x:v>
      </x:c>
    </x:row>
    <x:row r="568" ht="23" customHeight="1">
      <x:c r="A568" s="4" t="str">
        <x:v>EnterpriseDeliveryOrder</x:v>
      </x:c>
      <x:c r="B568" s="4" t="str">
        <x:v>deliveryNo</x:v>
      </x:c>
      <x:c r="C568" s="17" t="str">
        <x:v>deliveryNo</x:v>
      </x:c>
      <x:c r="D568" s="4" t="str">
        <x:v>3</x:v>
      </x:c>
      <x:c r="E568" s="4" t="str">
        <x:v>String</x:v>
      </x:c>
      <x:c r="F568" s="4" t="str">
        <x:v>YES</x:v>
      </x:c>
      <x:c r="G568" s="4" t="str">
        <x:v>待M阶段冻结</x:v>
      </x:c>
      <x:c r="H568" s="17" t="str">
        <x:v>INTERNAL</x:v>
      </x:c>
      <x:c r="I568" s="17" t="str">
        <x:v>按资源权限与数据域访问；公开DTO另行白名单</x:v>
      </x:c>
      <x:c r="J568" s="17" t="str">
        <x:v>数据库实体不得直接序列化为响应</x:v>
      </x:c>
      <x:c r="K568" s="17" t="str">
        <x:v>DTO白名单；长度/枚举/归属/状态校验；禁止信任客户端派生值</x:v>
      </x:c>
      <x:c r="L568" s="17" t="str">
        <x:v>追加/版本/快照，不覆盖已生效历史</x:v>
      </x:c>
      <x:c r="M568" s="4" t="str">
        <x:v>M4</x:v>
      </x:c>
      <x:c r="N568" s="4" t="str">
        <x:v>P0-064,P0-115,P0-118,P0-119</x:v>
      </x:c>
      <x:c r="O568" s="4" t="str">
        <x:v>综合方案§13核心数据模型</x:v>
      </x:c>
      <x:c r="P568" s="4" t="str">
        <x:v>DRAFT_FROM_SCHEME</x:v>
      </x:c>
    </x:row>
    <x:row r="569" ht="23" customHeight="1">
      <x:c r="A569" s="4" t="str">
        <x:v>EnterpriseDeliveryOrder</x:v>
      </x:c>
      <x:c r="B569" s="4" t="str">
        <x:v>carrierType</x:v>
      </x:c>
      <x:c r="C569" s="17" t="str">
        <x:v>carrierType</x:v>
      </x:c>
      <x:c r="D569" s="4" t="str">
        <x:v>4</x:v>
      </x:c>
      <x:c r="E569" s="4" t="str">
        <x:v>Enum/String</x:v>
      </x:c>
      <x:c r="F569" s="4" t="str">
        <x:v>YES</x:v>
      </x:c>
      <x:c r="G569" s="4" t="str">
        <x:v>待M阶段冻结</x:v>
      </x:c>
      <x:c r="H569" s="17" t="str">
        <x:v>INTERNAL</x:v>
      </x:c>
      <x:c r="I569" s="17" t="str">
        <x:v>按资源权限与数据域访问；公开DTO另行白名单</x:v>
      </x:c>
      <x:c r="J569" s="17" t="str">
        <x:v>数据库实体不得直接序列化为响应</x:v>
      </x:c>
      <x:c r="K569" s="17" t="str">
        <x:v>DTO白名单；长度/枚举/归属/状态校验；禁止信任客户端派生值</x:v>
      </x:c>
      <x:c r="L569" s="17" t="str">
        <x:v>追加/版本/快照，不覆盖已生效历史</x:v>
      </x:c>
      <x:c r="M569" s="4" t="str">
        <x:v>M4</x:v>
      </x:c>
      <x:c r="N569" s="4" t="str">
        <x:v>P0-064,P0-115,P0-118,P0-119</x:v>
      </x:c>
      <x:c r="O569" s="4" t="str">
        <x:v>综合方案§13核心数据模型</x:v>
      </x:c>
      <x:c r="P569" s="4" t="str">
        <x:v>DRAFT_FROM_SCHEME</x:v>
      </x:c>
    </x:row>
    <x:row r="570" ht="23" customHeight="1">
      <x:c r="A570" s="4" t="str">
        <x:v>EnterpriseDeliveryOrder</x:v>
      </x:c>
      <x:c r="B570" s="4" t="str">
        <x:v>vehicleNo</x:v>
      </x:c>
      <x:c r="C570" s="17" t="str">
        <x:v>vehicleNo</x:v>
      </x:c>
      <x:c r="D570" s="4" t="str">
        <x:v>5</x:v>
      </x:c>
      <x:c r="E570" s="4" t="str">
        <x:v>String</x:v>
      </x:c>
      <x:c r="F570" s="4" t="str">
        <x:v>YES</x:v>
      </x:c>
      <x:c r="G570" s="4" t="str">
        <x:v>待M阶段冻结</x:v>
      </x:c>
      <x:c r="H570" s="17" t="str">
        <x:v>INTERNAL</x:v>
      </x:c>
      <x:c r="I570" s="17" t="str">
        <x:v>按资源权限与数据域访问；公开DTO另行白名单</x:v>
      </x:c>
      <x:c r="J570" s="17" t="str">
        <x:v>数据库实体不得直接序列化为响应</x:v>
      </x:c>
      <x:c r="K570" s="17" t="str">
        <x:v>DTO白名单；长度/枚举/归属/状态校验；禁止信任客户端派生值</x:v>
      </x:c>
      <x:c r="L570" s="17" t="str">
        <x:v>追加/版本/快照，不覆盖已生效历史</x:v>
      </x:c>
      <x:c r="M570" s="4" t="str">
        <x:v>M4</x:v>
      </x:c>
      <x:c r="N570" s="4" t="str">
        <x:v>P0-064,P0-115,P0-118,P0-119</x:v>
      </x:c>
      <x:c r="O570" s="4" t="str">
        <x:v>综合方案§13核心数据模型</x:v>
      </x:c>
      <x:c r="P570" s="4" t="str">
        <x:v>DRAFT_FROM_SCHEME</x:v>
      </x:c>
    </x:row>
    <x:row r="571" ht="23" customHeight="1">
      <x:c r="A571" s="4" t="str">
        <x:v>EnterpriseDeliveryOrder</x:v>
      </x:c>
      <x:c r="B571" s="4" t="str">
        <x:v>driverName</x:v>
      </x:c>
      <x:c r="C571" s="17" t="str">
        <x:v>driverName</x:v>
      </x:c>
      <x:c r="D571" s="4" t="str">
        <x:v>6</x:v>
      </x:c>
      <x:c r="E571" s="4" t="str">
        <x:v>String</x:v>
      </x:c>
      <x:c r="F571" s="4" t="str">
        <x:v>YES</x:v>
      </x:c>
      <x:c r="G571" s="4" t="str">
        <x:v>待M阶段冻结</x:v>
      </x:c>
      <x:c r="H571" s="17" t="str">
        <x:v>INTERNAL</x:v>
      </x:c>
      <x:c r="I571" s="17" t="str">
        <x:v>按资源权限与数据域访问；公开DTO另行白名单</x:v>
      </x:c>
      <x:c r="J571" s="17" t="str">
        <x:v>数据库实体不得直接序列化为响应</x:v>
      </x:c>
      <x:c r="K571" s="17" t="str">
        <x:v>DTO白名单；长度/枚举/归属/状态校验；禁止信任客户端派生值</x:v>
      </x:c>
      <x:c r="L571" s="17" t="str">
        <x:v>追加/版本/快照，不覆盖已生效历史</x:v>
      </x:c>
      <x:c r="M571" s="4" t="str">
        <x:v>M4</x:v>
      </x:c>
      <x:c r="N571" s="4" t="str">
        <x:v>P0-064,P0-115,P0-118,P0-119</x:v>
      </x:c>
      <x:c r="O571" s="4" t="str">
        <x:v>综合方案§13核心数据模型</x:v>
      </x:c>
      <x:c r="P571" s="4" t="str">
        <x:v>DRAFT_FROM_SCHEME</x:v>
      </x:c>
    </x:row>
    <x:row r="572" ht="23" customHeight="1">
      <x:c r="A572" s="4" t="str">
        <x:v>EnterpriseDeliveryOrder</x:v>
      </x:c>
      <x:c r="B572" s="4" t="str">
        <x:v>driverMobile</x:v>
      </x:c>
      <x:c r="C572" s="17" t="str">
        <x:v>driverMobile</x:v>
      </x:c>
      <x:c r="D572" s="4" t="str">
        <x:v>7</x:v>
      </x:c>
      <x:c r="E572" s="4" t="str">
        <x:v>String</x:v>
      </x:c>
      <x:c r="F572" s="4" t="str">
        <x:v>YES</x:v>
      </x:c>
      <x:c r="G572" s="4" t="str">
        <x:v>待M阶段冻结</x:v>
      </x:c>
      <x:c r="H572" s="17" t="str">
        <x:v>PERSONAL_OR_SENSITIVE</x:v>
      </x:c>
      <x:c r="I572" s="17" t="str">
        <x:v>按角色、对象归属及配送阶段脱敏/解密</x:v>
      </x:c>
      <x:c r="J572" s="17" t="str">
        <x:v>禁止跨供应商、越阶段或批量无审批导出</x:v>
      </x:c>
      <x:c r="K572" s="17" t="str">
        <x:v>DTO白名单；长度/枚举/归属/状态校验；禁止信任客户端派生值</x:v>
      </x:c>
      <x:c r="L572" s="17" t="str">
        <x:v>追加/版本/快照，不覆盖已生效历史</x:v>
      </x:c>
      <x:c r="M572" s="4" t="str">
        <x:v>M4</x:v>
      </x:c>
      <x:c r="N572" s="4" t="str">
        <x:v>P0-064,P0-115,P0-118,P0-119</x:v>
      </x:c>
      <x:c r="O572" s="4" t="str">
        <x:v>综合方案§13核心数据模型</x:v>
      </x:c>
      <x:c r="P572" s="4" t="str">
        <x:v>DRAFT_FROM_SCHEME</x:v>
      </x:c>
    </x:row>
    <x:row r="573" ht="23" customHeight="1">
      <x:c r="A573" s="4" t="str">
        <x:v>EnterpriseDeliveryOrder</x:v>
      </x:c>
      <x:c r="B573" s="4" t="str">
        <x:v>carrierName</x:v>
      </x:c>
      <x:c r="C573" s="17" t="str">
        <x:v>carrierName</x:v>
      </x:c>
      <x:c r="D573" s="4" t="str">
        <x:v>8</x:v>
      </x:c>
      <x:c r="E573" s="4" t="str">
        <x:v>String</x:v>
      </x:c>
      <x:c r="F573" s="4" t="str">
        <x:v>YES</x:v>
      </x:c>
      <x:c r="G573" s="4" t="str">
        <x:v>待M阶段冻结</x:v>
      </x:c>
      <x:c r="H573" s="17" t="str">
        <x:v>INTERNAL</x:v>
      </x:c>
      <x:c r="I573" s="17" t="str">
        <x:v>按资源权限与数据域访问；公开DTO另行白名单</x:v>
      </x:c>
      <x:c r="J573" s="17" t="str">
        <x:v>数据库实体不得直接序列化为响应</x:v>
      </x:c>
      <x:c r="K573" s="17" t="str">
        <x:v>DTO白名单；长度/枚举/归属/状态校验；禁止信任客户端派生值</x:v>
      </x:c>
      <x:c r="L573" s="17" t="str">
        <x:v>追加/版本/快照，不覆盖已生效历史</x:v>
      </x:c>
      <x:c r="M573" s="4" t="str">
        <x:v>M4</x:v>
      </x:c>
      <x:c r="N573" s="4" t="str">
        <x:v>P0-064,P0-115,P0-118,P0-119</x:v>
      </x:c>
      <x:c r="O573" s="4" t="str">
        <x:v>综合方案§13核心数据模型</x:v>
      </x:c>
      <x:c r="P573" s="4" t="str">
        <x:v>DRAFT_FROM_SCHEME</x:v>
      </x:c>
    </x:row>
    <x:row r="574" ht="23" customHeight="1">
      <x:c r="A574" s="4" t="str">
        <x:v>EnterpriseDeliveryOrder</x:v>
      </x:c>
      <x:c r="B574" s="4" t="str">
        <x:v>waybillNo</x:v>
      </x:c>
      <x:c r="C574" s="17" t="str">
        <x:v>waybillNo</x:v>
      </x:c>
      <x:c r="D574" s="4" t="str">
        <x:v>9</x:v>
      </x:c>
      <x:c r="E574" s="4" t="str">
        <x:v>String</x:v>
      </x:c>
      <x:c r="F574" s="4" t="str">
        <x:v>YES</x:v>
      </x:c>
      <x:c r="G574" s="4" t="str">
        <x:v>待M阶段冻结</x:v>
      </x:c>
      <x:c r="H574" s="17" t="str">
        <x:v>INTERNAL</x:v>
      </x:c>
      <x:c r="I574" s="17" t="str">
        <x:v>按资源权限与数据域访问；公开DTO另行白名单</x:v>
      </x:c>
      <x:c r="J574" s="17" t="str">
        <x:v>数据库实体不得直接序列化为响应</x:v>
      </x:c>
      <x:c r="K574" s="17" t="str">
        <x:v>DTO白名单；长度/枚举/归属/状态校验；禁止信任客户端派生值</x:v>
      </x:c>
      <x:c r="L574" s="17" t="str">
        <x:v>追加/版本/快照，不覆盖已生效历史</x:v>
      </x:c>
      <x:c r="M574" s="4" t="str">
        <x:v>M4</x:v>
      </x:c>
      <x:c r="N574" s="4" t="str">
        <x:v>P0-064,P0-115,P0-118,P0-119</x:v>
      </x:c>
      <x:c r="O574" s="4" t="str">
        <x:v>综合方案§13核心数据模型</x:v>
      </x:c>
      <x:c r="P574" s="4" t="str">
        <x:v>DRAFT_FROM_SCHEME</x:v>
      </x:c>
    </x:row>
    <x:row r="575" ht="23" customHeight="1">
      <x:c r="A575" s="4" t="str">
        <x:v>EnterpriseDeliveryOrder</x:v>
      </x:c>
      <x:c r="B575" s="4" t="str">
        <x:v>destinationSnapshot</x:v>
      </x:c>
      <x:c r="C575" s="17" t="str">
        <x:v>destinationSnapshot</x:v>
      </x:c>
      <x:c r="D575" s="4" t="str">
        <x:v>10</x:v>
      </x:c>
      <x:c r="E575" s="4" t="str">
        <x:v>Json</x:v>
      </x:c>
      <x:c r="F575" s="4" t="str">
        <x:v>YES</x:v>
      </x:c>
      <x:c r="G575" s="4" t="str">
        <x:v>待M阶段冻结</x:v>
      </x:c>
      <x:c r="H575" s="17" t="str">
        <x:v>INTERNAL</x:v>
      </x:c>
      <x:c r="I575" s="17" t="str">
        <x:v>按资源权限与数据域访问；公开DTO另行白名单</x:v>
      </x:c>
      <x:c r="J575" s="17" t="str">
        <x:v>数据库实体不得直接序列化为响应</x:v>
      </x:c>
      <x:c r="K575" s="17" t="str">
        <x:v>DTO白名单；长度/枚举/归属/状态校验；禁止信任客户端派生值</x:v>
      </x:c>
      <x:c r="L575" s="17" t="str">
        <x:v>追加/版本/快照，不覆盖已生效历史</x:v>
      </x:c>
      <x:c r="M575" s="4" t="str">
        <x:v>M4</x:v>
      </x:c>
      <x:c r="N575" s="4" t="str">
        <x:v>P0-064,P0-115,P0-118,P0-119</x:v>
      </x:c>
      <x:c r="O575" s="4" t="str">
        <x:v>综合方案§13核心数据模型</x:v>
      </x:c>
      <x:c r="P575" s="4" t="str">
        <x:v>DRAFT_FROM_SCHEME</x:v>
      </x:c>
    </x:row>
    <x:row r="576" ht="23" customHeight="1">
      <x:c r="A576" s="4" t="str">
        <x:v>EnterpriseDeliveryOrder</x:v>
      </x:c>
      <x:c r="B576" s="4" t="str">
        <x:v>status</x:v>
      </x:c>
      <x:c r="C576" s="17" t="str">
        <x:v>status</x:v>
      </x:c>
      <x:c r="D576" s="4" t="str">
        <x:v>11</x:v>
      </x:c>
      <x:c r="E576" s="4" t="str">
        <x:v>Enum/String</x:v>
      </x:c>
      <x:c r="F576" s="4" t="str">
        <x:v>YES</x:v>
      </x:c>
      <x:c r="G576" s="4" t="str">
        <x:v>待M阶段冻结</x:v>
      </x:c>
      <x:c r="H576" s="17" t="str">
        <x:v>INTERNAL</x:v>
      </x:c>
      <x:c r="I576" s="17" t="str">
        <x:v>按资源权限与数据域访问；公开DTO另行白名单</x:v>
      </x:c>
      <x:c r="J576" s="17" t="str">
        <x:v>数据库实体不得直接序列化为响应</x:v>
      </x:c>
      <x:c r="K576" s="17" t="str">
        <x:v>DTO白名单；长度/枚举/归属/状态校验；禁止信任客户端派生值</x:v>
      </x:c>
      <x:c r="L576" s="17" t="str">
        <x:v>追加/版本/快照，不覆盖已生效历史</x:v>
      </x:c>
      <x:c r="M576" s="4" t="str">
        <x:v>M4</x:v>
      </x:c>
      <x:c r="N576" s="4" t="str">
        <x:v>P0-064,P0-115,P0-118,P0-119</x:v>
      </x:c>
      <x:c r="O576" s="4" t="str">
        <x:v>综合方案§13核心数据模型</x:v>
      </x:c>
      <x:c r="P576" s="4" t="str">
        <x:v>DRAFT_FROM_SCHEME</x:v>
      </x:c>
    </x:row>
    <x:row r="577" ht="23" customHeight="1">
      <x:c r="A577" s="4" t="str">
        <x:v>EnterpriseDeliveryOrder</x:v>
      </x:c>
      <x:c r="B577" s="4" t="str">
        <x:v>plannedDeliveryAt</x:v>
      </x:c>
      <x:c r="C577" s="17" t="str">
        <x:v>plannedDeliveryAt</x:v>
      </x:c>
      <x:c r="D577" s="4" t="str">
        <x:v>12</x:v>
      </x:c>
      <x:c r="E577" s="4" t="str">
        <x:v>DateTime</x:v>
      </x:c>
      <x:c r="F577" s="4" t="str">
        <x:v>YES</x:v>
      </x:c>
      <x:c r="G577" s="4" t="str">
        <x:v>ISO-8601+明确时区</x:v>
      </x:c>
      <x:c r="H577" s="17" t="str">
        <x:v>INTERNAL</x:v>
      </x:c>
      <x:c r="I577" s="17" t="str">
        <x:v>按资源权限与数据域访问；公开DTO另行白名单</x:v>
      </x:c>
      <x:c r="J577" s="17" t="str">
        <x:v>数据库实体不得直接序列化为响应</x:v>
      </x:c>
      <x:c r="K577" s="17" t="str">
        <x:v>DTO白名单；长度/枚举/归属/状态校验；禁止信任客户端派生值</x:v>
      </x:c>
      <x:c r="L577" s="17" t="str">
        <x:v>追加/版本/快照，不覆盖已生效历史</x:v>
      </x:c>
      <x:c r="M577" s="4" t="str">
        <x:v>M4</x:v>
      </x:c>
      <x:c r="N577" s="4" t="str">
        <x:v>P0-064,P0-115,P0-118,P0-119</x:v>
      </x:c>
      <x:c r="O577" s="4" t="str">
        <x:v>综合方案§13核心数据模型</x:v>
      </x:c>
      <x:c r="P577" s="4" t="str">
        <x:v>DRAFT_FROM_SCHEME</x:v>
      </x:c>
    </x:row>
    <x:row r="578" ht="23" customHeight="1">
      <x:c r="A578" s="4" t="str">
        <x:v>EnterpriseDeliveryOrder</x:v>
      </x:c>
      <x:c r="B578" s="4" t="str">
        <x:v>deliveredAt</x:v>
      </x:c>
      <x:c r="C578" s="17" t="str">
        <x:v>deliveredAt</x:v>
      </x:c>
      <x:c r="D578" s="4" t="str">
        <x:v>13</x:v>
      </x:c>
      <x:c r="E578" s="4" t="str">
        <x:v>DateTime</x:v>
      </x:c>
      <x:c r="F578" s="4" t="str">
        <x:v>YES</x:v>
      </x:c>
      <x:c r="G578" s="4" t="str">
        <x:v>ISO-8601+明确时区</x:v>
      </x:c>
      <x:c r="H578" s="17" t="str">
        <x:v>INTERNAL</x:v>
      </x:c>
      <x:c r="I578" s="17" t="str">
        <x:v>按资源权限与数据域访问；公开DTO另行白名单</x:v>
      </x:c>
      <x:c r="J578" s="17" t="str">
        <x:v>数据库实体不得直接序列化为响应</x:v>
      </x:c>
      <x:c r="K578" s="17" t="str">
        <x:v>DTO白名单；长度/枚举/归属/状态校验；禁止信任客户端派生值</x:v>
      </x:c>
      <x:c r="L578" s="17" t="str">
        <x:v>追加/版本/快照，不覆盖已生效历史</x:v>
      </x:c>
      <x:c r="M578" s="4" t="str">
        <x:v>M4</x:v>
      </x:c>
      <x:c r="N578" s="4" t="str">
        <x:v>P0-064,P0-115,P0-118,P0-119</x:v>
      </x:c>
      <x:c r="O578" s="4" t="str">
        <x:v>综合方案§13核心数据模型</x:v>
      </x:c>
      <x:c r="P578" s="4" t="str">
        <x:v>DRAFT_FROM_SCHEME</x:v>
      </x:c>
    </x:row>
    <x:row r="579" ht="23" customHeight="1">
      <x:c r="A579" s="4" t="str">
        <x:v>EnterpriseDeliveryItem</x:v>
      </x:c>
      <x:c r="B579" s="4" t="str">
        <x:v>id</x:v>
      </x:c>
      <x:c r="C579" s="17" t="str">
        <x:v>id</x:v>
      </x:c>
      <x:c r="D579" s="4" t="str">
        <x:v>1</x:v>
      </x:c>
      <x:c r="E579" s="4" t="str">
        <x:v>String/UUID</x:v>
      </x:c>
      <x:c r="F579" s="4" t="str">
        <x:v>YES</x:v>
      </x:c>
      <x:c r="G579" s="4" t="str">
        <x:v>待M阶段冻结</x:v>
      </x:c>
      <x:c r="H579" s="17" t="str">
        <x:v>INTERNAL</x:v>
      </x:c>
      <x:c r="I579" s="17" t="str">
        <x:v>按资源权限与数据域访问；公开DTO另行白名单</x:v>
      </x:c>
      <x:c r="J579" s="17" t="str">
        <x:v>数据库实体不得直接序列化为响应</x:v>
      </x:c>
      <x:c r="K579" s="17" t="str">
        <x:v>DTO白名单；长度/枚举/归属/状态校验；禁止信任客户端派生值</x:v>
      </x:c>
      <x:c r="L579" s="17" t="str">
        <x:v>按实体version或审计日志保留变更证据</x:v>
      </x:c>
      <x:c r="M579" s="4" t="str">
        <x:v>M4</x:v>
      </x:c>
      <x:c r="N579" s="4" t="str">
        <x:v>待切片细化</x:v>
      </x:c>
      <x:c r="O579" s="4" t="str">
        <x:v>综合方案§13核心数据模型</x:v>
      </x:c>
      <x:c r="P579" s="4" t="str">
        <x:v>DRAFT_FROM_SCHEME</x:v>
      </x:c>
    </x:row>
    <x:row r="580" ht="23" customHeight="1">
      <x:c r="A580" s="4" t="str">
        <x:v>EnterpriseDeliveryItem</x:v>
      </x:c>
      <x:c r="B580" s="4" t="str">
        <x:v>enterpriseDeliveryOrderId</x:v>
      </x:c>
      <x:c r="C580" s="17" t="str">
        <x:v>enterpriseDeliveryOrderId</x:v>
      </x:c>
      <x:c r="D580" s="4" t="str">
        <x:v>2</x:v>
      </x:c>
      <x:c r="E580" s="4" t="str">
        <x:v>String/UUID</x:v>
      </x:c>
      <x:c r="F580" s="4" t="str">
        <x:v>YES</x:v>
      </x:c>
      <x:c r="G580" s="4" t="str">
        <x:v>待M阶段冻结</x:v>
      </x:c>
      <x:c r="H580" s="17" t="str">
        <x:v>INTERNAL</x:v>
      </x:c>
      <x:c r="I580" s="17" t="str">
        <x:v>按资源权限与数据域访问；公开DTO另行白名单</x:v>
      </x:c>
      <x:c r="J580" s="17" t="str">
        <x:v>数据库实体不得直接序列化为响应</x:v>
      </x:c>
      <x:c r="K580" s="17" t="str">
        <x:v>DTO白名单；长度/枚举/归属/状态校验；禁止信任客户端派生值</x:v>
      </x:c>
      <x:c r="L580" s="17" t="str">
        <x:v>按实体version或审计日志保留变更证据</x:v>
      </x:c>
      <x:c r="M580" s="4" t="str">
        <x:v>M4</x:v>
      </x:c>
      <x:c r="N580" s="4" t="str">
        <x:v>待切片细化</x:v>
      </x:c>
      <x:c r="O580" s="4" t="str">
        <x:v>综合方案§13核心数据模型</x:v>
      </x:c>
      <x:c r="P580" s="4" t="str">
        <x:v>DRAFT_FROM_SCHEME</x:v>
      </x:c>
    </x:row>
    <x:row r="581" ht="23" customHeight="1">
      <x:c r="A581" s="4" t="str">
        <x:v>EnterpriseDeliveryItem</x:v>
      </x:c>
      <x:c r="B581" s="4" t="str">
        <x:v>supplierFulfillmentSubOrderId</x:v>
      </x:c>
      <x:c r="C581" s="17" t="str">
        <x:v>supplierFulfillmentSubOrderId</x:v>
      </x:c>
      <x:c r="D581" s="4" t="str">
        <x:v>3</x:v>
      </x:c>
      <x:c r="E581" s="4" t="str">
        <x:v>String/UUID</x:v>
      </x:c>
      <x:c r="F581" s="4" t="str">
        <x:v>YES</x:v>
      </x:c>
      <x:c r="G581" s="4" t="str">
        <x:v>待M阶段冻结</x:v>
      </x:c>
      <x:c r="H581" s="17" t="str">
        <x:v>INTERNAL</x:v>
      </x:c>
      <x:c r="I581" s="17" t="str">
        <x:v>按资源权限与数据域访问；公开DTO另行白名单</x:v>
      </x:c>
      <x:c r="J581" s="17" t="str">
        <x:v>数据库实体不得直接序列化为响应</x:v>
      </x:c>
      <x:c r="K581" s="17" t="str">
        <x:v>DTO白名单；长度/枚举/归属/状态校验；禁止信任客户端派生值</x:v>
      </x:c>
      <x:c r="L581" s="17" t="str">
        <x:v>按实体version或审计日志保留变更证据</x:v>
      </x:c>
      <x:c r="M581" s="4" t="str">
        <x:v>M4</x:v>
      </x:c>
      <x:c r="N581" s="4" t="str">
        <x:v>待切片细化</x:v>
      </x:c>
      <x:c r="O581" s="4" t="str">
        <x:v>综合方案§13核心数据模型</x:v>
      </x:c>
      <x:c r="P581" s="4" t="str">
        <x:v>DRAFT_FROM_SCHEME</x:v>
      </x:c>
    </x:row>
    <x:row r="582" ht="23" customHeight="1">
      <x:c r="A582" s="4" t="str">
        <x:v>EnterpriseDeliveryItem</x:v>
      </x:c>
      <x:c r="B582" s="4" t="str">
        <x:v>orderItemId</x:v>
      </x:c>
      <x:c r="C582" s="17" t="str">
        <x:v>orderItemId</x:v>
      </x:c>
      <x:c r="D582" s="4" t="str">
        <x:v>4</x:v>
      </x:c>
      <x:c r="E582" s="4" t="str">
        <x:v>String/UUID</x:v>
      </x:c>
      <x:c r="F582" s="4" t="str">
        <x:v>YES</x:v>
      </x:c>
      <x:c r="G582" s="4" t="str">
        <x:v>待M阶段冻结</x:v>
      </x:c>
      <x:c r="H582" s="17" t="str">
        <x:v>INTERNAL</x:v>
      </x:c>
      <x:c r="I582" s="17" t="str">
        <x:v>按资源权限与数据域访问；公开DTO另行白名单</x:v>
      </x:c>
      <x:c r="J582" s="17" t="str">
        <x:v>数据库实体不得直接序列化为响应</x:v>
      </x:c>
      <x:c r="K582" s="17" t="str">
        <x:v>DTO白名单；长度/枚举/归属/状态校验；禁止信任客户端派生值</x:v>
      </x:c>
      <x:c r="L582" s="17" t="str">
        <x:v>按实体version或审计日志保留变更证据</x:v>
      </x:c>
      <x:c r="M582" s="4" t="str">
        <x:v>M4</x:v>
      </x:c>
      <x:c r="N582" s="4" t="str">
        <x:v>待切片细化</x:v>
      </x:c>
      <x:c r="O582" s="4" t="str">
        <x:v>综合方案§13核心数据模型</x:v>
      </x:c>
      <x:c r="P582" s="4" t="str">
        <x:v>DRAFT_FROM_SCHEME</x:v>
      </x:c>
    </x:row>
    <x:row r="583" ht="23" customHeight="1">
      <x:c r="A583" s="4" t="str">
        <x:v>EnterpriseDeliveryItem</x:v>
      </x:c>
      <x:c r="B583" s="4" t="str">
        <x:v>plannedQuantity</x:v>
      </x:c>
      <x:c r="C583" s="17" t="str">
        <x:v>plannedQuantity</x:v>
      </x:c>
      <x:c r="D583" s="4" t="str">
        <x:v>5</x:v>
      </x:c>
      <x:c r="E583" s="4" t="str">
        <x:v>Int</x:v>
      </x:c>
      <x:c r="F583" s="4" t="str">
        <x:v>YES</x:v>
      </x:c>
      <x:c r="G583" s="4" t="str">
        <x:v>待M阶段冻结</x:v>
      </x:c>
      <x:c r="H583" s="17" t="str">
        <x:v>INTERNAL</x:v>
      </x:c>
      <x:c r="I583" s="17" t="str">
        <x:v>按资源权限与数据域访问；公开DTO另行白名单</x:v>
      </x:c>
      <x:c r="J583" s="17" t="str">
        <x:v>数据库实体不得直接序列化为响应</x:v>
      </x:c>
      <x:c r="K583" s="17" t="str">
        <x:v>DTO白名单；长度/枚举/归属/状态校验；禁止信任客户端派生值</x:v>
      </x:c>
      <x:c r="L583" s="17" t="str">
        <x:v>按实体version或审计日志保留变更证据</x:v>
      </x:c>
      <x:c r="M583" s="4" t="str">
        <x:v>M4</x:v>
      </x:c>
      <x:c r="N583" s="4" t="str">
        <x:v>待切片细化</x:v>
      </x:c>
      <x:c r="O583" s="4" t="str">
        <x:v>综合方案§13核心数据模型</x:v>
      </x:c>
      <x:c r="P583" s="4" t="str">
        <x:v>DRAFT_FROM_SCHEME</x:v>
      </x:c>
    </x:row>
    <x:row r="584" ht="23" customHeight="1">
      <x:c r="A584" s="4" t="str">
        <x:v>EnterpriseDeliveryItem</x:v>
      </x:c>
      <x:c r="B584" s="4" t="str">
        <x:v>receivedQuantity</x:v>
      </x:c>
      <x:c r="C584" s="17" t="str">
        <x:v>receivedQuantity</x:v>
      </x:c>
      <x:c r="D584" s="4" t="str">
        <x:v>6</x:v>
      </x:c>
      <x:c r="E584" s="4" t="str">
        <x:v>Int</x:v>
      </x:c>
      <x:c r="F584" s="4" t="str">
        <x:v>YES</x:v>
      </x:c>
      <x:c r="G584" s="4" t="str">
        <x:v>待M阶段冻结</x:v>
      </x:c>
      <x:c r="H584" s="17" t="str">
        <x:v>INTERNAL</x:v>
      </x:c>
      <x:c r="I584" s="17" t="str">
        <x:v>按资源权限与数据域访问；公开DTO另行白名单</x:v>
      </x:c>
      <x:c r="J584" s="17" t="str">
        <x:v>数据库实体不得直接序列化为响应</x:v>
      </x:c>
      <x:c r="K584" s="17" t="str">
        <x:v>DTO白名单；长度/枚举/归属/状态校验；禁止信任客户端派生值</x:v>
      </x:c>
      <x:c r="L584" s="17" t="str">
        <x:v>按实体version或审计日志保留变更证据</x:v>
      </x:c>
      <x:c r="M584" s="4" t="str">
        <x:v>M4</x:v>
      </x:c>
      <x:c r="N584" s="4" t="str">
        <x:v>待切片细化</x:v>
      </x:c>
      <x:c r="O584" s="4" t="str">
        <x:v>综合方案§13核心数据模型</x:v>
      </x:c>
      <x:c r="P584" s="4" t="str">
        <x:v>DRAFT_FROM_SCHEME</x:v>
      </x:c>
    </x:row>
    <x:row r="585" ht="23" customHeight="1">
      <x:c r="A585" s="4" t="str">
        <x:v>EnterpriseDeliveryItem</x:v>
      </x:c>
      <x:c r="B585" s="4" t="str">
        <x:v>deliveredQuantity</x:v>
      </x:c>
      <x:c r="C585" s="17" t="str">
        <x:v>deliveredQuantity</x:v>
      </x:c>
      <x:c r="D585" s="4" t="str">
        <x:v>7</x:v>
      </x:c>
      <x:c r="E585" s="4" t="str">
        <x:v>Int</x:v>
      </x:c>
      <x:c r="F585" s="4" t="str">
        <x:v>YES</x:v>
      </x:c>
      <x:c r="G585" s="4" t="str">
        <x:v>待M阶段冻结</x:v>
      </x:c>
      <x:c r="H585" s="17" t="str">
        <x:v>INTERNAL</x:v>
      </x:c>
      <x:c r="I585" s="17" t="str">
        <x:v>按资源权限与数据域访问；公开DTO另行白名单</x:v>
      </x:c>
      <x:c r="J585" s="17" t="str">
        <x:v>数据库实体不得直接序列化为响应</x:v>
      </x:c>
      <x:c r="K585" s="17" t="str">
        <x:v>DTO白名单；长度/枚举/归属/状态校验；禁止信任客户端派生值</x:v>
      </x:c>
      <x:c r="L585" s="17" t="str">
        <x:v>按实体version或审计日志保留变更证据</x:v>
      </x:c>
      <x:c r="M585" s="4" t="str">
        <x:v>M4</x:v>
      </x:c>
      <x:c r="N585" s="4" t="str">
        <x:v>待切片细化</x:v>
      </x:c>
      <x:c r="O585" s="4" t="str">
        <x:v>综合方案§13核心数据模型</x:v>
      </x:c>
      <x:c r="P585" s="4" t="str">
        <x:v>DRAFT_FROM_SCHEME</x:v>
      </x:c>
    </x:row>
    <x:row r="586" ht="23" customHeight="1">
      <x:c r="A586" s="4" t="str">
        <x:v>EnterpriseDeliveryNodeLog</x:v>
      </x:c>
      <x:c r="B586" s="4" t="str">
        <x:v>id</x:v>
      </x:c>
      <x:c r="C586" s="17" t="str">
        <x:v>id</x:v>
      </x:c>
      <x:c r="D586" s="4" t="str">
        <x:v>1</x:v>
      </x:c>
      <x:c r="E586" s="4" t="str">
        <x:v>String/UUID</x:v>
      </x:c>
      <x:c r="F586" s="4" t="str">
        <x:v>YES</x:v>
      </x:c>
      <x:c r="G586" s="4" t="str">
        <x:v>待M阶段冻结</x:v>
      </x:c>
      <x:c r="H586" s="17" t="str">
        <x:v>INTERNAL</x:v>
      </x:c>
      <x:c r="I586" s="17" t="str">
        <x:v>按资源权限与数据域访问；公开DTO另行白名单</x:v>
      </x:c>
      <x:c r="J586" s="17" t="str">
        <x:v>数据库实体不得直接序列化为响应</x:v>
      </x:c>
      <x:c r="K586" s="17" t="str">
        <x:v>DTO白名单；长度/枚举/归属/状态校验；禁止信任客户端派生值</x:v>
      </x:c>
      <x:c r="L586" s="17" t="str">
        <x:v>追加/版本/快照，不覆盖已生效历史</x:v>
      </x:c>
      <x:c r="M586" s="4" t="str">
        <x:v>M4</x:v>
      </x:c>
      <x:c r="N586" s="4" t="str">
        <x:v>待切片细化</x:v>
      </x:c>
      <x:c r="O586" s="4" t="str">
        <x:v>综合方案§13核心数据模型</x:v>
      </x:c>
      <x:c r="P586" s="4" t="str">
        <x:v>DRAFT_FROM_SCHEME</x:v>
      </x:c>
    </x:row>
    <x:row r="587" ht="23" customHeight="1">
      <x:c r="A587" s="4" t="str">
        <x:v>EnterpriseDeliveryNodeLog</x:v>
      </x:c>
      <x:c r="B587" s="4" t="str">
        <x:v>enterpriseDeliveryOrderId</x:v>
      </x:c>
      <x:c r="C587" s="17" t="str">
        <x:v>enterpriseDeliveryOrderId</x:v>
      </x:c>
      <x:c r="D587" s="4" t="str">
        <x:v>2</x:v>
      </x:c>
      <x:c r="E587" s="4" t="str">
        <x:v>String/UUID</x:v>
      </x:c>
      <x:c r="F587" s="4" t="str">
        <x:v>YES</x:v>
      </x:c>
      <x:c r="G587" s="4" t="str">
        <x:v>待M阶段冻结</x:v>
      </x:c>
      <x:c r="H587" s="17" t="str">
        <x:v>INTERNAL</x:v>
      </x:c>
      <x:c r="I587" s="17" t="str">
        <x:v>按资源权限与数据域访问；公开DTO另行白名单</x:v>
      </x:c>
      <x:c r="J587" s="17" t="str">
        <x:v>数据库实体不得直接序列化为响应</x:v>
      </x:c>
      <x:c r="K587" s="17" t="str">
        <x:v>DTO白名单；长度/枚举/归属/状态校验；禁止信任客户端派生值</x:v>
      </x:c>
      <x:c r="L587" s="17" t="str">
        <x:v>追加/版本/快照，不覆盖已生效历史</x:v>
      </x:c>
      <x:c r="M587" s="4" t="str">
        <x:v>M4</x:v>
      </x:c>
      <x:c r="N587" s="4" t="str">
        <x:v>待切片细化</x:v>
      </x:c>
      <x:c r="O587" s="4" t="str">
        <x:v>综合方案§13核心数据模型</x:v>
      </x:c>
      <x:c r="P587" s="4" t="str">
        <x:v>DRAFT_FROM_SCHEME</x:v>
      </x:c>
    </x:row>
    <x:row r="588" ht="23" customHeight="1">
      <x:c r="A588" s="4" t="str">
        <x:v>EnterpriseDeliveryNodeLog</x:v>
      </x:c>
      <x:c r="B588" s="4" t="str">
        <x:v>node</x:v>
      </x:c>
      <x:c r="C588" s="17" t="str">
        <x:v>node</x:v>
      </x:c>
      <x:c r="D588" s="4" t="str">
        <x:v>3</x:v>
      </x:c>
      <x:c r="E588" s="4" t="str">
        <x:v>Enum/String</x:v>
      </x:c>
      <x:c r="F588" s="4" t="str">
        <x:v>YES</x:v>
      </x:c>
      <x:c r="G588" s="4" t="str">
        <x:v>待M阶段冻结</x:v>
      </x:c>
      <x:c r="H588" s="17" t="str">
        <x:v>INTERNAL</x:v>
      </x:c>
      <x:c r="I588" s="17" t="str">
        <x:v>按资源权限与数据域访问；公开DTO另行白名单</x:v>
      </x:c>
      <x:c r="J588" s="17" t="str">
        <x:v>数据库实体不得直接序列化为响应</x:v>
      </x:c>
      <x:c r="K588" s="17" t="str">
        <x:v>DTO白名单；长度/枚举/归属/状态校验；禁止信任客户端派生值</x:v>
      </x:c>
      <x:c r="L588" s="17" t="str">
        <x:v>追加/版本/快照，不覆盖已生效历史</x:v>
      </x:c>
      <x:c r="M588" s="4" t="str">
        <x:v>M4</x:v>
      </x:c>
      <x:c r="N588" s="4" t="str">
        <x:v>待切片细化</x:v>
      </x:c>
      <x:c r="O588" s="4" t="str">
        <x:v>综合方案§13核心数据模型</x:v>
      </x:c>
      <x:c r="P588" s="4" t="str">
        <x:v>DRAFT_FROM_SCHEME</x:v>
      </x:c>
    </x:row>
    <x:row r="589" ht="23" customHeight="1">
      <x:c r="A589" s="4" t="str">
        <x:v>EnterpriseDeliveryNodeLog</x:v>
      </x:c>
      <x:c r="B589" s="4" t="str">
        <x:v>operatorId</x:v>
      </x:c>
      <x:c r="C589" s="17" t="str">
        <x:v>operatorId</x:v>
      </x:c>
      <x:c r="D589" s="4" t="str">
        <x:v>4</x:v>
      </x:c>
      <x:c r="E589" s="4" t="str">
        <x:v>String/UUID</x:v>
      </x:c>
      <x:c r="F589" s="4" t="str">
        <x:v>YES</x:v>
      </x:c>
      <x:c r="G589" s="4" t="str">
        <x:v>待M阶段冻结</x:v>
      </x:c>
      <x:c r="H589" s="17" t="str">
        <x:v>INTERNAL</x:v>
      </x:c>
      <x:c r="I589" s="17" t="str">
        <x:v>按资源权限与数据域访问；公开DTO另行白名单</x:v>
      </x:c>
      <x:c r="J589" s="17" t="str">
        <x:v>数据库实体不得直接序列化为响应</x:v>
      </x:c>
      <x:c r="K589" s="17" t="str">
        <x:v>DTO白名单；长度/枚举/归属/状态校验；禁止信任客户端派生值</x:v>
      </x:c>
      <x:c r="L589" s="17" t="str">
        <x:v>追加/版本/快照，不覆盖已生效历史</x:v>
      </x:c>
      <x:c r="M589" s="4" t="str">
        <x:v>M4</x:v>
      </x:c>
      <x:c r="N589" s="4" t="str">
        <x:v>待切片细化</x:v>
      </x:c>
      <x:c r="O589" s="4" t="str">
        <x:v>综合方案§13核心数据模型</x:v>
      </x:c>
      <x:c r="P589" s="4" t="str">
        <x:v>DRAFT_FROM_SCHEME</x:v>
      </x:c>
    </x:row>
    <x:row r="590" ht="23" customHeight="1">
      <x:c r="A590" s="4" t="str">
        <x:v>EnterpriseDeliveryNodeLog</x:v>
      </x:c>
      <x:c r="B590" s="4" t="str">
        <x:v>evidenceUrl</x:v>
      </x:c>
      <x:c r="C590" s="17" t="str">
        <x:v>evidenceUrl</x:v>
      </x:c>
      <x:c r="D590" s="4" t="str">
        <x:v>5</x:v>
      </x:c>
      <x:c r="E590" s="4" t="str">
        <x:v>String</x:v>
      </x:c>
      <x:c r="F590" s="4" t="str">
        <x:v>YES</x:v>
      </x:c>
      <x:c r="G590" s="4" t="str">
        <x:v>待M阶段冻结</x:v>
      </x:c>
      <x:c r="H590" s="17" t="str">
        <x:v>INTERNAL</x:v>
      </x:c>
      <x:c r="I590" s="17" t="str">
        <x:v>按资源权限与数据域访问；公开DTO另行白名单</x:v>
      </x:c>
      <x:c r="J590" s="17" t="str">
        <x:v>数据库实体不得直接序列化为响应</x:v>
      </x:c>
      <x:c r="K590" s="17" t="str">
        <x:v>DTO白名单；长度/枚举/归属/状态校验；禁止信任客户端派生值</x:v>
      </x:c>
      <x:c r="L590" s="17" t="str">
        <x:v>追加/版本/快照，不覆盖已生效历史</x:v>
      </x:c>
      <x:c r="M590" s="4" t="str">
        <x:v>M4</x:v>
      </x:c>
      <x:c r="N590" s="4" t="str">
        <x:v>待切片细化</x:v>
      </x:c>
      <x:c r="O590" s="4" t="str">
        <x:v>综合方案§13核心数据模型</x:v>
      </x:c>
      <x:c r="P590" s="4" t="str">
        <x:v>DRAFT_FROM_SCHEME</x:v>
      </x:c>
    </x:row>
    <x:row r="591" ht="23" customHeight="1">
      <x:c r="A591" s="4" t="str">
        <x:v>EnterpriseDeliveryNodeLog</x:v>
      </x:c>
      <x:c r="B591" s="4" t="str">
        <x:v>remark</x:v>
      </x:c>
      <x:c r="C591" s="17" t="str">
        <x:v>remark</x:v>
      </x:c>
      <x:c r="D591" s="4" t="str">
        <x:v>6</x:v>
      </x:c>
      <x:c r="E591" s="4" t="str">
        <x:v>String</x:v>
      </x:c>
      <x:c r="F591" s="4" t="str">
        <x:v>YES</x:v>
      </x:c>
      <x:c r="G591" s="4" t="str">
        <x:v>待M阶段冻结</x:v>
      </x:c>
      <x:c r="H591" s="17" t="str">
        <x:v>INTERNAL</x:v>
      </x:c>
      <x:c r="I591" s="17" t="str">
        <x:v>按资源权限与数据域访问；公开DTO另行白名单</x:v>
      </x:c>
      <x:c r="J591" s="17" t="str">
        <x:v>数据库实体不得直接序列化为响应</x:v>
      </x:c>
      <x:c r="K591" s="17" t="str">
        <x:v>DTO白名单；长度/枚举/归属/状态校验；禁止信任客户端派生值</x:v>
      </x:c>
      <x:c r="L591" s="17" t="str">
        <x:v>追加/版本/快照，不覆盖已生效历史</x:v>
      </x:c>
      <x:c r="M591" s="4" t="str">
        <x:v>M4</x:v>
      </x:c>
      <x:c r="N591" s="4" t="str">
        <x:v>待切片细化</x:v>
      </x:c>
      <x:c r="O591" s="4" t="str">
        <x:v>综合方案§13核心数据模型</x:v>
      </x:c>
      <x:c r="P591" s="4" t="str">
        <x:v>DRAFT_FROM_SCHEME</x:v>
      </x:c>
    </x:row>
    <x:row r="592" ht="23" customHeight="1">
      <x:c r="A592" s="4" t="str">
        <x:v>EnterpriseDeliveryNodeLog</x:v>
      </x:c>
      <x:c r="B592" s="4" t="str">
        <x:v>occurredAt</x:v>
      </x:c>
      <x:c r="C592" s="17" t="str">
        <x:v>occurredAt</x:v>
      </x:c>
      <x:c r="D592" s="4" t="str">
        <x:v>7</x:v>
      </x:c>
      <x:c r="E592" s="4" t="str">
        <x:v>DateTime</x:v>
      </x:c>
      <x:c r="F592" s="4" t="str">
        <x:v>YES</x:v>
      </x:c>
      <x:c r="G592" s="4" t="str">
        <x:v>ISO-8601+明确时区</x:v>
      </x:c>
      <x:c r="H592" s="17" t="str">
        <x:v>INTERNAL</x:v>
      </x:c>
      <x:c r="I592" s="17" t="str">
        <x:v>按资源权限与数据域访问；公开DTO另行白名单</x:v>
      </x:c>
      <x:c r="J592" s="17" t="str">
        <x:v>数据库实体不得直接序列化为响应</x:v>
      </x:c>
      <x:c r="K592" s="17" t="str">
        <x:v>DTO白名单；长度/枚举/归属/状态校验；禁止信任客户端派生值</x:v>
      </x:c>
      <x:c r="L592" s="17" t="str">
        <x:v>追加/版本/快照，不覆盖已生效历史</x:v>
      </x:c>
      <x:c r="M592" s="4" t="str">
        <x:v>M4</x:v>
      </x:c>
      <x:c r="N592" s="4" t="str">
        <x:v>待切片细化</x:v>
      </x:c>
      <x:c r="O592" s="4" t="str">
        <x:v>综合方案§13核心数据模型</x:v>
      </x:c>
      <x:c r="P592" s="4" t="str">
        <x:v>DRAFT_FROM_SCHEME</x:v>
      </x:c>
    </x:row>
    <x:row r="593" ht="23" customHeight="1">
      <x:c r="A593" s="4" t="str">
        <x:v>CompanyDeliveryResource</x:v>
      </x:c>
      <x:c r="B593" s="4" t="str">
        <x:v>id</x:v>
      </x:c>
      <x:c r="C593" s="17" t="str">
        <x:v>id</x:v>
      </x:c>
      <x:c r="D593" s="4" t="str">
        <x:v>1</x:v>
      </x:c>
      <x:c r="E593" s="4" t="str">
        <x:v>String/UUID</x:v>
      </x:c>
      <x:c r="F593" s="4" t="str">
        <x:v>YES</x:v>
      </x:c>
      <x:c r="G593" s="4" t="str">
        <x:v>待M阶段冻结</x:v>
      </x:c>
      <x:c r="H593" s="17" t="str">
        <x:v>INTERNAL</x:v>
      </x:c>
      <x:c r="I593" s="17" t="str">
        <x:v>按资源权限与数据域访问；公开DTO另行白名单</x:v>
      </x:c>
      <x:c r="J593" s="17" t="str">
        <x:v>数据库实体不得直接序列化为响应</x:v>
      </x:c>
      <x:c r="K593" s="17" t="str">
        <x:v>DTO白名单；长度/枚举/归属/状态校验；禁止信任客户端派生值</x:v>
      </x:c>
      <x:c r="L593" s="17" t="str">
        <x:v>按实体version或审计日志保留变更证据</x:v>
      </x:c>
      <x:c r="M593" s="4" t="str">
        <x:v>M4</x:v>
      </x:c>
      <x:c r="N593" s="4" t="str">
        <x:v>待切片细化</x:v>
      </x:c>
      <x:c r="O593" s="4" t="str">
        <x:v>综合方案§13核心数据模型</x:v>
      </x:c>
      <x:c r="P593" s="4" t="str">
        <x:v>DRAFT_FROM_SCHEME</x:v>
      </x:c>
    </x:row>
    <x:row r="594" ht="23" customHeight="1">
      <x:c r="A594" s="4" t="str">
        <x:v>CompanyDeliveryResource</x:v>
      </x:c>
      <x:c r="B594" s="4" t="str">
        <x:v>companyId</x:v>
      </x:c>
      <x:c r="C594" s="17" t="str">
        <x:v>companyId</x:v>
      </x:c>
      <x:c r="D594" s="4" t="str">
        <x:v>2</x:v>
      </x:c>
      <x:c r="E594" s="4" t="str">
        <x:v>String/UUID</x:v>
      </x:c>
      <x:c r="F594" s="4" t="str">
        <x:v>YES</x:v>
      </x:c>
      <x:c r="G594" s="4" t="str">
        <x:v>待M阶段冻结</x:v>
      </x:c>
      <x:c r="H594" s="17" t="str">
        <x:v>INTERNAL</x:v>
      </x:c>
      <x:c r="I594" s="17" t="str">
        <x:v>按资源权限与数据域访问；公开DTO另行白名单</x:v>
      </x:c>
      <x:c r="J594" s="17" t="str">
        <x:v>数据库实体不得直接序列化为响应</x:v>
      </x:c>
      <x:c r="K594" s="17" t="str">
        <x:v>DTO白名单；长度/枚举/归属/状态校验；禁止信任客户端派生值</x:v>
      </x:c>
      <x:c r="L594" s="17" t="str">
        <x:v>按实体version或审计日志保留变更证据</x:v>
      </x:c>
      <x:c r="M594" s="4" t="str">
        <x:v>M4</x:v>
      </x:c>
      <x:c r="N594" s="4" t="str">
        <x:v>待切片细化</x:v>
      </x:c>
      <x:c r="O594" s="4" t="str">
        <x:v>综合方案§13核心数据模型</x:v>
      </x:c>
      <x:c r="P594" s="4" t="str">
        <x:v>DRAFT_FROM_SCHEME</x:v>
      </x:c>
    </x:row>
    <x:row r="595" ht="23" customHeight="1">
      <x:c r="A595" s="4" t="str">
        <x:v>CompanyDeliveryResource</x:v>
      </x:c>
      <x:c r="B595" s="4" t="str">
        <x:v>resourceType</x:v>
      </x:c>
      <x:c r="C595" s="17" t="str">
        <x:v>resourceType</x:v>
      </x:c>
      <x:c r="D595" s="4" t="str">
        <x:v>3</x:v>
      </x:c>
      <x:c r="E595" s="4" t="str">
        <x:v>Enum/String</x:v>
      </x:c>
      <x:c r="F595" s="4" t="str">
        <x:v>YES</x:v>
      </x:c>
      <x:c r="G595" s="4" t="str">
        <x:v>待M阶段冻结</x:v>
      </x:c>
      <x:c r="H595" s="17" t="str">
        <x:v>INTERNAL</x:v>
      </x:c>
      <x:c r="I595" s="17" t="str">
        <x:v>按资源权限与数据域访问；公开DTO另行白名单</x:v>
      </x:c>
      <x:c r="J595" s="17" t="str">
        <x:v>数据库实体不得直接序列化为响应</x:v>
      </x:c>
      <x:c r="K595" s="17" t="str">
        <x:v>DTO白名单；长度/枚举/归属/状态校验；禁止信任客户端派生值</x:v>
      </x:c>
      <x:c r="L595" s="17" t="str">
        <x:v>按实体version或审计日志保留变更证据</x:v>
      </x:c>
      <x:c r="M595" s="4" t="str">
        <x:v>M4</x:v>
      </x:c>
      <x:c r="N595" s="4" t="str">
        <x:v>待切片细化</x:v>
      </x:c>
      <x:c r="O595" s="4" t="str">
        <x:v>综合方案§13核心数据模型</x:v>
      </x:c>
      <x:c r="P595" s="4" t="str">
        <x:v>DRAFT_FROM_SCHEME</x:v>
      </x:c>
    </x:row>
    <x:row r="596" ht="23" customHeight="1">
      <x:c r="A596" s="4" t="str">
        <x:v>CompanyDeliveryResource</x:v>
      </x:c>
      <x:c r="B596" s="4" t="str">
        <x:v>resourceName</x:v>
      </x:c>
      <x:c r="C596" s="17" t="str">
        <x:v>resourceName</x:v>
      </x:c>
      <x:c r="D596" s="4" t="str">
        <x:v>4</x:v>
      </x:c>
      <x:c r="E596" s="4" t="str">
        <x:v>String</x:v>
      </x:c>
      <x:c r="F596" s="4" t="str">
        <x:v>YES</x:v>
      </x:c>
      <x:c r="G596" s="4" t="str">
        <x:v>待M阶段冻结</x:v>
      </x:c>
      <x:c r="H596" s="17" t="str">
        <x:v>INTERNAL</x:v>
      </x:c>
      <x:c r="I596" s="17" t="str">
        <x:v>按资源权限与数据域访问；公开DTO另行白名单</x:v>
      </x:c>
      <x:c r="J596" s="17" t="str">
        <x:v>数据库实体不得直接序列化为响应</x:v>
      </x:c>
      <x:c r="K596" s="17" t="str">
        <x:v>DTO白名单；长度/枚举/归属/状态校验；禁止信任客户端派生值</x:v>
      </x:c>
      <x:c r="L596" s="17" t="str">
        <x:v>按实体version或审计日志保留变更证据</x:v>
      </x:c>
      <x:c r="M596" s="4" t="str">
        <x:v>M4</x:v>
      </x:c>
      <x:c r="N596" s="4" t="str">
        <x:v>待切片细化</x:v>
      </x:c>
      <x:c r="O596" s="4" t="str">
        <x:v>综合方案§13核心数据模型</x:v>
      </x:c>
      <x:c r="P596" s="4" t="str">
        <x:v>DRAFT_FROM_SCHEME</x:v>
      </x:c>
    </x:row>
    <x:row r="597" ht="23" customHeight="1">
      <x:c r="A597" s="4" t="str">
        <x:v>CompanyDeliveryResource</x:v>
      </x:c>
      <x:c r="B597" s="4" t="str">
        <x:v>vehicleNo</x:v>
      </x:c>
      <x:c r="C597" s="17" t="str">
        <x:v>vehicleNo?</x:v>
      </x:c>
      <x:c r="D597" s="4" t="str">
        <x:v>5</x:v>
      </x:c>
      <x:c r="E597" s="4" t="str">
        <x:v>String</x:v>
      </x:c>
      <x:c r="F597" s="4" t="str">
        <x:v>NO</x:v>
      </x:c>
      <x:c r="G597" s="4" t="str">
        <x:v>待M阶段冻结</x:v>
      </x:c>
      <x:c r="H597" s="17" t="str">
        <x:v>INTERNAL</x:v>
      </x:c>
      <x:c r="I597" s="17" t="str">
        <x:v>按资源权限与数据域访问；公开DTO另行白名单</x:v>
      </x:c>
      <x:c r="J597" s="17" t="str">
        <x:v>数据库实体不得直接序列化为响应</x:v>
      </x:c>
      <x:c r="K597" s="17" t="str">
        <x:v>DTO白名单；长度/枚举/归属/状态校验；禁止信任客户端派生值</x:v>
      </x:c>
      <x:c r="L597" s="17" t="str">
        <x:v>按实体version或审计日志保留变更证据</x:v>
      </x:c>
      <x:c r="M597" s="4" t="str">
        <x:v>M4</x:v>
      </x:c>
      <x:c r="N597" s="4" t="str">
        <x:v>待切片细化</x:v>
      </x:c>
      <x:c r="O597" s="4" t="str">
        <x:v>综合方案§13核心数据模型</x:v>
      </x:c>
      <x:c r="P597" s="4" t="str">
        <x:v>DRAFT_FROM_SCHEME</x:v>
      </x:c>
    </x:row>
    <x:row r="598" ht="23" customHeight="1">
      <x:c r="A598" s="4" t="str">
        <x:v>CompanyDeliveryResource</x:v>
      </x:c>
      <x:c r="B598" s="4" t="str">
        <x:v>driverName</x:v>
      </x:c>
      <x:c r="C598" s="17" t="str">
        <x:v>driverName?</x:v>
      </x:c>
      <x:c r="D598" s="4" t="str">
        <x:v>6</x:v>
      </x:c>
      <x:c r="E598" s="4" t="str">
        <x:v>String</x:v>
      </x:c>
      <x:c r="F598" s="4" t="str">
        <x:v>NO</x:v>
      </x:c>
      <x:c r="G598" s="4" t="str">
        <x:v>待M阶段冻结</x:v>
      </x:c>
      <x:c r="H598" s="17" t="str">
        <x:v>INTERNAL</x:v>
      </x:c>
      <x:c r="I598" s="17" t="str">
        <x:v>按资源权限与数据域访问；公开DTO另行白名单</x:v>
      </x:c>
      <x:c r="J598" s="17" t="str">
        <x:v>数据库实体不得直接序列化为响应</x:v>
      </x:c>
      <x:c r="K598" s="17" t="str">
        <x:v>DTO白名单；长度/枚举/归属/状态校验；禁止信任客户端派生值</x:v>
      </x:c>
      <x:c r="L598" s="17" t="str">
        <x:v>按实体version或审计日志保留变更证据</x:v>
      </x:c>
      <x:c r="M598" s="4" t="str">
        <x:v>M4</x:v>
      </x:c>
      <x:c r="N598" s="4" t="str">
        <x:v>待切片细化</x:v>
      </x:c>
      <x:c r="O598" s="4" t="str">
        <x:v>综合方案§13核心数据模型</x:v>
      </x:c>
      <x:c r="P598" s="4" t="str">
        <x:v>DRAFT_FROM_SCHEME</x:v>
      </x:c>
    </x:row>
    <x:row r="599" ht="23" customHeight="1">
      <x:c r="A599" s="4" t="str">
        <x:v>CompanyDeliveryResource</x:v>
      </x:c>
      <x:c r="B599" s="4" t="str">
        <x:v>driverMobileEncrypted</x:v>
      </x:c>
      <x:c r="C599" s="17" t="str">
        <x:v>driverMobileEncrypted?</x:v>
      </x:c>
      <x:c r="D599" s="4" t="str">
        <x:v>7</x:v>
      </x:c>
      <x:c r="E599" s="4" t="str">
        <x:v>String</x:v>
      </x:c>
      <x:c r="F599" s="4" t="str">
        <x:v>NO</x:v>
      </x:c>
      <x:c r="G599" s="4" t="str">
        <x:v>待M阶段冻结</x:v>
      </x:c>
      <x:c r="H599" s="17" t="str">
        <x:v>PERSONAL_OR_SENSITIVE</x:v>
      </x:c>
      <x:c r="I599" s="17" t="str">
        <x:v>按角色、对象归属及配送阶段脱敏/解密</x:v>
      </x:c>
      <x:c r="J599" s="17" t="str">
        <x:v>禁止跨供应商、越阶段或批量无审批导出</x:v>
      </x:c>
      <x:c r="K599" s="17" t="str">
        <x:v>DTO白名单；长度/枚举/归属/状态校验；禁止信任客户端派生值</x:v>
      </x:c>
      <x:c r="L599" s="17" t="str">
        <x:v>按实体version或审计日志保留变更证据</x:v>
      </x:c>
      <x:c r="M599" s="4" t="str">
        <x:v>M4</x:v>
      </x:c>
      <x:c r="N599" s="4" t="str">
        <x:v>待切片细化</x:v>
      </x:c>
      <x:c r="O599" s="4" t="str">
        <x:v>综合方案§13核心数据模型</x:v>
      </x:c>
      <x:c r="P599" s="4" t="str">
        <x:v>DRAFT_FROM_SCHEME</x:v>
      </x:c>
    </x:row>
    <x:row r="600" ht="23" customHeight="1">
      <x:c r="A600" s="4" t="str">
        <x:v>CompanyDeliveryResource</x:v>
      </x:c>
      <x:c r="B600" s="4" t="str">
        <x:v>carrierName</x:v>
      </x:c>
      <x:c r="C600" s="17" t="str">
        <x:v>carrierName?</x:v>
      </x:c>
      <x:c r="D600" s="4" t="str">
        <x:v>8</x:v>
      </x:c>
      <x:c r="E600" s="4" t="str">
        <x:v>String</x:v>
      </x:c>
      <x:c r="F600" s="4" t="str">
        <x:v>NO</x:v>
      </x:c>
      <x:c r="G600" s="4" t="str">
        <x:v>待M阶段冻结</x:v>
      </x:c>
      <x:c r="H600" s="17" t="str">
        <x:v>INTERNAL</x:v>
      </x:c>
      <x:c r="I600" s="17" t="str">
        <x:v>按资源权限与数据域访问；公开DTO另行白名单</x:v>
      </x:c>
      <x:c r="J600" s="17" t="str">
        <x:v>数据库实体不得直接序列化为响应</x:v>
      </x:c>
      <x:c r="K600" s="17" t="str">
        <x:v>DTO白名单；长度/枚举/归属/状态校验；禁止信任客户端派生值</x:v>
      </x:c>
      <x:c r="L600" s="17" t="str">
        <x:v>按实体version或审计日志保留变更证据</x:v>
      </x:c>
      <x:c r="M600" s="4" t="str">
        <x:v>M4</x:v>
      </x:c>
      <x:c r="N600" s="4" t="str">
        <x:v>待切片细化</x:v>
      </x:c>
      <x:c r="O600" s="4" t="str">
        <x:v>综合方案§13核心数据模型</x:v>
      </x:c>
      <x:c r="P600" s="4" t="str">
        <x:v>DRAFT_FROM_SCHEME</x:v>
      </x:c>
    </x:row>
    <x:row r="601" ht="23" customHeight="1">
      <x:c r="A601" s="4" t="str">
        <x:v>CompanyDeliveryResource</x:v>
      </x:c>
      <x:c r="B601" s="4" t="str">
        <x:v>qualificationSnapshot</x:v>
      </x:c>
      <x:c r="C601" s="17" t="str">
        <x:v>qualificationSnapshot?</x:v>
      </x:c>
      <x:c r="D601" s="4" t="str">
        <x:v>9</x:v>
      </x:c>
      <x:c r="E601" s="4" t="str">
        <x:v>Json</x:v>
      </x:c>
      <x:c r="F601" s="4" t="str">
        <x:v>NO</x:v>
      </x:c>
      <x:c r="G601" s="4" t="str">
        <x:v>待M阶段冻结</x:v>
      </x:c>
      <x:c r="H601" s="17" t="str">
        <x:v>INTERNAL</x:v>
      </x:c>
      <x:c r="I601" s="17" t="str">
        <x:v>按资源权限与数据域访问；公开DTO另行白名单</x:v>
      </x:c>
      <x:c r="J601" s="17" t="str">
        <x:v>数据库实体不得直接序列化为响应</x:v>
      </x:c>
      <x:c r="K601" s="17" t="str">
        <x:v>DTO白名单；长度/枚举/归属/状态校验；禁止信任客户端派生值</x:v>
      </x:c>
      <x:c r="L601" s="17" t="str">
        <x:v>按实体version或审计日志保留变更证据</x:v>
      </x:c>
      <x:c r="M601" s="4" t="str">
        <x:v>M4</x:v>
      </x:c>
      <x:c r="N601" s="4" t="str">
        <x:v>待切片细化</x:v>
      </x:c>
      <x:c r="O601" s="4" t="str">
        <x:v>综合方案§13核心数据模型</x:v>
      </x:c>
      <x:c r="P601" s="4" t="str">
        <x:v>DRAFT_FROM_SCHEME</x:v>
      </x:c>
    </x:row>
    <x:row r="602" ht="23" customHeight="1">
      <x:c r="A602" s="4" t="str">
        <x:v>CompanyDeliveryResource</x:v>
      </x:c>
      <x:c r="B602" s="4" t="str">
        <x:v>status</x:v>
      </x:c>
      <x:c r="C602" s="17" t="str">
        <x:v>status</x:v>
      </x:c>
      <x:c r="D602" s="4" t="str">
        <x:v>10</x:v>
      </x:c>
      <x:c r="E602" s="4" t="str">
        <x:v>Enum/String</x:v>
      </x:c>
      <x:c r="F602" s="4" t="str">
        <x:v>YES</x:v>
      </x:c>
      <x:c r="G602" s="4" t="str">
        <x:v>待M阶段冻结</x:v>
      </x:c>
      <x:c r="H602" s="17" t="str">
        <x:v>INTERNAL</x:v>
      </x:c>
      <x:c r="I602" s="17" t="str">
        <x:v>按资源权限与数据域访问；公开DTO另行白名单</x:v>
      </x:c>
      <x:c r="J602" s="17" t="str">
        <x:v>数据库实体不得直接序列化为响应</x:v>
      </x:c>
      <x:c r="K602" s="17" t="str">
        <x:v>DTO白名单；长度/枚举/归属/状态校验；禁止信任客户端派生值</x:v>
      </x:c>
      <x:c r="L602" s="17" t="str">
        <x:v>按实体version或审计日志保留变更证据</x:v>
      </x:c>
      <x:c r="M602" s="4" t="str">
        <x:v>M4</x:v>
      </x:c>
      <x:c r="N602" s="4" t="str">
        <x:v>待切片细化</x:v>
      </x:c>
      <x:c r="O602" s="4" t="str">
        <x:v>综合方案§13核心数据模型</x:v>
      </x:c>
      <x:c r="P602" s="4" t="str">
        <x:v>DRAFT_FROM_SCHEME</x:v>
      </x:c>
    </x:row>
    <x:row r="603" ht="23" customHeight="1">
      <x:c r="A603" s="4" t="str">
        <x:v>SupplierStatement</x:v>
      </x:c>
      <x:c r="B603" s="4" t="str">
        <x:v>id</x:v>
      </x:c>
      <x:c r="C603" s="17" t="str">
        <x:v>id</x:v>
      </x:c>
      <x:c r="D603" s="4" t="str">
        <x:v>1</x:v>
      </x:c>
      <x:c r="E603" s="4" t="str">
        <x:v>String/UUID</x:v>
      </x:c>
      <x:c r="F603" s="4" t="str">
        <x:v>YES</x:v>
      </x:c>
      <x:c r="G603" s="4" t="str">
        <x:v>待M阶段冻结</x:v>
      </x:c>
      <x:c r="H603" s="17" t="str">
        <x:v>INTERNAL</x:v>
      </x:c>
      <x:c r="I603" s="17" t="str">
        <x:v>按资源权限与数据域访问；公开DTO另行白名单</x:v>
      </x:c>
      <x:c r="J603" s="17" t="str">
        <x:v>数据库实体不得直接序列化为响应</x:v>
      </x:c>
      <x:c r="K603" s="17" t="str">
        <x:v>DTO白名单；长度/枚举/归属/状态校验；禁止信任客户端派生值</x:v>
      </x:c>
      <x:c r="L603" s="17" t="str">
        <x:v>追加/版本/快照，不覆盖已生效历史</x:v>
      </x:c>
      <x:c r="M603" s="4" t="str">
        <x:v>M5</x:v>
      </x:c>
      <x:c r="N603" s="4" t="str">
        <x:v>P0-040,P0-041,P0-042,P0-043,P0-060,P0-065</x:v>
      </x:c>
      <x:c r="O603" s="4" t="str">
        <x:v>综合方案§13核心数据模型</x:v>
      </x:c>
      <x:c r="P603" s="4" t="str">
        <x:v>DRAFT_FROM_SCHEME</x:v>
      </x:c>
    </x:row>
    <x:row r="604" ht="23" customHeight="1">
      <x:c r="A604" s="4" t="str">
        <x:v>SupplierStatement</x:v>
      </x:c>
      <x:c r="B604" s="4" t="str">
        <x:v>supplierId</x:v>
      </x:c>
      <x:c r="C604" s="17" t="str">
        <x:v>supplierId</x:v>
      </x:c>
      <x:c r="D604" s="4" t="str">
        <x:v>2</x:v>
      </x:c>
      <x:c r="E604" s="4" t="str">
        <x:v>String/UUID</x:v>
      </x:c>
      <x:c r="F604" s="4" t="str">
        <x:v>YES</x:v>
      </x:c>
      <x:c r="G604" s="4" t="str">
        <x:v>待M阶段冻结</x:v>
      </x:c>
      <x:c r="H604" s="17" t="str">
        <x:v>INTERNAL</x:v>
      </x:c>
      <x:c r="I604" s="17" t="str">
        <x:v>按资源权限与数据域访问；公开DTO另行白名单</x:v>
      </x:c>
      <x:c r="J604" s="17" t="str">
        <x:v>数据库实体不得直接序列化为响应</x:v>
      </x:c>
      <x:c r="K604" s="17" t="str">
        <x:v>DTO白名单；长度/枚举/归属/状态校验；禁止信任客户端派生值</x:v>
      </x:c>
      <x:c r="L604" s="17" t="str">
        <x:v>追加/版本/快照，不覆盖已生效历史</x:v>
      </x:c>
      <x:c r="M604" s="4" t="str">
        <x:v>M5</x:v>
      </x:c>
      <x:c r="N604" s="4" t="str">
        <x:v>P0-040,P0-041,P0-042,P0-043,P0-060,P0-065</x:v>
      </x:c>
      <x:c r="O604" s="4" t="str">
        <x:v>综合方案§13核心数据模型</x:v>
      </x:c>
      <x:c r="P604" s="4" t="str">
        <x:v>DRAFT_FROM_SCHEME</x:v>
      </x:c>
    </x:row>
    <x:row r="605" ht="23" customHeight="1">
      <x:c r="A605" s="4" t="str">
        <x:v>SupplierStatement</x:v>
      </x:c>
      <x:c r="B605" s="4" t="str">
        <x:v>periodStart</x:v>
      </x:c>
      <x:c r="C605" s="17" t="str">
        <x:v>periodStart</x:v>
      </x:c>
      <x:c r="D605" s="4" t="str">
        <x:v>3</x:v>
      </x:c>
      <x:c r="E605" s="4" t="str">
        <x:v>DateTime</x:v>
      </x:c>
      <x:c r="F605" s="4" t="str">
        <x:v>YES</x:v>
      </x:c>
      <x:c r="G605" s="4" t="str">
        <x:v>ISO-8601+明确时区</x:v>
      </x:c>
      <x:c r="H605" s="17" t="str">
        <x:v>INTERNAL</x:v>
      </x:c>
      <x:c r="I605" s="17" t="str">
        <x:v>按资源权限与数据域访问；公开DTO另行白名单</x:v>
      </x:c>
      <x:c r="J605" s="17" t="str">
        <x:v>数据库实体不得直接序列化为响应</x:v>
      </x:c>
      <x:c r="K605" s="17" t="str">
        <x:v>DTO白名单；长度/枚举/归属/状态校验；禁止信任客户端派生值</x:v>
      </x:c>
      <x:c r="L605" s="17" t="str">
        <x:v>追加/版本/快照，不覆盖已生效历史</x:v>
      </x:c>
      <x:c r="M605" s="4" t="str">
        <x:v>M5</x:v>
      </x:c>
      <x:c r="N605" s="4" t="str">
        <x:v>P0-040,P0-041,P0-042,P0-043,P0-060,P0-065</x:v>
      </x:c>
      <x:c r="O605" s="4" t="str">
        <x:v>综合方案§13核心数据模型</x:v>
      </x:c>
      <x:c r="P605" s="4" t="str">
        <x:v>DRAFT_FROM_SCHEME</x:v>
      </x:c>
    </x:row>
    <x:row r="606" ht="23" customHeight="1">
      <x:c r="A606" s="4" t="str">
        <x:v>SupplierStatement</x:v>
      </x:c>
      <x:c r="B606" s="4" t="str">
        <x:v>periodEnd</x:v>
      </x:c>
      <x:c r="C606" s="17" t="str">
        <x:v>periodEnd</x:v>
      </x:c>
      <x:c r="D606" s="4" t="str">
        <x:v>4</x:v>
      </x:c>
      <x:c r="E606" s="4" t="str">
        <x:v>DateTime</x:v>
      </x:c>
      <x:c r="F606" s="4" t="str">
        <x:v>YES</x:v>
      </x:c>
      <x:c r="G606" s="4" t="str">
        <x:v>ISO-8601+明确时区</x:v>
      </x:c>
      <x:c r="H606" s="17" t="str">
        <x:v>INTERNAL</x:v>
      </x:c>
      <x:c r="I606" s="17" t="str">
        <x:v>按资源权限与数据域访问；公开DTO另行白名单</x:v>
      </x:c>
      <x:c r="J606" s="17" t="str">
        <x:v>数据库实体不得直接序列化为响应</x:v>
      </x:c>
      <x:c r="K606" s="17" t="str">
        <x:v>DTO白名单；长度/枚举/归属/状态校验；禁止信任客户端派生值</x:v>
      </x:c>
      <x:c r="L606" s="17" t="str">
        <x:v>追加/版本/快照，不覆盖已生效历史</x:v>
      </x:c>
      <x:c r="M606" s="4" t="str">
        <x:v>M5</x:v>
      </x:c>
      <x:c r="N606" s="4" t="str">
        <x:v>P0-040,P0-041,P0-042,P0-043,P0-060,P0-065</x:v>
      </x:c>
      <x:c r="O606" s="4" t="str">
        <x:v>综合方案§13核心数据模型</x:v>
      </x:c>
      <x:c r="P606" s="4" t="str">
        <x:v>DRAFT_FROM_SCHEME</x:v>
      </x:c>
    </x:row>
    <x:row r="607" ht="23" customHeight="1">
      <x:c r="A607" s="4" t="str">
        <x:v>SupplierStatement</x:v>
      </x:c>
      <x:c r="B607" s="4" t="str">
        <x:v>goodsPayable</x:v>
      </x:c>
      <x:c r="C607" s="17" t="str">
        <x:v>goodsPayable</x:v>
      </x:c>
      <x:c r="D607" s="4" t="str">
        <x:v>5</x:v>
      </x:c>
      <x:c r="E607" s="4" t="str">
        <x:v>Int(分)</x:v>
      </x:c>
      <x:c r="F607" s="4" t="str">
        <x:v>YES</x:v>
      </x:c>
      <x:c r="G607" s="4" t="str">
        <x:v>整数分</x:v>
      </x:c>
      <x:c r="H607" s="17" t="str">
        <x:v>FINANCIAL</x:v>
      </x:c>
      <x:c r="I607" s="17" t="str">
        <x:v>公司财务与必要业务职能；供应商仅本供应商结算视图</x:v>
      </x:c>
      <x:c r="J607" s="17" t="str">
        <x:v>消费者响应仅返回自身交易白名单字段</x:v>
      </x:c>
      <x:c r="K607" s="17" t="str">
        <x:v>DTO白名单；长度/枚举/归属/状态校验；禁止信任客户端派生值</x:v>
      </x:c>
      <x:c r="L607" s="17" t="str">
        <x:v>追加/版本/快照，不覆盖已生效历史</x:v>
      </x:c>
      <x:c r="M607" s="4" t="str">
        <x:v>M5</x:v>
      </x:c>
      <x:c r="N607" s="4" t="str">
        <x:v>P0-040,P0-041,P0-042,P0-043,P0-060,P0-065</x:v>
      </x:c>
      <x:c r="O607" s="4" t="str">
        <x:v>综合方案§13核心数据模型</x:v>
      </x:c>
      <x:c r="P607" s="4" t="str">
        <x:v>DRAFT_FROM_SCHEME</x:v>
      </x:c>
    </x:row>
    <x:row r="608" ht="23" customHeight="1">
      <x:c r="A608" s="4" t="str">
        <x:v>SupplierStatement</x:v>
      </x:c>
      <x:c r="B608" s="4" t="str">
        <x:v>refundDeduction</x:v>
      </x:c>
      <x:c r="C608" s="17" t="str">
        <x:v>refundDeduction</x:v>
      </x:c>
      <x:c r="D608" s="4" t="str">
        <x:v>6</x:v>
      </x:c>
      <x:c r="E608" s="4" t="str">
        <x:v>String</x:v>
      </x:c>
      <x:c r="F608" s="4" t="str">
        <x:v>YES</x:v>
      </x:c>
      <x:c r="G608" s="4" t="str">
        <x:v>待M阶段冻结</x:v>
      </x:c>
      <x:c r="H608" s="17" t="str">
        <x:v>FINANCIAL</x:v>
      </x:c>
      <x:c r="I608" s="17" t="str">
        <x:v>公司财务与必要业务职能；供应商仅本供应商结算视图</x:v>
      </x:c>
      <x:c r="J608" s="17" t="str">
        <x:v>消费者响应仅返回自身交易白名单字段</x:v>
      </x:c>
      <x:c r="K608" s="17" t="str">
        <x:v>DTO白名单；长度/枚举/归属/状态校验；禁止信任客户端派生值</x:v>
      </x:c>
      <x:c r="L608" s="17" t="str">
        <x:v>追加/版本/快照，不覆盖已生效历史</x:v>
      </x:c>
      <x:c r="M608" s="4" t="str">
        <x:v>M5</x:v>
      </x:c>
      <x:c r="N608" s="4" t="str">
        <x:v>P0-040,P0-041,P0-042,P0-043,P0-060,P0-065</x:v>
      </x:c>
      <x:c r="O608" s="4" t="str">
        <x:v>综合方案§13核心数据模型</x:v>
      </x:c>
      <x:c r="P608" s="4" t="str">
        <x:v>DRAFT_FROM_SCHEME</x:v>
      </x:c>
    </x:row>
    <x:row r="609" ht="23" customHeight="1">
      <x:c r="A609" s="4" t="str">
        <x:v>SupplierStatement</x:v>
      </x:c>
      <x:c r="B609" s="4" t="str">
        <x:v>adjustmentAmount</x:v>
      </x:c>
      <x:c r="C609" s="17" t="str">
        <x:v>adjustmentAmount</x:v>
      </x:c>
      <x:c r="D609" s="4" t="str">
        <x:v>7</x:v>
      </x:c>
      <x:c r="E609" s="4" t="str">
        <x:v>Int(分)</x:v>
      </x:c>
      <x:c r="F609" s="4" t="str">
        <x:v>YES</x:v>
      </x:c>
      <x:c r="G609" s="4" t="str">
        <x:v>整数分</x:v>
      </x:c>
      <x:c r="H609" s="17" t="str">
        <x:v>FINANCIAL</x:v>
      </x:c>
      <x:c r="I609" s="17" t="str">
        <x:v>公司财务与必要业务职能；供应商仅本供应商结算视图</x:v>
      </x:c>
      <x:c r="J609" s="17" t="str">
        <x:v>消费者响应仅返回自身交易白名单字段</x:v>
      </x:c>
      <x:c r="K609" s="17" t="str">
        <x:v>DTO白名单；长度/枚举/归属/状态校验；禁止信任客户端派生值</x:v>
      </x:c>
      <x:c r="L609" s="17" t="str">
        <x:v>追加/版本/快照，不覆盖已生效历史</x:v>
      </x:c>
      <x:c r="M609" s="4" t="str">
        <x:v>M5</x:v>
      </x:c>
      <x:c r="N609" s="4" t="str">
        <x:v>P0-040,P0-041,P0-042,P0-043,P0-060,P0-065</x:v>
      </x:c>
      <x:c r="O609" s="4" t="str">
        <x:v>综合方案§13核心数据模型</x:v>
      </x:c>
      <x:c r="P609" s="4" t="str">
        <x:v>DRAFT_FROM_SCHEME</x:v>
      </x:c>
    </x:row>
    <x:row r="610" ht="23" customHeight="1">
      <x:c r="A610" s="4" t="str">
        <x:v>SupplierStatement</x:v>
      </x:c>
      <x:c r="B610" s="4" t="str">
        <x:v>finalPayable</x:v>
      </x:c>
      <x:c r="C610" s="17" t="str">
        <x:v>finalPayable</x:v>
      </x:c>
      <x:c r="D610" s="4" t="str">
        <x:v>8</x:v>
      </x:c>
      <x:c r="E610" s="4" t="str">
        <x:v>Int(分)</x:v>
      </x:c>
      <x:c r="F610" s="4" t="str">
        <x:v>YES</x:v>
      </x:c>
      <x:c r="G610" s="4" t="str">
        <x:v>整数分</x:v>
      </x:c>
      <x:c r="H610" s="17" t="str">
        <x:v>FINANCIAL</x:v>
      </x:c>
      <x:c r="I610" s="17" t="str">
        <x:v>公司财务与必要业务职能；供应商仅本供应商结算视图</x:v>
      </x:c>
      <x:c r="J610" s="17" t="str">
        <x:v>消费者响应仅返回自身交易白名单字段</x:v>
      </x:c>
      <x:c r="K610" s="17" t="str">
        <x:v>DTO白名单；长度/枚举/归属/状态校验；禁止信任客户端派生值</x:v>
      </x:c>
      <x:c r="L610" s="17" t="str">
        <x:v>追加/版本/快照，不覆盖已生效历史</x:v>
      </x:c>
      <x:c r="M610" s="4" t="str">
        <x:v>M5</x:v>
      </x:c>
      <x:c r="N610" s="4" t="str">
        <x:v>P0-040,P0-041,P0-042,P0-043,P0-060,P0-065</x:v>
      </x:c>
      <x:c r="O610" s="4" t="str">
        <x:v>综合方案§13核心数据模型</x:v>
      </x:c>
      <x:c r="P610" s="4" t="str">
        <x:v>DRAFT_FROM_SCHEME</x:v>
      </x:c>
    </x:row>
    <x:row r="611" ht="23" customHeight="1">
      <x:c r="A611" s="4" t="str">
        <x:v>SupplierStatement</x:v>
      </x:c>
      <x:c r="B611" s="4" t="str">
        <x:v>status</x:v>
      </x:c>
      <x:c r="C611" s="17" t="str">
        <x:v>status</x:v>
      </x:c>
      <x:c r="D611" s="4" t="str">
        <x:v>9</x:v>
      </x:c>
      <x:c r="E611" s="4" t="str">
        <x:v>Enum/String</x:v>
      </x:c>
      <x:c r="F611" s="4" t="str">
        <x:v>YES</x:v>
      </x:c>
      <x:c r="G611" s="4" t="str">
        <x:v>待M阶段冻结</x:v>
      </x:c>
      <x:c r="H611" s="17" t="str">
        <x:v>INTERNAL</x:v>
      </x:c>
      <x:c r="I611" s="17" t="str">
        <x:v>按资源权限与数据域访问；公开DTO另行白名单</x:v>
      </x:c>
      <x:c r="J611" s="17" t="str">
        <x:v>数据库实体不得直接序列化为响应</x:v>
      </x:c>
      <x:c r="K611" s="17" t="str">
        <x:v>DTO白名单；长度/枚举/归属/状态校验；禁止信任客户端派生值</x:v>
      </x:c>
      <x:c r="L611" s="17" t="str">
        <x:v>追加/版本/快照，不覆盖已生效历史</x:v>
      </x:c>
      <x:c r="M611" s="4" t="str">
        <x:v>M5</x:v>
      </x:c>
      <x:c r="N611" s="4" t="str">
        <x:v>P0-040,P0-041,P0-042,P0-043,P0-060,P0-065</x:v>
      </x:c>
      <x:c r="O611" s="4" t="str">
        <x:v>综合方案§13核心数据模型</x:v>
      </x:c>
      <x:c r="P611" s="4" t="str">
        <x:v>DRAFT_FROM_SCHEME</x:v>
      </x:c>
    </x:row>
    <x:row r="612" ht="23" customHeight="1">
      <x:c r="A612" s="4" t="str">
        <x:v>SupplierStatement</x:v>
      </x:c>
      <x:c r="B612" s="4" t="str">
        <x:v>version</x:v>
      </x:c>
      <x:c r="C612" s="17" t="str">
        <x:v>version</x:v>
      </x:c>
      <x:c r="D612" s="4" t="str">
        <x:v>10</x:v>
      </x:c>
      <x:c r="E612" s="4" t="str">
        <x:v>Int</x:v>
      </x:c>
      <x:c r="F612" s="4" t="str">
        <x:v>YES</x:v>
      </x:c>
      <x:c r="G612" s="4" t="str">
        <x:v>待M阶段冻结</x:v>
      </x:c>
      <x:c r="H612" s="17" t="str">
        <x:v>INTERNAL</x:v>
      </x:c>
      <x:c r="I612" s="17" t="str">
        <x:v>按资源权限与数据域访问；公开DTO另行白名单</x:v>
      </x:c>
      <x:c r="J612" s="17" t="str">
        <x:v>数据库实体不得直接序列化为响应</x:v>
      </x:c>
      <x:c r="K612" s="17" t="str">
        <x:v>DTO白名单；长度/枚举/归属/状态校验；禁止信任客户端派生值</x:v>
      </x:c>
      <x:c r="L612" s="17" t="str">
        <x:v>追加/版本/快照，不覆盖已生效历史</x:v>
      </x:c>
      <x:c r="M612" s="4" t="str">
        <x:v>M5</x:v>
      </x:c>
      <x:c r="N612" s="4" t="str">
        <x:v>P0-040,P0-041,P0-042,P0-043,P0-060,P0-065</x:v>
      </x:c>
      <x:c r="O612" s="4" t="str">
        <x:v>综合方案§13核心数据模型</x:v>
      </x:c>
      <x:c r="P612" s="4" t="str">
        <x:v>DRAFT_FROM_SCHEME</x:v>
      </x:c>
    </x:row>
    <x:row r="613" ht="23" customHeight="1">
      <x:c r="A613" s="4" t="str">
        <x:v>StatementItem</x:v>
      </x:c>
      <x:c r="B613" s="4" t="str">
        <x:v>id</x:v>
      </x:c>
      <x:c r="C613" s="17" t="str">
        <x:v>id</x:v>
      </x:c>
      <x:c r="D613" s="4" t="str">
        <x:v>1</x:v>
      </x:c>
      <x:c r="E613" s="4" t="str">
        <x:v>String/UUID</x:v>
      </x:c>
      <x:c r="F613" s="4" t="str">
        <x:v>YES</x:v>
      </x:c>
      <x:c r="G613" s="4" t="str">
        <x:v>待M阶段冻结</x:v>
      </x:c>
      <x:c r="H613" s="17" t="str">
        <x:v>INTERNAL</x:v>
      </x:c>
      <x:c r="I613" s="17" t="str">
        <x:v>按资源权限与数据域访问；公开DTO另行白名单</x:v>
      </x:c>
      <x:c r="J613" s="17" t="str">
        <x:v>数据库实体不得直接序列化为响应</x:v>
      </x:c>
      <x:c r="K613" s="17" t="str">
        <x:v>DTO白名单；长度/枚举/归属/状态校验；禁止信任客户端派生值</x:v>
      </x:c>
      <x:c r="L613" s="17" t="str">
        <x:v>追加/版本/快照，不覆盖已生效历史</x:v>
      </x:c>
      <x:c r="M613" s="4" t="str">
        <x:v>M5</x:v>
      </x:c>
      <x:c r="N613" s="4" t="str">
        <x:v>待切片细化</x:v>
      </x:c>
      <x:c r="O613" s="4" t="str">
        <x:v>综合方案§13核心数据模型</x:v>
      </x:c>
      <x:c r="P613" s="4" t="str">
        <x:v>DRAFT_FROM_SCHEME</x:v>
      </x:c>
    </x:row>
    <x:row r="614" ht="23" customHeight="1">
      <x:c r="A614" s="4" t="str">
        <x:v>StatementItem</x:v>
      </x:c>
      <x:c r="B614" s="4" t="str">
        <x:v>statementId</x:v>
      </x:c>
      <x:c r="C614" s="17" t="str">
        <x:v>statementId</x:v>
      </x:c>
      <x:c r="D614" s="4" t="str">
        <x:v>2</x:v>
      </x:c>
      <x:c r="E614" s="4" t="str">
        <x:v>String/UUID</x:v>
      </x:c>
      <x:c r="F614" s="4" t="str">
        <x:v>YES</x:v>
      </x:c>
      <x:c r="G614" s="4" t="str">
        <x:v>待M阶段冻结</x:v>
      </x:c>
      <x:c r="H614" s="17" t="str">
        <x:v>INTERNAL</x:v>
      </x:c>
      <x:c r="I614" s="17" t="str">
        <x:v>按资源权限与数据域访问；公开DTO另行白名单</x:v>
      </x:c>
      <x:c r="J614" s="17" t="str">
        <x:v>数据库实体不得直接序列化为响应</x:v>
      </x:c>
      <x:c r="K614" s="17" t="str">
        <x:v>DTO白名单；长度/枚举/归属/状态校验；禁止信任客户端派生值</x:v>
      </x:c>
      <x:c r="L614" s="17" t="str">
        <x:v>追加/版本/快照，不覆盖已生效历史</x:v>
      </x:c>
      <x:c r="M614" s="4" t="str">
        <x:v>M5</x:v>
      </x:c>
      <x:c r="N614" s="4" t="str">
        <x:v>待切片细化</x:v>
      </x:c>
      <x:c r="O614" s="4" t="str">
        <x:v>综合方案§13核心数据模型</x:v>
      </x:c>
      <x:c r="P614" s="4" t="str">
        <x:v>DRAFT_FROM_SCHEME</x:v>
      </x:c>
    </x:row>
    <x:row r="615" ht="23" customHeight="1">
      <x:c r="A615" s="4" t="str">
        <x:v>StatementItem</x:v>
      </x:c>
      <x:c r="B615" s="4" t="str">
        <x:v>orderItemId</x:v>
      </x:c>
      <x:c r="C615" s="17" t="str">
        <x:v>orderItemId</x:v>
      </x:c>
      <x:c r="D615" s="4" t="str">
        <x:v>3</x:v>
      </x:c>
      <x:c r="E615" s="4" t="str">
        <x:v>String/UUID</x:v>
      </x:c>
      <x:c r="F615" s="4" t="str">
        <x:v>YES</x:v>
      </x:c>
      <x:c r="G615" s="4" t="str">
        <x:v>待M阶段冻结</x:v>
      </x:c>
      <x:c r="H615" s="17" t="str">
        <x:v>INTERNAL</x:v>
      </x:c>
      <x:c r="I615" s="17" t="str">
        <x:v>按资源权限与数据域访问；公开DTO另行白名单</x:v>
      </x:c>
      <x:c r="J615" s="17" t="str">
        <x:v>数据库实体不得直接序列化为响应</x:v>
      </x:c>
      <x:c r="K615" s="17" t="str">
        <x:v>DTO白名单；长度/枚举/归属/状态校验；禁止信任客户端派生值</x:v>
      </x:c>
      <x:c r="L615" s="17" t="str">
        <x:v>追加/版本/快照，不覆盖已生效历史</x:v>
      </x:c>
      <x:c r="M615" s="4" t="str">
        <x:v>M5</x:v>
      </x:c>
      <x:c r="N615" s="4" t="str">
        <x:v>待切片细化</x:v>
      </x:c>
      <x:c r="O615" s="4" t="str">
        <x:v>综合方案§13核心数据模型</x:v>
      </x:c>
      <x:c r="P615" s="4" t="str">
        <x:v>DRAFT_FROM_SCHEME</x:v>
      </x:c>
    </x:row>
    <x:row r="616" ht="23" customHeight="1">
      <x:c r="A616" s="4" t="str">
        <x:v>StatementItem</x:v>
      </x:c>
      <x:c r="B616" s="4" t="str">
        <x:v>type</x:v>
      </x:c>
      <x:c r="C616" s="17" t="str">
        <x:v>type</x:v>
      </x:c>
      <x:c r="D616" s="4" t="str">
        <x:v>4</x:v>
      </x:c>
      <x:c r="E616" s="4" t="str">
        <x:v>Enum/String</x:v>
      </x:c>
      <x:c r="F616" s="4" t="str">
        <x:v>YES</x:v>
      </x:c>
      <x:c r="G616" s="4" t="str">
        <x:v>待M阶段冻结</x:v>
      </x:c>
      <x:c r="H616" s="17" t="str">
        <x:v>INTERNAL</x:v>
      </x:c>
      <x:c r="I616" s="17" t="str">
        <x:v>按资源权限与数据域访问；公开DTO另行白名单</x:v>
      </x:c>
      <x:c r="J616" s="17" t="str">
        <x:v>数据库实体不得直接序列化为响应</x:v>
      </x:c>
      <x:c r="K616" s="17" t="str">
        <x:v>DTO白名单；长度/枚举/归属/状态校验；禁止信任客户端派生值</x:v>
      </x:c>
      <x:c r="L616" s="17" t="str">
        <x:v>追加/版本/快照，不覆盖已生效历史</x:v>
      </x:c>
      <x:c r="M616" s="4" t="str">
        <x:v>M5</x:v>
      </x:c>
      <x:c r="N616" s="4" t="str">
        <x:v>待切片细化</x:v>
      </x:c>
      <x:c r="O616" s="4" t="str">
        <x:v>综合方案§13核心数据模型</x:v>
      </x:c>
      <x:c r="P616" s="4" t="str">
        <x:v>DRAFT_FROM_SCHEME</x:v>
      </x:c>
    </x:row>
    <x:row r="617" ht="23" customHeight="1">
      <x:c r="A617" s="4" t="str">
        <x:v>StatementItem</x:v>
      </x:c>
      <x:c r="B617" s="4" t="str">
        <x:v>amount</x:v>
      </x:c>
      <x:c r="C617" s="17" t="str">
        <x:v>amount</x:v>
      </x:c>
      <x:c r="D617" s="4" t="str">
        <x:v>5</x:v>
      </x:c>
      <x:c r="E617" s="4" t="str">
        <x:v>Int(分)</x:v>
      </x:c>
      <x:c r="F617" s="4" t="str">
        <x:v>YES</x:v>
      </x:c>
      <x:c r="G617" s="4" t="str">
        <x:v>整数分</x:v>
      </x:c>
      <x:c r="H617" s="17" t="str">
        <x:v>FINANCIAL</x:v>
      </x:c>
      <x:c r="I617" s="17" t="str">
        <x:v>公司财务与必要业务职能；供应商仅本供应商结算视图</x:v>
      </x:c>
      <x:c r="J617" s="17" t="str">
        <x:v>消费者响应仅返回自身交易白名单字段</x:v>
      </x:c>
      <x:c r="K617" s="17" t="str">
        <x:v>DTO白名单；长度/枚举/归属/状态校验；禁止信任客户端派生值</x:v>
      </x:c>
      <x:c r="L617" s="17" t="str">
        <x:v>追加/版本/快照，不覆盖已生效历史</x:v>
      </x:c>
      <x:c r="M617" s="4" t="str">
        <x:v>M5</x:v>
      </x:c>
      <x:c r="N617" s="4" t="str">
        <x:v>待切片细化</x:v>
      </x:c>
      <x:c r="O617" s="4" t="str">
        <x:v>综合方案§13核心数据模型</x:v>
      </x:c>
      <x:c r="P617" s="4" t="str">
        <x:v>DRAFT_FROM_SCHEME</x:v>
      </x:c>
    </x:row>
    <x:row r="618" ht="23" customHeight="1">
      <x:c r="A618" s="4" t="str">
        <x:v>StatementItem</x:v>
      </x:c>
      <x:c r="B618" s="4" t="str">
        <x:v>responsibilityType</x:v>
      </x:c>
      <x:c r="C618" s="17" t="str">
        <x:v>responsibilityType</x:v>
      </x:c>
      <x:c r="D618" s="4" t="str">
        <x:v>6</x:v>
      </x:c>
      <x:c r="E618" s="4" t="str">
        <x:v>Enum/String</x:v>
      </x:c>
      <x:c r="F618" s="4" t="str">
        <x:v>YES</x:v>
      </x:c>
      <x:c r="G618" s="4" t="str">
        <x:v>待M阶段冻结</x:v>
      </x:c>
      <x:c r="H618" s="17" t="str">
        <x:v>INTERNAL</x:v>
      </x:c>
      <x:c r="I618" s="17" t="str">
        <x:v>按资源权限与数据域访问；公开DTO另行白名单</x:v>
      </x:c>
      <x:c r="J618" s="17" t="str">
        <x:v>数据库实体不得直接序列化为响应</x:v>
      </x:c>
      <x:c r="K618" s="17" t="str">
        <x:v>DTO白名单；长度/枚举/归属/状态校验；禁止信任客户端派生值</x:v>
      </x:c>
      <x:c r="L618" s="17" t="str">
        <x:v>追加/版本/快照，不覆盖已生效历史</x:v>
      </x:c>
      <x:c r="M618" s="4" t="str">
        <x:v>M5</x:v>
      </x:c>
      <x:c r="N618" s="4" t="str">
        <x:v>待切片细化</x:v>
      </x:c>
      <x:c r="O618" s="4" t="str">
        <x:v>综合方案§13核心数据模型</x:v>
      </x:c>
      <x:c r="P618" s="4" t="str">
        <x:v>DRAFT_FROM_SCHEME</x:v>
      </x:c>
    </x:row>
    <x:row r="619" ht="23" customHeight="1">
      <x:c r="A619" s="4" t="str">
        <x:v>StatementItem</x:v>
      </x:c>
      <x:c r="B619" s="4" t="str">
        <x:v>explanation</x:v>
      </x:c>
      <x:c r="C619" s="17" t="str">
        <x:v>explanation</x:v>
      </x:c>
      <x:c r="D619" s="4" t="str">
        <x:v>7</x:v>
      </x:c>
      <x:c r="E619" s="4" t="str">
        <x:v>String</x:v>
      </x:c>
      <x:c r="F619" s="4" t="str">
        <x:v>YES</x:v>
      </x:c>
      <x:c r="G619" s="4" t="str">
        <x:v>待M阶段冻结</x:v>
      </x:c>
      <x:c r="H619" s="17" t="str">
        <x:v>INTERNAL</x:v>
      </x:c>
      <x:c r="I619" s="17" t="str">
        <x:v>按资源权限与数据域访问；公开DTO另行白名单</x:v>
      </x:c>
      <x:c r="J619" s="17" t="str">
        <x:v>数据库实体不得直接序列化为响应</x:v>
      </x:c>
      <x:c r="K619" s="17" t="str">
        <x:v>DTO白名单；长度/枚举/归属/状态校验；禁止信任客户端派生值</x:v>
      </x:c>
      <x:c r="L619" s="17" t="str">
        <x:v>追加/版本/快照，不覆盖已生效历史</x:v>
      </x:c>
      <x:c r="M619" s="4" t="str">
        <x:v>M5</x:v>
      </x:c>
      <x:c r="N619" s="4" t="str">
        <x:v>待切片细化</x:v>
      </x:c>
      <x:c r="O619" s="4" t="str">
        <x:v>综合方案§13核心数据模型</x:v>
      </x:c>
      <x:c r="P619" s="4" t="str">
        <x:v>DRAFT_FROM_SCHEME</x:v>
      </x:c>
    </x:row>
    <x:row r="620" ht="23" customHeight="1">
      <x:c r="A620" s="4" t="str">
        <x:v>OfflineSettlementRecord</x:v>
      </x:c>
      <x:c r="B620" s="4" t="str">
        <x:v>id</x:v>
      </x:c>
      <x:c r="C620" s="17" t="str">
        <x:v>id</x:v>
      </x:c>
      <x:c r="D620" s="4" t="str">
        <x:v>1</x:v>
      </x:c>
      <x:c r="E620" s="4" t="str">
        <x:v>String/UUID</x:v>
      </x:c>
      <x:c r="F620" s="4" t="str">
        <x:v>YES</x:v>
      </x:c>
      <x:c r="G620" s="4" t="str">
        <x:v>待M阶段冻结</x:v>
      </x:c>
      <x:c r="H620" s="17" t="str">
        <x:v>FINANCIAL</x:v>
      </x:c>
      <x:c r="I620" s="17" t="str">
        <x:v>公司财务与必要业务职能；供应商仅本供应商结算视图</x:v>
      </x:c>
      <x:c r="J620" s="17" t="str">
        <x:v>消费者响应仅返回自身交易白名单字段</x:v>
      </x:c>
      <x:c r="K620" s="17" t="str">
        <x:v>DTO白名单；长度/枚举/归属/状态校验；禁止信任客户端派生值</x:v>
      </x:c>
      <x:c r="L620" s="17" t="str">
        <x:v>按实体version或审计日志保留变更证据</x:v>
      </x:c>
      <x:c r="M620" s="4" t="str">
        <x:v>M5</x:v>
      </x:c>
      <x:c r="N620" s="4" t="str">
        <x:v>待切片细化</x:v>
      </x:c>
      <x:c r="O620" s="4" t="str">
        <x:v>综合方案§13核心数据模型</x:v>
      </x:c>
      <x:c r="P620" s="4" t="str">
        <x:v>DRAFT_FROM_SCHEME</x:v>
      </x:c>
    </x:row>
    <x:row r="621" ht="23" customHeight="1">
      <x:c r="A621" s="4" t="str">
        <x:v>OfflineSettlementRecord</x:v>
      </x:c>
      <x:c r="B621" s="4" t="str">
        <x:v>statementId</x:v>
      </x:c>
      <x:c r="C621" s="17" t="str">
        <x:v>statementId</x:v>
      </x:c>
      <x:c r="D621" s="4" t="str">
        <x:v>2</x:v>
      </x:c>
      <x:c r="E621" s="4" t="str">
        <x:v>String/UUID</x:v>
      </x:c>
      <x:c r="F621" s="4" t="str">
        <x:v>YES</x:v>
      </x:c>
      <x:c r="G621" s="4" t="str">
        <x:v>待M阶段冻结</x:v>
      </x:c>
      <x:c r="H621" s="17" t="str">
        <x:v>FINANCIAL</x:v>
      </x:c>
      <x:c r="I621" s="17" t="str">
        <x:v>公司财务与必要业务职能；供应商仅本供应商结算视图</x:v>
      </x:c>
      <x:c r="J621" s="17" t="str">
        <x:v>消费者响应仅返回自身交易白名单字段</x:v>
      </x:c>
      <x:c r="K621" s="17" t="str">
        <x:v>DTO白名单；长度/枚举/归属/状态校验；禁止信任客户端派生值</x:v>
      </x:c>
      <x:c r="L621" s="17" t="str">
        <x:v>按实体version或审计日志保留变更证据</x:v>
      </x:c>
      <x:c r="M621" s="4" t="str">
        <x:v>M5</x:v>
      </x:c>
      <x:c r="N621" s="4" t="str">
        <x:v>待切片细化</x:v>
      </x:c>
      <x:c r="O621" s="4" t="str">
        <x:v>综合方案§13核心数据模型</x:v>
      </x:c>
      <x:c r="P621" s="4" t="str">
        <x:v>DRAFT_FROM_SCHEME</x:v>
      </x:c>
    </x:row>
    <x:row r="622" ht="23" customHeight="1">
      <x:c r="A622" s="4" t="str">
        <x:v>OfflineSettlementRecord</x:v>
      </x:c>
      <x:c r="B622" s="4" t="str">
        <x:v>paidAmount</x:v>
      </x:c>
      <x:c r="C622" s="17" t="str">
        <x:v>paidAmount</x:v>
      </x:c>
      <x:c r="D622" s="4" t="str">
        <x:v>3</x:v>
      </x:c>
      <x:c r="E622" s="4" t="str">
        <x:v>Int(分)</x:v>
      </x:c>
      <x:c r="F622" s="4" t="str">
        <x:v>YES</x:v>
      </x:c>
      <x:c r="G622" s="4" t="str">
        <x:v>整数分</x:v>
      </x:c>
      <x:c r="H622" s="17" t="str">
        <x:v>FINANCIAL</x:v>
      </x:c>
      <x:c r="I622" s="17" t="str">
        <x:v>公司财务与必要业务职能；供应商仅本供应商结算视图</x:v>
      </x:c>
      <x:c r="J622" s="17" t="str">
        <x:v>消费者响应仅返回自身交易白名单字段</x:v>
      </x:c>
      <x:c r="K622" s="17" t="str">
        <x:v>DTO白名单；长度/枚举/归属/状态校验；禁止信任客户端派生值</x:v>
      </x:c>
      <x:c r="L622" s="17" t="str">
        <x:v>按实体version或审计日志保留变更证据</x:v>
      </x:c>
      <x:c r="M622" s="4" t="str">
        <x:v>M5</x:v>
      </x:c>
      <x:c r="N622" s="4" t="str">
        <x:v>待切片细化</x:v>
      </x:c>
      <x:c r="O622" s="4" t="str">
        <x:v>综合方案§13核心数据模型</x:v>
      </x:c>
      <x:c r="P622" s="4" t="str">
        <x:v>DRAFT_FROM_SCHEME</x:v>
      </x:c>
    </x:row>
    <x:row r="623" ht="23" customHeight="1">
      <x:c r="A623" s="4" t="str">
        <x:v>OfflineSettlementRecord</x:v>
      </x:c>
      <x:c r="B623" s="4" t="str">
        <x:v>paidAt</x:v>
      </x:c>
      <x:c r="C623" s="17" t="str">
        <x:v>paidAt</x:v>
      </x:c>
      <x:c r="D623" s="4" t="str">
        <x:v>4</x:v>
      </x:c>
      <x:c r="E623" s="4" t="str">
        <x:v>DateTime</x:v>
      </x:c>
      <x:c r="F623" s="4" t="str">
        <x:v>YES</x:v>
      </x:c>
      <x:c r="G623" s="4" t="str">
        <x:v>ISO-8601+明确时区</x:v>
      </x:c>
      <x:c r="H623" s="17" t="str">
        <x:v>FINANCIAL</x:v>
      </x:c>
      <x:c r="I623" s="17" t="str">
        <x:v>公司财务与必要业务职能；供应商仅本供应商结算视图</x:v>
      </x:c>
      <x:c r="J623" s="17" t="str">
        <x:v>消费者响应仅返回自身交易白名单字段</x:v>
      </x:c>
      <x:c r="K623" s="17" t="str">
        <x:v>DTO白名单；长度/枚举/归属/状态校验；禁止信任客户端派生值</x:v>
      </x:c>
      <x:c r="L623" s="17" t="str">
        <x:v>按实体version或审计日志保留变更证据</x:v>
      </x:c>
      <x:c r="M623" s="4" t="str">
        <x:v>M5</x:v>
      </x:c>
      <x:c r="N623" s="4" t="str">
        <x:v>待切片细化</x:v>
      </x:c>
      <x:c r="O623" s="4" t="str">
        <x:v>综合方案§13核心数据模型</x:v>
      </x:c>
      <x:c r="P623" s="4" t="str">
        <x:v>DRAFT_FROM_SCHEME</x:v>
      </x:c>
    </x:row>
    <x:row r="624" ht="23" customHeight="1">
      <x:c r="A624" s="4" t="str">
        <x:v>OfflineSettlementRecord</x:v>
      </x:c>
      <x:c r="B624" s="4" t="str">
        <x:v>bankReference</x:v>
      </x:c>
      <x:c r="C624" s="17" t="str">
        <x:v>bankReference</x:v>
      </x:c>
      <x:c r="D624" s="4" t="str">
        <x:v>5</x:v>
      </x:c>
      <x:c r="E624" s="4" t="str">
        <x:v>String</x:v>
      </x:c>
      <x:c r="F624" s="4" t="str">
        <x:v>YES</x:v>
      </x:c>
      <x:c r="G624" s="4" t="str">
        <x:v>待M阶段冻结</x:v>
      </x:c>
      <x:c r="H624" s="17" t="str">
        <x:v>PERSONAL_OR_SENSITIVE</x:v>
      </x:c>
      <x:c r="I624" s="17" t="str">
        <x:v>按角色、对象归属及配送阶段脱敏/解密</x:v>
      </x:c>
      <x:c r="J624" s="17" t="str">
        <x:v>禁止跨供应商、越阶段或批量无审批导出</x:v>
      </x:c>
      <x:c r="K624" s="17" t="str">
        <x:v>DTO白名单；长度/枚举/归属/状态校验；禁止信任客户端派生值</x:v>
      </x:c>
      <x:c r="L624" s="17" t="str">
        <x:v>按实体version或审计日志保留变更证据</x:v>
      </x:c>
      <x:c r="M624" s="4" t="str">
        <x:v>M5</x:v>
      </x:c>
      <x:c r="N624" s="4" t="str">
        <x:v>待切片细化</x:v>
      </x:c>
      <x:c r="O624" s="4" t="str">
        <x:v>综合方案§13核心数据模型</x:v>
      </x:c>
      <x:c r="P624" s="4" t="str">
        <x:v>DRAFT_FROM_SCHEME</x:v>
      </x:c>
    </x:row>
    <x:row r="625" ht="23" customHeight="1">
      <x:c r="A625" s="4" t="str">
        <x:v>OfflineSettlementRecord</x:v>
      </x:c>
      <x:c r="B625" s="4" t="str">
        <x:v>voucherUrl</x:v>
      </x:c>
      <x:c r="C625" s="17" t="str">
        <x:v>voucherUrl</x:v>
      </x:c>
      <x:c r="D625" s="4" t="str">
        <x:v>6</x:v>
      </x:c>
      <x:c r="E625" s="4" t="str">
        <x:v>String</x:v>
      </x:c>
      <x:c r="F625" s="4" t="str">
        <x:v>YES</x:v>
      </x:c>
      <x:c r="G625" s="4" t="str">
        <x:v>待M阶段冻结</x:v>
      </x:c>
      <x:c r="H625" s="17" t="str">
        <x:v>FINANCIAL</x:v>
      </x:c>
      <x:c r="I625" s="17" t="str">
        <x:v>公司财务与必要业务职能；供应商仅本供应商结算视图</x:v>
      </x:c>
      <x:c r="J625" s="17" t="str">
        <x:v>消费者响应仅返回自身交易白名单字段</x:v>
      </x:c>
      <x:c r="K625" s="17" t="str">
        <x:v>DTO白名单；长度/枚举/归属/状态校验；禁止信任客户端派生值</x:v>
      </x:c>
      <x:c r="L625" s="17" t="str">
        <x:v>按实体version或审计日志保留变更证据</x:v>
      </x:c>
      <x:c r="M625" s="4" t="str">
        <x:v>M5</x:v>
      </x:c>
      <x:c r="N625" s="4" t="str">
        <x:v>待切片细化</x:v>
      </x:c>
      <x:c r="O625" s="4" t="str">
        <x:v>综合方案§13核心数据模型</x:v>
      </x:c>
      <x:c r="P625" s="4" t="str">
        <x:v>DRAFT_FROM_SCHEME</x:v>
      </x:c>
    </x:row>
    <x:row r="626" ht="23" customHeight="1">
      <x:c r="A626" s="4" t="str">
        <x:v>OfflineSettlementRecord</x:v>
      </x:c>
      <x:c r="B626" s="4" t="str">
        <x:v>recordedBy</x:v>
      </x:c>
      <x:c r="C626" s="17" t="str">
        <x:v>recordedBy</x:v>
      </x:c>
      <x:c r="D626" s="4" t="str">
        <x:v>7</x:v>
      </x:c>
      <x:c r="E626" s="4" t="str">
        <x:v>String</x:v>
      </x:c>
      <x:c r="F626" s="4" t="str">
        <x:v>YES</x:v>
      </x:c>
      <x:c r="G626" s="4" t="str">
        <x:v>待M阶段冻结</x:v>
      </x:c>
      <x:c r="H626" s="17" t="str">
        <x:v>FINANCIAL</x:v>
      </x:c>
      <x:c r="I626" s="17" t="str">
        <x:v>公司财务与必要业务职能；供应商仅本供应商结算视图</x:v>
      </x:c>
      <x:c r="J626" s="17" t="str">
        <x:v>消费者响应仅返回自身交易白名单字段</x:v>
      </x:c>
      <x:c r="K626" s="17" t="str">
        <x:v>DTO白名单；长度/枚举/归属/状态校验；禁止信任客户端派生值</x:v>
      </x:c>
      <x:c r="L626" s="17" t="str">
        <x:v>按实体version或审计日志保留变更证据</x:v>
      </x:c>
      <x:c r="M626" s="4" t="str">
        <x:v>M5</x:v>
      </x:c>
      <x:c r="N626" s="4" t="str">
        <x:v>待切片细化</x:v>
      </x:c>
      <x:c r="O626" s="4" t="str">
        <x:v>综合方案§13核心数据模型</x:v>
      </x:c>
      <x:c r="P626" s="4" t="str">
        <x:v>DRAFT_FROM_SCHEME</x:v>
      </x:c>
    </x:row>
    <x:row r="627" ht="23" customHeight="1">
      <x:c r="A627" s="4" t="str">
        <x:v>ApprovalTask</x:v>
      </x:c>
      <x:c r="B627" s="4" t="str">
        <x:v>id</x:v>
      </x:c>
      <x:c r="C627" s="17" t="str">
        <x:v>id</x:v>
      </x:c>
      <x:c r="D627" s="4" t="str">
        <x:v>1</x:v>
      </x:c>
      <x:c r="E627" s="4" t="str">
        <x:v>UUID</x:v>
      </x:c>
      <x:c r="F627" s="4" t="str">
        <x:v>YES</x:v>
      </x:c>
      <x:c r="G627" s="4" t="str">
        <x:v>UUID v4 canonical lowercase text</x:v>
      </x:c>
      <x:c r="H627" s="17" t="str">
        <x:v>INTERNAL</x:v>
      </x:c>
      <x:c r="I627" s="17" t="str">
        <x:v>按资源权限与数据域访问；公开DTO另行白名单</x:v>
      </x:c>
      <x:c r="J627" s="17" t="str">
        <x:v>数据库实体不得直接序列化为响应</x:v>
      </x:c>
      <x:c r="K627" s="17" t="str">
        <x:v>server validates type, ownership, state and length; client-derived ownership and authorization are never trusted</x:v>
      </x:c>
      <x:c r="L627" s="17" t="str">
        <x:v>追加/版本/快照，不覆盖已生效历史</x:v>
      </x:c>
      <x:c r="M627" s="4" t="str">
        <x:v>M1</x:v>
      </x:c>
      <x:c r="N627" s="4" t="str">
        <x:v>P0-072,P0-003,P0-045</x:v>
      </x:c>
      <x:c r="O627" s="4" t="str">
        <x:v>综合方案§13核心数据模型与§3自然人职责分离</x:v>
      </x:c>
      <x:c r="P627" s="4" t="str">
        <x:v>FROZEN_M1_000</x:v>
      </x:c>
    </x:row>
    <x:row r="628" ht="23" customHeight="1">
      <x:c r="A628" s="4" t="str">
        <x:v>ApprovalTask</x:v>
      </x:c>
      <x:c r="B628" s="4" t="str">
        <x:v>approvalType</x:v>
      </x:c>
      <x:c r="C628" s="17" t="str">
        <x:v>approvalType</x:v>
      </x:c>
      <x:c r="D628" s="4" t="str">
        <x:v>2</x:v>
      </x:c>
      <x:c r="E628" s="4" t="str">
        <x:v>Enum&lt;SUPPLIER_ONBOARDING|FUNCTIONAL_ACCOUNT_CHANGE|SENSITIVE_EXPORT|SUPPLIER_SENSITIVE_CHANGE&gt;</x:v>
      </x:c>
      <x:c r="F628" s="4" t="str">
        <x:v>YES</x:v>
      </x:c>
      <x:c r="G628" s="4" t="str">
        <x:v>SUPPLIER_ONBOARDING|FUNCTIONAL_ACCOUNT_CHANGE|SENSITIVE_EXPORT|SUPPLIER_SENSITIVE_CHANGE</x:v>
      </x:c>
      <x:c r="H628" s="17" t="str">
        <x:v>INTERNAL</x:v>
      </x:c>
      <x:c r="I628" s="17" t="str">
        <x:v>按资源权限与数据域访问；公开DTO另行白名单</x:v>
      </x:c>
      <x:c r="J628" s="17" t="str">
        <x:v>数据库实体不得直接序列化为响应</x:v>
      </x:c>
      <x:c r="K628" s="17" t="str">
        <x:v>server validates type, ownership, state and length; client-derived ownership and authorization are never trusted</x:v>
      </x:c>
      <x:c r="L628" s="17" t="str">
        <x:v>追加/版本/快照，不覆盖已生效历史</x:v>
      </x:c>
      <x:c r="M628" s="4" t="str">
        <x:v>M1</x:v>
      </x:c>
      <x:c r="N628" s="4" t="str">
        <x:v>P0-072,P0-003,P0-045</x:v>
      </x:c>
      <x:c r="O628" s="4" t="str">
        <x:v>综合方案§13核心数据模型与§3自然人职责分离</x:v>
      </x:c>
      <x:c r="P628" s="4" t="str">
        <x:v>FROZEN_M1_000</x:v>
      </x:c>
    </x:row>
    <x:row r="629" ht="23" customHeight="1">
      <x:c r="A629" s="4" t="str">
        <x:v>ApprovalTask</x:v>
      </x:c>
      <x:c r="B629" s="4" t="str">
        <x:v>objectType</x:v>
      </x:c>
      <x:c r="C629" s="17" t="str">
        <x:v>objectType</x:v>
      </x:c>
      <x:c r="D629" s="4" t="str">
        <x:v>3</x:v>
      </x:c>
      <x:c r="E629" s="4" t="str">
        <x:v>Enum&lt;SUPPLIER|FUNCTIONAL_ACCOUNT|EXPORT_JOB&gt;</x:v>
      </x:c>
      <x:c r="F629" s="4" t="str">
        <x:v>YES</x:v>
      </x:c>
      <x:c r="G629" s="4" t="str">
        <x:v>SUPPLIER|FUNCTIONAL_ACCOUNT|EXPORT_JOB</x:v>
      </x:c>
      <x:c r="H629" s="17" t="str">
        <x:v>INTERNAL</x:v>
      </x:c>
      <x:c r="I629" s="17" t="str">
        <x:v>按资源权限与数据域访问；公开DTO另行白名单</x:v>
      </x:c>
      <x:c r="J629" s="17" t="str">
        <x:v>数据库实体不得直接序列化为响应</x:v>
      </x:c>
      <x:c r="K629" s="17" t="str">
        <x:v>server validates type, ownership, state and length; client-derived ownership and authorization are never trusted</x:v>
      </x:c>
      <x:c r="L629" s="17" t="str">
        <x:v>追加/版本/快照，不覆盖已生效历史</x:v>
      </x:c>
      <x:c r="M629" s="4" t="str">
        <x:v>M1</x:v>
      </x:c>
      <x:c r="N629" s="4" t="str">
        <x:v>P0-072,P0-003,P0-045</x:v>
      </x:c>
      <x:c r="O629" s="4" t="str">
        <x:v>综合方案§13核心数据模型与§3自然人职责分离</x:v>
      </x:c>
      <x:c r="P629" s="4" t="str">
        <x:v>FROZEN_M1_000</x:v>
      </x:c>
    </x:row>
    <x:row r="630" ht="23" customHeight="1">
      <x:c r="A630" s="4" t="str">
        <x:v>ApprovalTask</x:v>
      </x:c>
      <x:c r="B630" s="4" t="str">
        <x:v>objectId</x:v>
      </x:c>
      <x:c r="C630" s="17" t="str">
        <x:v>objectId</x:v>
      </x:c>
      <x:c r="D630" s="4" t="str">
        <x:v>4</x:v>
      </x:c>
      <x:c r="E630" s="4" t="str">
        <x:v>UUID</x:v>
      </x:c>
      <x:c r="F630" s="4" t="str">
        <x:v>YES</x:v>
      </x:c>
      <x:c r="G630" s="4" t="str">
        <x:v>UUID v4 canonical lowercase text</x:v>
      </x:c>
      <x:c r="H630" s="17" t="str">
        <x:v>INTERNAL</x:v>
      </x:c>
      <x:c r="I630" s="17" t="str">
        <x:v>按资源权限与数据域访问；公开DTO另行白名单</x:v>
      </x:c>
      <x:c r="J630" s="17" t="str">
        <x:v>数据库实体不得直接序列化为响应</x:v>
      </x:c>
      <x:c r="K630" s="17" t="str">
        <x:v>server validates type, ownership, state and length; client-derived ownership and authorization are never trusted</x:v>
      </x:c>
      <x:c r="L630" s="17" t="str">
        <x:v>追加/版本/快照，不覆盖已生效历史</x:v>
      </x:c>
      <x:c r="M630" s="4" t="str">
        <x:v>M1</x:v>
      </x:c>
      <x:c r="N630" s="4" t="str">
        <x:v>P0-072,P0-003,P0-045</x:v>
      </x:c>
      <x:c r="O630" s="4" t="str">
        <x:v>综合方案§13核心数据模型与§3自然人职责分离</x:v>
      </x:c>
      <x:c r="P630" s="4" t="str">
        <x:v>FROZEN_M1_000</x:v>
      </x:c>
    </x:row>
    <x:row r="631" ht="23" customHeight="1">
      <x:c r="A631" s="4" t="str">
        <x:v>ApprovalTask</x:v>
      </x:c>
      <x:c r="B631" s="4" t="str">
        <x:v>applicantType</x:v>
      </x:c>
      <x:c r="C631" s="17" t="str">
        <x:v>applicantType</x:v>
      </x:c>
      <x:c r="D631" s="4" t="str">
        <x:v>5</x:v>
      </x:c>
      <x:c r="E631" s="4" t="str">
        <x:v>Enum&lt;COMPANY_USER|SUPPLIER_USER&gt;</x:v>
      </x:c>
      <x:c r="F631" s="4" t="str">
        <x:v>YES</x:v>
      </x:c>
      <x:c r="G631" s="4" t="str">
        <x:v>COMPANY_USER|SUPPLIER_USER</x:v>
      </x:c>
      <x:c r="H631" s="17" t="str">
        <x:v>INTERNAL</x:v>
      </x:c>
      <x:c r="I631" s="17" t="str">
        <x:v>按资源权限与数据域访问；公开DTO另行白名单</x:v>
      </x:c>
      <x:c r="J631" s="17" t="str">
        <x:v>数据库实体不得直接序列化为响应</x:v>
      </x:c>
      <x:c r="K631" s="17" t="str">
        <x:v>server validates type, ownership, state and length; client-derived ownership and authorization are never trusted</x:v>
      </x:c>
      <x:c r="L631" s="17" t="str">
        <x:v>追加/版本/快照，不覆盖已生效历史</x:v>
      </x:c>
      <x:c r="M631" s="4" t="str">
        <x:v>M1</x:v>
      </x:c>
      <x:c r="N631" s="4" t="str">
        <x:v>P0-072,P0-003,P0-045</x:v>
      </x:c>
      <x:c r="O631" s="4" t="str">
        <x:v>综合方案§13核心数据模型与§3自然人职责分离</x:v>
      </x:c>
      <x:c r="P631" s="4" t="str">
        <x:v>FROZEN_M1_000</x:v>
      </x:c>
    </x:row>
    <x:row r="632" ht="23" customHeight="1">
      <x:c r="A632" s="4" t="str">
        <x:v>ApprovalTask</x:v>
      </x:c>
      <x:c r="B632" s="4" t="str">
        <x:v>applicantId</x:v>
      </x:c>
      <x:c r="C632" s="17" t="str">
        <x:v>applicantId</x:v>
      </x:c>
      <x:c r="D632" s="4" t="str">
        <x:v>6</x:v>
      </x:c>
      <x:c r="E632" s="4" t="str">
        <x:v>UUID</x:v>
      </x:c>
      <x:c r="F632" s="4" t="str">
        <x:v>YES</x:v>
      </x:c>
      <x:c r="G632" s="4" t="str">
        <x:v>natural identity UUID; separation key is identityType+identityId</x:v>
      </x:c>
      <x:c r="H632" s="17" t="str">
        <x:v>INTERNAL</x:v>
      </x:c>
      <x:c r="I632" s="17" t="str">
        <x:v>按资源权限与数据域访问；公开DTO另行白名单</x:v>
      </x:c>
      <x:c r="J632" s="17" t="str">
        <x:v>数据库实体不得直接序列化为响应</x:v>
      </x:c>
      <x:c r="K632" s="17" t="str">
        <x:v>copied from the authenticated natural identity and cannot be supplied by the client</x:v>
      </x:c>
      <x:c r="L632" s="17" t="str">
        <x:v>追加/版本/快照，不覆盖已生效历史</x:v>
      </x:c>
      <x:c r="M632" s="4" t="str">
        <x:v>M1</x:v>
      </x:c>
      <x:c r="N632" s="4" t="str">
        <x:v>P0-072,P0-003,P0-045</x:v>
      </x:c>
      <x:c r="O632" s="4" t="str">
        <x:v>综合方案§13核心数据模型与§3自然人职责分离</x:v>
      </x:c>
      <x:c r="P632" s="4" t="str">
        <x:v>FROZEN_M1_000</x:v>
      </x:c>
    </x:row>
    <x:row r="633" ht="23" customHeight="1">
      <x:c r="A633" s="4" t="str">
        <x:v>ApprovalTask</x:v>
      </x:c>
      <x:c r="B633" s="4" t="str">
        <x:v>status</x:v>
      </x:c>
      <x:c r="C633" s="17" t="str">
        <x:v>status</x:v>
      </x:c>
      <x:c r="D633" s="4" t="str">
        <x:v>7</x:v>
      </x:c>
      <x:c r="E633" s="4" t="str">
        <x:v>Enum&lt;PENDING|IN_REVIEW|APPROVED|REJECTED|CANCELLED&gt;</x:v>
      </x:c>
      <x:c r="F633" s="4" t="str">
        <x:v>YES</x:v>
      </x:c>
      <x:c r="G633" s="4" t="str">
        <x:v>PENDING|IN_REVIEW|APPROVED|REJECTED|CANCELLED</x:v>
      </x:c>
      <x:c r="H633" s="17" t="str">
        <x:v>INTERNAL</x:v>
      </x:c>
      <x:c r="I633" s="17" t="str">
        <x:v>按资源权限与数据域访问；公开DTO另行白名单</x:v>
      </x:c>
      <x:c r="J633" s="17" t="str">
        <x:v>数据库实体不得直接序列化为响应</x:v>
      </x:c>
      <x:c r="K633" s="17" t="str">
        <x:v>server validates type, ownership, state and length; client-derived ownership and authorization are never trusted</x:v>
      </x:c>
      <x:c r="L633" s="17" t="str">
        <x:v>追加/版本/快照，不覆盖已生效历史</x:v>
      </x:c>
      <x:c r="M633" s="4" t="str">
        <x:v>M1</x:v>
      </x:c>
      <x:c r="N633" s="4" t="str">
        <x:v>P0-072,P0-003,P0-045</x:v>
      </x:c>
      <x:c r="O633" s="4" t="str">
        <x:v>综合方案§13核心数据模型与§3自然人职责分离</x:v>
      </x:c>
      <x:c r="P633" s="4" t="str">
        <x:v>FROZEN_M1_000</x:v>
      </x:c>
    </x:row>
    <x:row r="634" ht="23" customHeight="1">
      <x:c r="A634" s="4" t="str">
        <x:v>ApprovalTask</x:v>
      </x:c>
      <x:c r="B634" s="4" t="str">
        <x:v>assignedAccountTypeCode</x:v>
      </x:c>
      <x:c r="C634" s="17" t="str">
        <x:v>assignedAccountTypeCode</x:v>
      </x:c>
      <x:c r="D634" s="4" t="str">
        <x:v>8</x:v>
      </x:c>
      <x:c r="E634" s="4" t="str">
        <x:v>Enum&lt;COMPANY_SUPPLIER_OPS|COMPANY_SUPER_ADMIN|COMPANY_AUDIT|SUPPLIER_ACCOUNT_ADMIN&gt;</x:v>
      </x:c>
      <x:c r="F634" s="4" t="str">
        <x:v>YES</x:v>
      </x:c>
      <x:c r="G634" s="4" t="str">
        <x:v>COMPANY_SUPPLIER_OPS|COMPANY_SUPER_ADMIN|COMPANY_AUDIT|SUPPLIER_ACCOUNT_ADMIN</x:v>
      </x:c>
      <x:c r="H634" s="17" t="str">
        <x:v>INTERNAL</x:v>
      </x:c>
      <x:c r="I634" s="17" t="str">
        <x:v>按资源权限与数据域访问；公开DTO另行白名单</x:v>
      </x:c>
      <x:c r="J634" s="17" t="str">
        <x:v>数据库实体不得直接序列化为响应</x:v>
      </x:c>
      <x:c r="K634" s="17" t="str">
        <x:v>server validates type, ownership, state and length; client-derived ownership and authorization are never trusted</x:v>
      </x:c>
      <x:c r="L634" s="17" t="str">
        <x:v>追加/版本/快照，不覆盖已生效历史</x:v>
      </x:c>
      <x:c r="M634" s="4" t="str">
        <x:v>M1</x:v>
      </x:c>
      <x:c r="N634" s="4" t="str">
        <x:v>P0-072,P0-003,P0-045</x:v>
      </x:c>
      <x:c r="O634" s="4" t="str">
        <x:v>综合方案§13核心数据模型与§3自然人职责分离</x:v>
      </x:c>
      <x:c r="P634" s="4" t="str">
        <x:v>FROZEN_M1_000</x:v>
      </x:c>
    </x:row>
    <x:row r="635" ht="23" customHeight="1">
      <x:c r="A635" s="4" t="str">
        <x:v>ApprovalTask</x:v>
      </x:c>
      <x:c r="B635" s="4" t="str">
        <x:v>reviewedBy</x:v>
      </x:c>
      <x:c r="C635" s="17" t="str">
        <x:v>reviewedBy?</x:v>
      </x:c>
      <x:c r="D635" s="4" t="str">
        <x:v>9</x:v>
      </x:c>
      <x:c r="E635" s="4" t="str">
        <x:v>UUID</x:v>
      </x:c>
      <x:c r="F635" s="4" t="str">
        <x:v>NO</x:v>
      </x:c>
      <x:c r="G635" s="4" t="str">
        <x:v>natural identity UUID; separation key is identityType+identityId</x:v>
      </x:c>
      <x:c r="H635" s="17" t="str">
        <x:v>INTERNAL</x:v>
      </x:c>
      <x:c r="I635" s="17" t="str">
        <x:v>按资源权限与数据域访问；公开DTO另行白名单</x:v>
      </x:c>
      <x:c r="J635" s="17" t="str">
        <x:v>数据库实体不得直接序列化为响应</x:v>
      </x:c>
      <x:c r="K635" s="17" t="str">
        <x:v>copied from reviewer natural identity and must differ from applicantId when dual review applies</x:v>
      </x:c>
      <x:c r="L635" s="17" t="str">
        <x:v>追加/版本/快照，不覆盖已生效历史</x:v>
      </x:c>
      <x:c r="M635" s="4" t="str">
        <x:v>M1</x:v>
      </x:c>
      <x:c r="N635" s="4" t="str">
        <x:v>P0-072,P0-003,P0-045</x:v>
      </x:c>
      <x:c r="O635" s="4" t="str">
        <x:v>综合方案§13核心数据模型与§3自然人职责分离</x:v>
      </x:c>
      <x:c r="P635" s="4" t="str">
        <x:v>FROZEN_M1_000</x:v>
      </x:c>
    </x:row>
    <x:row r="636" ht="23" customHeight="1">
      <x:c r="A636" s="4" t="str">
        <x:v>ApprovalTask</x:v>
      </x:c>
      <x:c r="B636" s="4" t="str">
        <x:v>reviewOpinion</x:v>
      </x:c>
      <x:c r="C636" s="17" t="str">
        <x:v>reviewOpinion?</x:v>
      </x:c>
      <x:c r="D636" s="4" t="str">
        <x:v>10</x:v>
      </x:c>
      <x:c r="E636" s="4" t="str">
        <x:v>String</x:v>
      </x:c>
      <x:c r="F636" s="4" t="str">
        <x:v>NO</x:v>
      </x:c>
      <x:c r="G636" s="4" t="str">
        <x:v>1..1000 UTF-8 chars when required by decision</x:v>
      </x:c>
      <x:c r="H636" s="17" t="str">
        <x:v>INTERNAL</x:v>
      </x:c>
      <x:c r="I636" s="17" t="str">
        <x:v>按资源权限与数据域访问；公开DTO另行白名单</x:v>
      </x:c>
      <x:c r="J636" s="17" t="str">
        <x:v>数据库实体不得直接序列化为响应</x:v>
      </x:c>
      <x:c r="K636" s="17" t="str">
        <x:v>server validates type, ownership, state and length; client-derived ownership and authorization are never trusted</x:v>
      </x:c>
      <x:c r="L636" s="17" t="str">
        <x:v>追加/版本/快照，不覆盖已生效历史</x:v>
      </x:c>
      <x:c r="M636" s="4" t="str">
        <x:v>M1</x:v>
      </x:c>
      <x:c r="N636" s="4" t="str">
        <x:v>P0-072,P0-003,P0-045</x:v>
      </x:c>
      <x:c r="O636" s="4" t="str">
        <x:v>综合方案§13核心数据模型与§3自然人职责分离</x:v>
      </x:c>
      <x:c r="P636" s="4" t="str">
        <x:v>FROZEN_M1_000</x:v>
      </x:c>
    </x:row>
    <x:row r="637" ht="23" customHeight="1">
      <x:c r="A637" s="4" t="str">
        <x:v>ApprovalTask</x:v>
      </x:c>
      <x:c r="B637" s="4" t="str">
        <x:v>version</x:v>
      </x:c>
      <x:c r="C637" s="17" t="str">
        <x:v>version</x:v>
      </x:c>
      <x:c r="D637" s="4" t="str">
        <x:v>11</x:v>
      </x:c>
      <x:c r="E637" s="4" t="str">
        <x:v>Int</x:v>
      </x:c>
      <x:c r="F637" s="4" t="str">
        <x:v>YES</x:v>
      </x:c>
      <x:c r="G637" s="4" t="str">
        <x:v>integer &gt;= 0; optimistic-lock token</x:v>
      </x:c>
      <x:c r="H637" s="17" t="str">
        <x:v>INTERNAL</x:v>
      </x:c>
      <x:c r="I637" s="17" t="str">
        <x:v>按资源权限与数据域访问；公开DTO另行白名单</x:v>
      </x:c>
      <x:c r="J637" s="17" t="str">
        <x:v>数据库实体不得直接序列化为响应</x:v>
      </x:c>
      <x:c r="K637" s="17" t="str">
        <x:v>review update must affect exactly one matching version</x:v>
      </x:c>
      <x:c r="L637" s="17" t="str">
        <x:v>追加/版本/快照，不覆盖已生效历史</x:v>
      </x:c>
      <x:c r="M637" s="4" t="str">
        <x:v>M1</x:v>
      </x:c>
      <x:c r="N637" s="4" t="str">
        <x:v>P0-072,P0-003,P0-045</x:v>
      </x:c>
      <x:c r="O637" s="4" t="str">
        <x:v>综合方案§13核心数据模型与§3自然人职责分离</x:v>
      </x:c>
      <x:c r="P637" s="4" t="str">
        <x:v>FROZEN_M1_000</x:v>
      </x:c>
    </x:row>
    <x:row r="638" ht="23" customHeight="1">
      <x:c r="A638" s="4" t="str">
        <x:v>ExportJob</x:v>
      </x:c>
      <x:c r="B638" s="4" t="str">
        <x:v>id</x:v>
      </x:c>
      <x:c r="C638" s="17" t="str">
        <x:v>id</x:v>
      </x:c>
      <x:c r="D638" s="4" t="str">
        <x:v>1</x:v>
      </x:c>
      <x:c r="E638" s="4" t="str">
        <x:v>String/UUID</x:v>
      </x:c>
      <x:c r="F638" s="4" t="str">
        <x:v>YES</x:v>
      </x:c>
      <x:c r="G638" s="4" t="str">
        <x:v>待M阶段冻结</x:v>
      </x:c>
      <x:c r="H638" s="17" t="str">
        <x:v>INTERNAL</x:v>
      </x:c>
      <x:c r="I638" s="17" t="str">
        <x:v>按资源权限与数据域访问；公开DTO另行白名单</x:v>
      </x:c>
      <x:c r="J638" s="17" t="str">
        <x:v>数据库实体不得直接序列化为响应</x:v>
      </x:c>
      <x:c r="K638" s="17" t="str">
        <x:v>DTO白名单；长度/枚举/归属/状态校验；禁止信任客户端派生值</x:v>
      </x:c>
      <x:c r="L638" s="17" t="str">
        <x:v>按实体version或审计日志保留变更证据</x:v>
      </x:c>
      <x:c r="M638" s="4" t="str">
        <x:v>M5</x:v>
      </x:c>
      <x:c r="N638" s="4" t="str">
        <x:v>待切片细化</x:v>
      </x:c>
      <x:c r="O638" s="4" t="str">
        <x:v>综合方案§13核心数据模型</x:v>
      </x:c>
      <x:c r="P638" s="4" t="str">
        <x:v>DRAFT_FROM_SCHEME</x:v>
      </x:c>
    </x:row>
    <x:row r="639" ht="23" customHeight="1">
      <x:c r="A639" s="4" t="str">
        <x:v>ExportJob</x:v>
      </x:c>
      <x:c r="B639" s="4" t="str">
        <x:v>requesterType</x:v>
      </x:c>
      <x:c r="C639" s="17" t="str">
        <x:v>requesterType</x:v>
      </x:c>
      <x:c r="D639" s="4" t="str">
        <x:v>2</x:v>
      </x:c>
      <x:c r="E639" s="4" t="str">
        <x:v>Enum/String</x:v>
      </x:c>
      <x:c r="F639" s="4" t="str">
        <x:v>YES</x:v>
      </x:c>
      <x:c r="G639" s="4" t="str">
        <x:v>待M阶段冻结</x:v>
      </x:c>
      <x:c r="H639" s="17" t="str">
        <x:v>INTERNAL</x:v>
      </x:c>
      <x:c r="I639" s="17" t="str">
        <x:v>按资源权限与数据域访问；公开DTO另行白名单</x:v>
      </x:c>
      <x:c r="J639" s="17" t="str">
        <x:v>数据库实体不得直接序列化为响应</x:v>
      </x:c>
      <x:c r="K639" s="17" t="str">
        <x:v>DTO白名单；长度/枚举/归属/状态校验；禁止信任客户端派生值</x:v>
      </x:c>
      <x:c r="L639" s="17" t="str">
        <x:v>按实体version或审计日志保留变更证据</x:v>
      </x:c>
      <x:c r="M639" s="4" t="str">
        <x:v>M5</x:v>
      </x:c>
      <x:c r="N639" s="4" t="str">
        <x:v>待切片细化</x:v>
      </x:c>
      <x:c r="O639" s="4" t="str">
        <x:v>综合方案§13核心数据模型</x:v>
      </x:c>
      <x:c r="P639" s="4" t="str">
        <x:v>DRAFT_FROM_SCHEME</x:v>
      </x:c>
    </x:row>
    <x:row r="640" ht="23" customHeight="1">
      <x:c r="A640" s="4" t="str">
        <x:v>ExportJob</x:v>
      </x:c>
      <x:c r="B640" s="4" t="str">
        <x:v>requesterId</x:v>
      </x:c>
      <x:c r="C640" s="17" t="str">
        <x:v>requesterId</x:v>
      </x:c>
      <x:c r="D640" s="4" t="str">
        <x:v>3</x:v>
      </x:c>
      <x:c r="E640" s="4" t="str">
        <x:v>String/UUID</x:v>
      </x:c>
      <x:c r="F640" s="4" t="str">
        <x:v>YES</x:v>
      </x:c>
      <x:c r="G640" s="4" t="str">
        <x:v>待M阶段冻结</x:v>
      </x:c>
      <x:c r="H640" s="17" t="str">
        <x:v>INTERNAL</x:v>
      </x:c>
      <x:c r="I640" s="17" t="str">
        <x:v>按资源权限与数据域访问；公开DTO另行白名单</x:v>
      </x:c>
      <x:c r="J640" s="17" t="str">
        <x:v>数据库实体不得直接序列化为响应</x:v>
      </x:c>
      <x:c r="K640" s="17" t="str">
        <x:v>DTO白名单；长度/枚举/归属/状态校验；禁止信任客户端派生值</x:v>
      </x:c>
      <x:c r="L640" s="17" t="str">
        <x:v>按实体version或审计日志保留变更证据</x:v>
      </x:c>
      <x:c r="M640" s="4" t="str">
        <x:v>M5</x:v>
      </x:c>
      <x:c r="N640" s="4" t="str">
        <x:v>待切片细化</x:v>
      </x:c>
      <x:c r="O640" s="4" t="str">
        <x:v>综合方案§13核心数据模型</x:v>
      </x:c>
      <x:c r="P640" s="4" t="str">
        <x:v>DRAFT_FROM_SCHEME</x:v>
      </x:c>
    </x:row>
    <x:row r="641" ht="23" customHeight="1">
      <x:c r="A641" s="4" t="str">
        <x:v>ExportJob</x:v>
      </x:c>
      <x:c r="B641" s="4" t="str">
        <x:v>resource</x:v>
      </x:c>
      <x:c r="C641" s="17" t="str">
        <x:v>resource</x:v>
      </x:c>
      <x:c r="D641" s="4" t="str">
        <x:v>4</x:v>
      </x:c>
      <x:c r="E641" s="4" t="str">
        <x:v>String</x:v>
      </x:c>
      <x:c r="F641" s="4" t="str">
        <x:v>YES</x:v>
      </x:c>
      <x:c r="G641" s="4" t="str">
        <x:v>待M阶段冻结</x:v>
      </x:c>
      <x:c r="H641" s="17" t="str">
        <x:v>INTERNAL</x:v>
      </x:c>
      <x:c r="I641" s="17" t="str">
        <x:v>按资源权限与数据域访问；公开DTO另行白名单</x:v>
      </x:c>
      <x:c r="J641" s="17" t="str">
        <x:v>数据库实体不得直接序列化为响应</x:v>
      </x:c>
      <x:c r="K641" s="17" t="str">
        <x:v>DTO白名单；长度/枚举/归属/状态校验；禁止信任客户端派生值</x:v>
      </x:c>
      <x:c r="L641" s="17" t="str">
        <x:v>按实体version或审计日志保留变更证据</x:v>
      </x:c>
      <x:c r="M641" s="4" t="str">
        <x:v>M5</x:v>
      </x:c>
      <x:c r="N641" s="4" t="str">
        <x:v>待切片细化</x:v>
      </x:c>
      <x:c r="O641" s="4" t="str">
        <x:v>综合方案§13核心数据模型</x:v>
      </x:c>
      <x:c r="P641" s="4" t="str">
        <x:v>DRAFT_FROM_SCHEME</x:v>
      </x:c>
    </x:row>
    <x:row r="642" ht="23" customHeight="1">
      <x:c r="A642" s="4" t="str">
        <x:v>ExportJob</x:v>
      </x:c>
      <x:c r="B642" s="4" t="str">
        <x:v>filterSnapshot</x:v>
      </x:c>
      <x:c r="C642" s="17" t="str">
        <x:v>filterSnapshot</x:v>
      </x:c>
      <x:c r="D642" s="4" t="str">
        <x:v>5</x:v>
      </x:c>
      <x:c r="E642" s="4" t="str">
        <x:v>Json</x:v>
      </x:c>
      <x:c r="F642" s="4" t="str">
        <x:v>YES</x:v>
      </x:c>
      <x:c r="G642" s="4" t="str">
        <x:v>待M阶段冻结</x:v>
      </x:c>
      <x:c r="H642" s="17" t="str">
        <x:v>INTERNAL</x:v>
      </x:c>
      <x:c r="I642" s="17" t="str">
        <x:v>按资源权限与数据域访问；公开DTO另行白名单</x:v>
      </x:c>
      <x:c r="J642" s="17" t="str">
        <x:v>数据库实体不得直接序列化为响应</x:v>
      </x:c>
      <x:c r="K642" s="17" t="str">
        <x:v>DTO白名单；长度/枚举/归属/状态校验；禁止信任客户端派生值</x:v>
      </x:c>
      <x:c r="L642" s="17" t="str">
        <x:v>按实体version或审计日志保留变更证据</x:v>
      </x:c>
      <x:c r="M642" s="4" t="str">
        <x:v>M5</x:v>
      </x:c>
      <x:c r="N642" s="4" t="str">
        <x:v>待切片细化</x:v>
      </x:c>
      <x:c r="O642" s="4" t="str">
        <x:v>综合方案§13核心数据模型</x:v>
      </x:c>
      <x:c r="P642" s="4" t="str">
        <x:v>DRAFT_FROM_SCHEME</x:v>
      </x:c>
    </x:row>
    <x:row r="643" ht="23" customHeight="1">
      <x:c r="A643" s="4" t="str">
        <x:v>ExportJob</x:v>
      </x:c>
      <x:c r="B643" s="4" t="str">
        <x:v>selectedFields</x:v>
      </x:c>
      <x:c r="C643" s="17" t="str">
        <x:v>selectedFields</x:v>
      </x:c>
      <x:c r="D643" s="4" t="str">
        <x:v>6</x:v>
      </x:c>
      <x:c r="E643" s="4" t="str">
        <x:v>String</x:v>
      </x:c>
      <x:c r="F643" s="4" t="str">
        <x:v>YES</x:v>
      </x:c>
      <x:c r="G643" s="4" t="str">
        <x:v>待M阶段冻结</x:v>
      </x:c>
      <x:c r="H643" s="17" t="str">
        <x:v>INTERNAL</x:v>
      </x:c>
      <x:c r="I643" s="17" t="str">
        <x:v>按资源权限与数据域访问；公开DTO另行白名单</x:v>
      </x:c>
      <x:c r="J643" s="17" t="str">
        <x:v>数据库实体不得直接序列化为响应</x:v>
      </x:c>
      <x:c r="K643" s="17" t="str">
        <x:v>DTO白名单；长度/枚举/归属/状态校验；禁止信任客户端派生值</x:v>
      </x:c>
      <x:c r="L643" s="17" t="str">
        <x:v>按实体version或审计日志保留变更证据</x:v>
      </x:c>
      <x:c r="M643" s="4" t="str">
        <x:v>M5</x:v>
      </x:c>
      <x:c r="N643" s="4" t="str">
        <x:v>待切片细化</x:v>
      </x:c>
      <x:c r="O643" s="4" t="str">
        <x:v>综合方案§13核心数据模型</x:v>
      </x:c>
      <x:c r="P643" s="4" t="str">
        <x:v>DRAFT_FROM_SCHEME</x:v>
      </x:c>
    </x:row>
    <x:row r="644" ht="23" customHeight="1">
      <x:c r="A644" s="4" t="str">
        <x:v>ExportJob</x:v>
      </x:c>
      <x:c r="B644" s="4" t="str">
        <x:v>reason</x:v>
      </x:c>
      <x:c r="C644" s="17" t="str">
        <x:v>reason</x:v>
      </x:c>
      <x:c r="D644" s="4" t="str">
        <x:v>7</x:v>
      </x:c>
      <x:c r="E644" s="4" t="str">
        <x:v>String</x:v>
      </x:c>
      <x:c r="F644" s="4" t="str">
        <x:v>YES</x:v>
      </x:c>
      <x:c r="G644" s="4" t="str">
        <x:v>待M阶段冻结</x:v>
      </x:c>
      <x:c r="H644" s="17" t="str">
        <x:v>INTERNAL</x:v>
      </x:c>
      <x:c r="I644" s="17" t="str">
        <x:v>按资源权限与数据域访问；公开DTO另行白名单</x:v>
      </x:c>
      <x:c r="J644" s="17" t="str">
        <x:v>数据库实体不得直接序列化为响应</x:v>
      </x:c>
      <x:c r="K644" s="17" t="str">
        <x:v>DTO白名单；长度/枚举/归属/状态校验；禁止信任客户端派生值</x:v>
      </x:c>
      <x:c r="L644" s="17" t="str">
        <x:v>按实体version或审计日志保留变更证据</x:v>
      </x:c>
      <x:c r="M644" s="4" t="str">
        <x:v>M5</x:v>
      </x:c>
      <x:c r="N644" s="4" t="str">
        <x:v>待切片细化</x:v>
      </x:c>
      <x:c r="O644" s="4" t="str">
        <x:v>综合方案§13核心数据模型</x:v>
      </x:c>
      <x:c r="P644" s="4" t="str">
        <x:v>DRAFT_FROM_SCHEME</x:v>
      </x:c>
    </x:row>
    <x:row r="645" ht="23" customHeight="1">
      <x:c r="A645" s="4" t="str">
        <x:v>ExportJob</x:v>
      </x:c>
      <x:c r="B645" s="4" t="str">
        <x:v>approvalStatus</x:v>
      </x:c>
      <x:c r="C645" s="17" t="str">
        <x:v>approvalStatus</x:v>
      </x:c>
      <x:c r="D645" s="4" t="str">
        <x:v>8</x:v>
      </x:c>
      <x:c r="E645" s="4" t="str">
        <x:v>Enum/String</x:v>
      </x:c>
      <x:c r="F645" s="4" t="str">
        <x:v>YES</x:v>
      </x:c>
      <x:c r="G645" s="4" t="str">
        <x:v>待M阶段冻结</x:v>
      </x:c>
      <x:c r="H645" s="17" t="str">
        <x:v>INTERNAL</x:v>
      </x:c>
      <x:c r="I645" s="17" t="str">
        <x:v>按资源权限与数据域访问；公开DTO另行白名单</x:v>
      </x:c>
      <x:c r="J645" s="17" t="str">
        <x:v>数据库实体不得直接序列化为响应</x:v>
      </x:c>
      <x:c r="K645" s="17" t="str">
        <x:v>DTO白名单；长度/枚举/归属/状态校验；禁止信任客户端派生值</x:v>
      </x:c>
      <x:c r="L645" s="17" t="str">
        <x:v>按实体version或审计日志保留变更证据</x:v>
      </x:c>
      <x:c r="M645" s="4" t="str">
        <x:v>M5</x:v>
      </x:c>
      <x:c r="N645" s="4" t="str">
        <x:v>待切片细化</x:v>
      </x:c>
      <x:c r="O645" s="4" t="str">
        <x:v>综合方案§13核心数据模型</x:v>
      </x:c>
      <x:c r="P645" s="4" t="str">
        <x:v>DRAFT_FROM_SCHEME</x:v>
      </x:c>
    </x:row>
    <x:row r="646" ht="23" customHeight="1">
      <x:c r="A646" s="4" t="str">
        <x:v>ExportJob</x:v>
      </x:c>
      <x:c r="B646" s="4" t="str">
        <x:v>fileUrl</x:v>
      </x:c>
      <x:c r="C646" s="17" t="str">
        <x:v>fileUrl?</x:v>
      </x:c>
      <x:c r="D646" s="4" t="str">
        <x:v>9</x:v>
      </x:c>
      <x:c r="E646" s="4" t="str">
        <x:v>String</x:v>
      </x:c>
      <x:c r="F646" s="4" t="str">
        <x:v>NO</x:v>
      </x:c>
      <x:c r="G646" s="4" t="str">
        <x:v>待M阶段冻结</x:v>
      </x:c>
      <x:c r="H646" s="17" t="str">
        <x:v>INTERNAL</x:v>
      </x:c>
      <x:c r="I646" s="17" t="str">
        <x:v>按资源权限与数据域访问；公开DTO另行白名单</x:v>
      </x:c>
      <x:c r="J646" s="17" t="str">
        <x:v>数据库实体不得直接序列化为响应</x:v>
      </x:c>
      <x:c r="K646" s="17" t="str">
        <x:v>DTO白名单；长度/枚举/归属/状态校验；禁止信任客户端派生值</x:v>
      </x:c>
      <x:c r="L646" s="17" t="str">
        <x:v>按实体version或审计日志保留变更证据</x:v>
      </x:c>
      <x:c r="M646" s="4" t="str">
        <x:v>M5</x:v>
      </x:c>
      <x:c r="N646" s="4" t="str">
        <x:v>待切片细化</x:v>
      </x:c>
      <x:c r="O646" s="4" t="str">
        <x:v>综合方案§13核心数据模型</x:v>
      </x:c>
      <x:c r="P646" s="4" t="str">
        <x:v>DRAFT_FROM_SCHEME</x:v>
      </x:c>
    </x:row>
    <x:row r="647" ht="23" customHeight="1">
      <x:c r="A647" s="4" t="str">
        <x:v>ExportJob</x:v>
      </x:c>
      <x:c r="B647" s="4" t="str">
        <x:v>expiresAt</x:v>
      </x:c>
      <x:c r="C647" s="17" t="str">
        <x:v>expiresAt?</x:v>
      </x:c>
      <x:c r="D647" s="4" t="str">
        <x:v>10</x:v>
      </x:c>
      <x:c r="E647" s="4" t="str">
        <x:v>DateTime</x:v>
      </x:c>
      <x:c r="F647" s="4" t="str">
        <x:v>NO</x:v>
      </x:c>
      <x:c r="G647" s="4" t="str">
        <x:v>ISO-8601+明确时区</x:v>
      </x:c>
      <x:c r="H647" s="17" t="str">
        <x:v>INTERNAL</x:v>
      </x:c>
      <x:c r="I647" s="17" t="str">
        <x:v>按资源权限与数据域访问；公开DTO另行白名单</x:v>
      </x:c>
      <x:c r="J647" s="17" t="str">
        <x:v>数据库实体不得直接序列化为响应</x:v>
      </x:c>
      <x:c r="K647" s="17" t="str">
        <x:v>DTO白名单；长度/枚举/归属/状态校验；禁止信任客户端派生值</x:v>
      </x:c>
      <x:c r="L647" s="17" t="str">
        <x:v>按实体version或审计日志保留变更证据</x:v>
      </x:c>
      <x:c r="M647" s="4" t="str">
        <x:v>M5</x:v>
      </x:c>
      <x:c r="N647" s="4" t="str">
        <x:v>待切片细化</x:v>
      </x:c>
      <x:c r="O647" s="4" t="str">
        <x:v>综合方案§13核心数据模型</x:v>
      </x:c>
      <x:c r="P647" s="4" t="str">
        <x:v>DRAFT_FROM_SCHEME</x:v>
      </x:c>
    </x:row>
    <x:row r="648" ht="23" customHeight="1">
      <x:c r="A648" s="4" t="str">
        <x:v>ExportJob</x:v>
      </x:c>
      <x:c r="B648" s="4" t="str">
        <x:v>status</x:v>
      </x:c>
      <x:c r="C648" s="17" t="str">
        <x:v>status</x:v>
      </x:c>
      <x:c r="D648" s="4" t="str">
        <x:v>11</x:v>
      </x:c>
      <x:c r="E648" s="4" t="str">
        <x:v>Enum/String</x:v>
      </x:c>
      <x:c r="F648" s="4" t="str">
        <x:v>YES</x:v>
      </x:c>
      <x:c r="G648" s="4" t="str">
        <x:v>待M阶段冻结</x:v>
      </x:c>
      <x:c r="H648" s="17" t="str">
        <x:v>INTERNAL</x:v>
      </x:c>
      <x:c r="I648" s="17" t="str">
        <x:v>按资源权限与数据域访问；公开DTO另行白名单</x:v>
      </x:c>
      <x:c r="J648" s="17" t="str">
        <x:v>数据库实体不得直接序列化为响应</x:v>
      </x:c>
      <x:c r="K648" s="17" t="str">
        <x:v>DTO白名单；长度/枚举/归属/状态校验；禁止信任客户端派生值</x:v>
      </x:c>
      <x:c r="L648" s="17" t="str">
        <x:v>按实体version或审计日志保留变更证据</x:v>
      </x:c>
      <x:c r="M648" s="4" t="str">
        <x:v>M5</x:v>
      </x:c>
      <x:c r="N648" s="4" t="str">
        <x:v>待切片细化</x:v>
      </x:c>
      <x:c r="O648" s="4" t="str">
        <x:v>综合方案§13核心数据模型</x:v>
      </x:c>
      <x:c r="P648" s="4" t="str">
        <x:v>DRAFT_FROM_SCHEME</x:v>
      </x:c>
    </x:row>
    <x:row r="649" ht="23" customHeight="1">
      <x:c r="A649" s="4" t="str">
        <x:v>AuditLog</x:v>
      </x:c>
      <x:c r="B649" s="4" t="str">
        <x:v>id</x:v>
      </x:c>
      <x:c r="C649" s="17" t="str">
        <x:v>id</x:v>
      </x:c>
      <x:c r="D649" s="4" t="str">
        <x:v>1</x:v>
      </x:c>
      <x:c r="E649" s="4" t="str">
        <x:v>UUID</x:v>
      </x:c>
      <x:c r="F649" s="4" t="str">
        <x:v>YES</x:v>
      </x:c>
      <x:c r="G649" s="4" t="str">
        <x:v>UUID v4 canonical lowercase text</x:v>
      </x:c>
      <x:c r="H649" s="17" t="str">
        <x:v>INTERNAL</x:v>
      </x:c>
      <x:c r="I649" s="17" t="str">
        <x:v>按资源权限与数据域访问；公开DTO另行白名单</x:v>
      </x:c>
      <x:c r="J649" s="17" t="str">
        <x:v>数据库实体不得直接序列化为响应</x:v>
      </x:c>
      <x:c r="K649" s="17" t="str">
        <x:v>server validates type, ownership, state and length; client-derived ownership and authorization are never trusted</x:v>
      </x:c>
      <x:c r="L649" s="17" t="str">
        <x:v>追加/版本/快照，不覆盖已生效历史</x:v>
      </x:c>
      <x:c r="M649" s="4" t="str">
        <x:v>M1</x:v>
      </x:c>
      <x:c r="N649" s="4" t="str">
        <x:v>P0-045,P0-072</x:v>
      </x:c>
      <x:c r="O649" s="4" t="str">
        <x:v>综合方案§13核心数据模型</x:v>
      </x:c>
      <x:c r="P649" s="4" t="str">
        <x:v>FROZEN_M1_000</x:v>
      </x:c>
    </x:row>
    <x:row r="650" ht="23" customHeight="1">
      <x:c r="A650" s="4" t="str">
        <x:v>AuditLog</x:v>
      </x:c>
      <x:c r="B650" s="4" t="str">
        <x:v>actorType</x:v>
      </x:c>
      <x:c r="C650" s="17" t="str">
        <x:v>actorType</x:v>
      </x:c>
      <x:c r="D650" s="4" t="str">
        <x:v>2</x:v>
      </x:c>
      <x:c r="E650" s="4" t="str">
        <x:v>Enum&lt;COMPANY_USER|SUPPLIER_USER|SYSTEM&gt;</x:v>
      </x:c>
      <x:c r="F650" s="4" t="str">
        <x:v>YES</x:v>
      </x:c>
      <x:c r="G650" s="4" t="str">
        <x:v>COMPANY_USER|SUPPLIER_USER|SYSTEM</x:v>
      </x:c>
      <x:c r="H650" s="17" t="str">
        <x:v>INTERNAL</x:v>
      </x:c>
      <x:c r="I650" s="17" t="str">
        <x:v>按资源权限与数据域访问；公开DTO另行白名单</x:v>
      </x:c>
      <x:c r="J650" s="17" t="str">
        <x:v>数据库实体不得直接序列化为响应</x:v>
      </x:c>
      <x:c r="K650" s="17" t="str">
        <x:v>server validates type, ownership, state and length; client-derived ownership and authorization are never trusted</x:v>
      </x:c>
      <x:c r="L650" s="17" t="str">
        <x:v>追加/版本/快照，不覆盖已生效历史</x:v>
      </x:c>
      <x:c r="M650" s="4" t="str">
        <x:v>M1</x:v>
      </x:c>
      <x:c r="N650" s="4" t="str">
        <x:v>P0-045,P0-072</x:v>
      </x:c>
      <x:c r="O650" s="4" t="str">
        <x:v>综合方案§13核心数据模型</x:v>
      </x:c>
      <x:c r="P650" s="4" t="str">
        <x:v>FROZEN_M1_000</x:v>
      </x:c>
    </x:row>
    <x:row r="651" ht="23" customHeight="1">
      <x:c r="A651" s="4" t="str">
        <x:v>AuditLog</x:v>
      </x:c>
      <x:c r="B651" s="4" t="str">
        <x:v>actorId</x:v>
      </x:c>
      <x:c r="C651" s="17" t="str">
        <x:v>actorId</x:v>
      </x:c>
      <x:c r="D651" s="4" t="str">
        <x:v>3</x:v>
      </x:c>
      <x:c r="E651" s="4" t="str">
        <x:v>UUID</x:v>
      </x:c>
      <x:c r="F651" s="4" t="str">
        <x:v>YES</x:v>
      </x:c>
      <x:c r="G651" s="4" t="str">
        <x:v>UUID v4 canonical lowercase text</x:v>
      </x:c>
      <x:c r="H651" s="17" t="str">
        <x:v>INTERNAL</x:v>
      </x:c>
      <x:c r="I651" s="17" t="str">
        <x:v>按资源权限与数据域访问；公开DTO另行白名单</x:v>
      </x:c>
      <x:c r="J651" s="17" t="str">
        <x:v>数据库实体不得直接序列化为响应</x:v>
      </x:c>
      <x:c r="K651" s="17" t="str">
        <x:v>copied from authenticated natural identity or the fixed SYSTEM identity</x:v>
      </x:c>
      <x:c r="L651" s="17" t="str">
        <x:v>追加/版本/快照，不覆盖已生效历史</x:v>
      </x:c>
      <x:c r="M651" s="4" t="str">
        <x:v>M1</x:v>
      </x:c>
      <x:c r="N651" s="4" t="str">
        <x:v>P0-045,P0-072</x:v>
      </x:c>
      <x:c r="O651" s="4" t="str">
        <x:v>综合方案§13核心数据模型</x:v>
      </x:c>
      <x:c r="P651" s="4" t="str">
        <x:v>FROZEN_M1_000</x:v>
      </x:c>
    </x:row>
    <x:row r="652" ht="23" customHeight="1">
      <x:c r="A652" s="4" t="str">
        <x:v>AuditLog</x:v>
      </x:c>
      <x:c r="B652" s="4" t="str">
        <x:v>action</x:v>
      </x:c>
      <x:c r="C652" s="17" t="str">
        <x:v>action</x:v>
      </x:c>
      <x:c r="D652" s="4" t="str">
        <x:v>4</x:v>
      </x:c>
      <x:c r="E652" s="4" t="str">
        <x:v>Enum&lt;StringCode&gt;</x:v>
      </x:c>
      <x:c r="F652" s="4" t="str">
        <x:v>YES</x:v>
      </x:c>
      <x:c r="G652" s="4" t="str">
        <x:v>stable lowercase code; ^[a-z][a-z0-9_.:-]{1,127}$</x:v>
      </x:c>
      <x:c r="H652" s="17" t="str">
        <x:v>INTERNAL</x:v>
      </x:c>
      <x:c r="I652" s="17" t="str">
        <x:v>按资源权限与数据域访问；公开DTO另行白名单</x:v>
      </x:c>
      <x:c r="J652" s="17" t="str">
        <x:v>数据库实体不得直接序列化为响应</x:v>
      </x:c>
      <x:c r="K652" s="17" t="str">
        <x:v>server validates type, ownership, state and length; client-derived ownership and authorization are never trusted</x:v>
      </x:c>
      <x:c r="L652" s="17" t="str">
        <x:v>追加/版本/快照，不覆盖已生效历史</x:v>
      </x:c>
      <x:c r="M652" s="4" t="str">
        <x:v>M1</x:v>
      </x:c>
      <x:c r="N652" s="4" t="str">
        <x:v>P0-045,P0-072</x:v>
      </x:c>
      <x:c r="O652" s="4" t="str">
        <x:v>综合方案§13核心数据模型</x:v>
      </x:c>
      <x:c r="P652" s="4" t="str">
        <x:v>FROZEN_M1_000</x:v>
      </x:c>
    </x:row>
    <x:row r="653" ht="23" customHeight="1">
      <x:c r="A653" s="4" t="str">
        <x:v>AuditLog</x:v>
      </x:c>
      <x:c r="B653" s="4" t="str">
        <x:v>objectType</x:v>
      </x:c>
      <x:c r="C653" s="17" t="str">
        <x:v>objectType</x:v>
      </x:c>
      <x:c r="D653" s="4" t="str">
        <x:v>5</x:v>
      </x:c>
      <x:c r="E653" s="4" t="str">
        <x:v>Enum&lt;StringCode&gt;</x:v>
      </x:c>
      <x:c r="F653" s="4" t="str">
        <x:v>YES</x:v>
      </x:c>
      <x:c r="G653" s="4" t="str">
        <x:v>schema-constrained scalar</x:v>
      </x:c>
      <x:c r="H653" s="17" t="str">
        <x:v>INTERNAL</x:v>
      </x:c>
      <x:c r="I653" s="17" t="str">
        <x:v>按资源权限与数据域访问；公开DTO另行白名单</x:v>
      </x:c>
      <x:c r="J653" s="17" t="str">
        <x:v>数据库实体不得直接序列化为响应</x:v>
      </x:c>
      <x:c r="K653" s="17" t="str">
        <x:v>server validates type, ownership, state and length; client-derived ownership and authorization are never trusted</x:v>
      </x:c>
      <x:c r="L653" s="17" t="str">
        <x:v>追加/版本/快照，不覆盖已生效历史</x:v>
      </x:c>
      <x:c r="M653" s="4" t="str">
        <x:v>M1</x:v>
      </x:c>
      <x:c r="N653" s="4" t="str">
        <x:v>P0-045,P0-072</x:v>
      </x:c>
      <x:c r="O653" s="4" t="str">
        <x:v>综合方案§13核心数据模型</x:v>
      </x:c>
      <x:c r="P653" s="4" t="str">
        <x:v>FROZEN_M1_000</x:v>
      </x:c>
    </x:row>
    <x:row r="654" ht="23" customHeight="1">
      <x:c r="A654" s="4" t="str">
        <x:v>AuditLog</x:v>
      </x:c>
      <x:c r="B654" s="4" t="str">
        <x:v>objectId</x:v>
      </x:c>
      <x:c r="C654" s="17" t="str">
        <x:v>objectId</x:v>
      </x:c>
      <x:c r="D654" s="4" t="str">
        <x:v>6</x:v>
      </x:c>
      <x:c r="E654" s="4" t="str">
        <x:v>UUID</x:v>
      </x:c>
      <x:c r="F654" s="4" t="str">
        <x:v>YES</x:v>
      </x:c>
      <x:c r="G654" s="4" t="str">
        <x:v>UUID v4 canonical lowercase text</x:v>
      </x:c>
      <x:c r="H654" s="17" t="str">
        <x:v>INTERNAL</x:v>
      </x:c>
      <x:c r="I654" s="17" t="str">
        <x:v>按资源权限与数据域访问；公开DTO另行白名单</x:v>
      </x:c>
      <x:c r="J654" s="17" t="str">
        <x:v>数据库实体不得直接序列化为响应</x:v>
      </x:c>
      <x:c r="K654" s="17" t="str">
        <x:v>server validates type, ownership, state and length; client-derived ownership and authorization are never trusted</x:v>
      </x:c>
      <x:c r="L654" s="17" t="str">
        <x:v>追加/版本/快照，不覆盖已生效历史</x:v>
      </x:c>
      <x:c r="M654" s="4" t="str">
        <x:v>M1</x:v>
      </x:c>
      <x:c r="N654" s="4" t="str">
        <x:v>P0-045,P0-072</x:v>
      </x:c>
      <x:c r="O654" s="4" t="str">
        <x:v>综合方案§13核心数据模型</x:v>
      </x:c>
      <x:c r="P654" s="4" t="str">
        <x:v>FROZEN_M1_000</x:v>
      </x:c>
    </x:row>
    <x:row r="655" ht="23" customHeight="1">
      <x:c r="A655" s="4" t="str">
        <x:v>AuditLog</x:v>
      </x:c>
      <x:c r="B655" s="4" t="str">
        <x:v>beforeSnapshot</x:v>
      </x:c>
      <x:c r="C655" s="17" t="str">
        <x:v>beforeSnapshot</x:v>
      </x:c>
      <x:c r="D655" s="4" t="str">
        <x:v>7</x:v>
      </x:c>
      <x:c r="E655" s="4" t="str">
        <x:v>Json</x:v>
      </x:c>
      <x:c r="F655" s="4" t="str">
        <x:v>YES</x:v>
      </x:c>
      <x:c r="G655" s="4" t="str">
        <x:v>AuditLogBeforeSnapshotSchemaV1</x:v>
      </x:c>
      <x:c r="H655" s="17" t="str">
        <x:v>INTERNAL</x:v>
      </x:c>
      <x:c r="I655" s="17" t="str">
        <x:v>按资源权限与数据域访问；公开DTO另行白名单</x:v>
      </x:c>
      <x:c r="J655" s="17" t="str">
        <x:v>数据库实体不得直接序列化为响应</x:v>
      </x:c>
      <x:c r="K655" s="17" t="str">
        <x:v>sensitive values are masked or omitted before append-only persistence</x:v>
      </x:c>
      <x:c r="L655" s="17" t="str">
        <x:v>追加/版本/快照，不覆盖已生效历史</x:v>
      </x:c>
      <x:c r="M655" s="4" t="str">
        <x:v>M1</x:v>
      </x:c>
      <x:c r="N655" s="4" t="str">
        <x:v>P0-045,P0-072</x:v>
      </x:c>
      <x:c r="O655" s="4" t="str">
        <x:v>综合方案§13核心数据模型</x:v>
      </x:c>
      <x:c r="P655" s="4" t="str">
        <x:v>FROZEN_M1_000</x:v>
      </x:c>
    </x:row>
    <x:row r="656" ht="23" customHeight="1">
      <x:c r="A656" s="4" t="str">
        <x:v>AuditLog</x:v>
      </x:c>
      <x:c r="B656" s="4" t="str">
        <x:v>afterSnapshot</x:v>
      </x:c>
      <x:c r="C656" s="17" t="str">
        <x:v>afterSnapshot</x:v>
      </x:c>
      <x:c r="D656" s="4" t="str">
        <x:v>8</x:v>
      </x:c>
      <x:c r="E656" s="4" t="str">
        <x:v>Json</x:v>
      </x:c>
      <x:c r="F656" s="4" t="str">
        <x:v>YES</x:v>
      </x:c>
      <x:c r="G656" s="4" t="str">
        <x:v>AuditLogAfterSnapshotSchemaV1</x:v>
      </x:c>
      <x:c r="H656" s="17" t="str">
        <x:v>INTERNAL</x:v>
      </x:c>
      <x:c r="I656" s="17" t="str">
        <x:v>按资源权限与数据域访问；公开DTO另行白名单</x:v>
      </x:c>
      <x:c r="J656" s="17" t="str">
        <x:v>数据库实体不得直接序列化为响应</x:v>
      </x:c>
      <x:c r="K656" s="17" t="str">
        <x:v>sensitive values are masked or omitted before append-only persistence</x:v>
      </x:c>
      <x:c r="L656" s="17" t="str">
        <x:v>追加/版本/快照，不覆盖已生效历史</x:v>
      </x:c>
      <x:c r="M656" s="4" t="str">
        <x:v>M1</x:v>
      </x:c>
      <x:c r="N656" s="4" t="str">
        <x:v>P0-045,P0-072</x:v>
      </x:c>
      <x:c r="O656" s="4" t="str">
        <x:v>综合方案§13核心数据模型</x:v>
      </x:c>
      <x:c r="P656" s="4" t="str">
        <x:v>FROZEN_M1_000</x:v>
      </x:c>
    </x:row>
    <x:row r="657" ht="23" customHeight="1">
      <x:c r="A657" s="4" t="str">
        <x:v>AuditLog</x:v>
      </x:c>
      <x:c r="B657" s="4" t="str">
        <x:v>requestId</x:v>
      </x:c>
      <x:c r="C657" s="17" t="str">
        <x:v>requestId</x:v>
      </x:c>
      <x:c r="D657" s="4" t="str">
        <x:v>9</x:v>
      </x:c>
      <x:c r="E657" s="4" t="str">
        <x:v>UUID</x:v>
      </x:c>
      <x:c r="F657" s="4" t="str">
        <x:v>YES</x:v>
      </x:c>
      <x:c r="G657" s="4" t="str">
        <x:v>UUID v4 canonical lowercase text</x:v>
      </x:c>
      <x:c r="H657" s="17" t="str">
        <x:v>INTERNAL</x:v>
      </x:c>
      <x:c r="I657" s="17" t="str">
        <x:v>按资源权限与数据域访问；公开DTO另行白名单</x:v>
      </x:c>
      <x:c r="J657" s="17" t="str">
        <x:v>数据库实体不得直接序列化为响应</x:v>
      </x:c>
      <x:c r="K657" s="17" t="str">
        <x:v>server validates type, ownership, state and length; client-derived ownership and authorization are never trusted</x:v>
      </x:c>
      <x:c r="L657" s="17" t="str">
        <x:v>追加/版本/快照，不覆盖已生效历史</x:v>
      </x:c>
      <x:c r="M657" s="4" t="str">
        <x:v>M1</x:v>
      </x:c>
      <x:c r="N657" s="4" t="str">
        <x:v>P0-045,P0-072</x:v>
      </x:c>
      <x:c r="O657" s="4" t="str">
        <x:v>综合方案§13核心数据模型</x:v>
      </x:c>
      <x:c r="P657" s="4" t="str">
        <x:v>FROZEN_M1_000</x:v>
      </x:c>
    </x:row>
    <x:row r="658" ht="23" customHeight="1">
      <x:c r="A658" s="4" t="str">
        <x:v>AuditLog</x:v>
      </x:c>
      <x:c r="B658" s="4" t="str">
        <x:v>ip</x:v>
      </x:c>
      <x:c r="C658" s="17" t="str">
        <x:v>ip</x:v>
      </x:c>
      <x:c r="D658" s="4" t="str">
        <x:v>10</x:v>
      </x:c>
      <x:c r="E658" s="4" t="str">
        <x:v>String</x:v>
      </x:c>
      <x:c r="F658" s="4" t="str">
        <x:v>YES</x:v>
      </x:c>
      <x:c r="G658" s="4" t="str">
        <x:v>IPv4 or IPv6 text; max 45 chars</x:v>
      </x:c>
      <x:c r="H658" s="17" t="str">
        <x:v>PERSONAL_OR_SENSITIVE</x:v>
      </x:c>
      <x:c r="I658" s="17" t="str">
        <x:v>按角色、对象归属及配送阶段脱敏/解密</x:v>
      </x:c>
      <x:c r="J658" s="17" t="str">
        <x:v>禁止跨供应商、越阶段或批量无审批导出</x:v>
      </x:c>
      <x:c r="K658" s="17" t="str">
        <x:v>server validates type, ownership, state and length; client-derived ownership and authorization are never trusted</x:v>
      </x:c>
      <x:c r="L658" s="17" t="str">
        <x:v>追加/版本/快照，不覆盖已生效历史</x:v>
      </x:c>
      <x:c r="M658" s="4" t="str">
        <x:v>M1</x:v>
      </x:c>
      <x:c r="N658" s="4" t="str">
        <x:v>P0-045,P0-072</x:v>
      </x:c>
      <x:c r="O658" s="4" t="str">
        <x:v>综合方案§13核心数据模型</x:v>
      </x:c>
      <x:c r="P658" s="4" t="str">
        <x:v>FROZEN_M1_000</x:v>
      </x:c>
    </x:row>
    <x:row r="659" ht="23" customHeight="1">
      <x:c r="A659" s="5" t="str">
        <x:v>AuditLog</x:v>
      </x:c>
      <x:c r="B659" s="5" t="str">
        <x:v>occurredAt</x:v>
      </x:c>
      <x:c r="C659" s="18" t="str">
        <x:v>occurredAt</x:v>
      </x:c>
      <x:c r="D659" s="5" t="str">
        <x:v>11</x:v>
      </x:c>
      <x:c r="E659" s="5" t="str">
        <x:v>DateTime</x:v>
      </x:c>
      <x:c r="F659" s="5" t="str">
        <x:v>YES</x:v>
      </x:c>
      <x:c r="G659" s="5" t="str">
        <x:v>ISO-8601 UTC timestamp</x:v>
      </x:c>
      <x:c r="H659" s="18" t="str">
        <x:v>INTERNAL</x:v>
      </x:c>
      <x:c r="I659" s="18" t="str">
        <x:v>按资源权限与数据域访问；公开DTO另行白名单</x:v>
      </x:c>
      <x:c r="J659" s="18" t="str">
        <x:v>数据库实体不得直接序列化为响应</x:v>
      </x:c>
      <x:c r="K659" s="18" t="str">
        <x:v>server validates type, ownership, state and length; client-derived ownership and authorization are never trusted</x:v>
      </x:c>
      <x:c r="L659" s="18" t="str">
        <x:v>追加/版本/快照，不覆盖已生效历史</x:v>
      </x:c>
      <x:c r="M659" s="5" t="str">
        <x:v>M1</x:v>
      </x:c>
      <x:c r="N659" s="5" t="str">
        <x:v>P0-045,P0-072</x:v>
      </x:c>
      <x:c r="O659" s="5" t="str">
        <x:v>综合方案§13核心数据模型</x:v>
      </x:c>
      <x:c r="P659" s="5" t="str">
        <x:v>FROZEN_M1_000</x:v>
      </x:c>
    </x:row>
    <x:row r="660">
      <x:c r="A660"/>
      <x:c r="B660"/>
      <x:c r="C660"/>
      <x:c r="D660"/>
      <x:c r="E660"/>
      <x:c r="F660"/>
      <x:c r="G660"/>
      <x:c r="H660"/>
      <x:c r="I660"/>
      <x:c r="J660"/>
      <x:c r="K660"/>
      <x:c r="L660"/>
      <x:c r="M660"/>
      <x:c r="N660"/>
      <x:c r="O660"/>
      <x:c r="P660"/>
    </x:row>
    <x:row r="661">
      <x:c r="A661"/>
      <x:c r="B661"/>
      <x:c r="C661"/>
      <x:c r="D661"/>
      <x:c r="E661"/>
      <x:c r="F661"/>
      <x:c r="G661"/>
      <x:c r="H661"/>
      <x:c r="I661"/>
      <x:c r="J661"/>
      <x:c r="K661"/>
      <x:c r="L661"/>
      <x:c r="M661"/>
      <x:c r="N661"/>
      <x:c r="O661"/>
      <x:c r="P661"/>
    </x:row>
    <x:row r="662">
      <x:c r="A662"/>
      <x:c r="B662"/>
      <x:c r="C662"/>
      <x:c r="D662"/>
      <x:c r="E662"/>
      <x:c r="F662"/>
      <x:c r="G662"/>
      <x:c r="H662"/>
      <x:c r="I662"/>
      <x:c r="J662"/>
      <x:c r="K662"/>
      <x:c r="L662"/>
      <x:c r="M662"/>
      <x:c r="N662"/>
      <x:c r="O662"/>
      <x:c r="P662"/>
    </x:row>
    <x:row r="663">
      <x:c r="A663"/>
      <x:c r="B663"/>
      <x:c r="C663"/>
      <x:c r="D663"/>
      <x:c r="E663"/>
      <x:c r="F663"/>
      <x:c r="G663"/>
      <x:c r="H663"/>
      <x:c r="I663"/>
      <x:c r="J663"/>
      <x:c r="K663"/>
      <x:c r="L663"/>
      <x:c r="M663"/>
      <x:c r="N663"/>
      <x:c r="O663"/>
      <x:c r="P663"/>
    </x:row>
    <x:row r="664">
      <x:c r="A664"/>
      <x:c r="B664"/>
      <x:c r="C664"/>
      <x:c r="D664"/>
      <x:c r="E664"/>
      <x:c r="F664"/>
      <x:c r="G664"/>
      <x:c r="H664"/>
      <x:c r="I664"/>
      <x:c r="J664"/>
      <x:c r="K664"/>
      <x:c r="L664"/>
      <x:c r="M664"/>
      <x:c r="N664"/>
      <x:c r="O664"/>
      <x:c r="P664"/>
    </x:row>
    <x:row r="665">
      <x:c r="A665"/>
      <x:c r="B665"/>
      <x:c r="C665"/>
      <x:c r="D665"/>
      <x:c r="E665"/>
      <x:c r="F665"/>
      <x:c r="G665"/>
      <x:c r="H665"/>
      <x:c r="I665"/>
      <x:c r="J665"/>
      <x:c r="K665"/>
      <x:c r="L665"/>
      <x:c r="M665"/>
      <x:c r="N665"/>
      <x:c r="O665"/>
      <x:c r="P665"/>
    </x:row>
    <x:row r="666">
      <x:c r="A666"/>
      <x:c r="B666"/>
      <x:c r="C666"/>
      <x:c r="D666"/>
      <x:c r="E666"/>
      <x:c r="F666"/>
      <x:c r="G666"/>
      <x:c r="H666"/>
      <x:c r="I666"/>
      <x:c r="J666"/>
      <x:c r="K666"/>
      <x:c r="L666"/>
      <x:c r="M666"/>
      <x:c r="N666"/>
      <x:c r="O666"/>
      <x:c r="P666"/>
    </x:row>
    <x:row r="667">
      <x:c r="A667"/>
      <x:c r="B667"/>
      <x:c r="C667"/>
      <x:c r="D667"/>
      <x:c r="E667"/>
      <x:c r="F667"/>
      <x:c r="G667"/>
      <x:c r="H667"/>
      <x:c r="I667"/>
      <x:c r="J667"/>
      <x:c r="K667"/>
      <x:c r="L667"/>
      <x:c r="M667"/>
      <x:c r="N667"/>
      <x:c r="O667"/>
      <x:c r="P667"/>
    </x:row>
    <x:row r="668">
      <x:c r="A668"/>
      <x:c r="B668"/>
      <x:c r="C668"/>
      <x:c r="D668"/>
      <x:c r="E668"/>
      <x:c r="F668"/>
      <x:c r="G668"/>
      <x:c r="H668"/>
      <x:c r="I668"/>
      <x:c r="J668"/>
      <x:c r="K668"/>
      <x:c r="L668"/>
      <x:c r="M668"/>
      <x:c r="N668"/>
      <x:c r="O668"/>
      <x:c r="P668"/>
    </x:row>
    <x:row r="669">
      <x:c r="A669"/>
      <x:c r="B669"/>
      <x:c r="C669"/>
      <x:c r="D669"/>
      <x:c r="E669"/>
      <x:c r="F669"/>
      <x:c r="G669"/>
      <x:c r="H669"/>
      <x:c r="I669"/>
      <x:c r="J669"/>
      <x:c r="K669"/>
      <x:c r="L669"/>
      <x:c r="M669"/>
      <x:c r="N669"/>
      <x:c r="O669"/>
      <x:c r="P669"/>
    </x:row>
    <x:row r="670">
      <x:c r="A670"/>
      <x:c r="B670"/>
      <x:c r="C670"/>
      <x:c r="D670"/>
      <x:c r="E670"/>
      <x:c r="F670"/>
      <x:c r="G670"/>
      <x:c r="H670"/>
      <x:c r="I670"/>
      <x:c r="J670"/>
      <x:c r="K670"/>
      <x:c r="L670"/>
      <x:c r="M670"/>
      <x:c r="N670"/>
      <x:c r="O670"/>
      <x:c r="P670"/>
    </x:row>
    <x:row r="671">
      <x:c r="A671"/>
      <x:c r="B671"/>
      <x:c r="C671"/>
      <x:c r="D671"/>
      <x:c r="E671"/>
      <x:c r="F671"/>
      <x:c r="G671"/>
      <x:c r="H671"/>
      <x:c r="I671"/>
      <x:c r="J671"/>
      <x:c r="K671"/>
      <x:c r="L671"/>
      <x:c r="M671"/>
      <x:c r="N671"/>
      <x:c r="O671"/>
      <x:c r="P671"/>
    </x:row>
    <x:row r="672">
      <x:c r="A672"/>
      <x:c r="B672"/>
      <x:c r="C672"/>
      <x:c r="D672"/>
      <x:c r="E672"/>
      <x:c r="F672"/>
      <x:c r="G672"/>
      <x:c r="H672"/>
      <x:c r="I672"/>
      <x:c r="J672"/>
      <x:c r="K672"/>
      <x:c r="L672"/>
      <x:c r="M672"/>
      <x:c r="N672"/>
      <x:c r="O672"/>
      <x:c r="P672"/>
    </x:row>
    <x:row r="673">
      <x:c r="A673"/>
      <x:c r="B673"/>
      <x:c r="C673"/>
      <x:c r="D673"/>
      <x:c r="E673"/>
      <x:c r="F673"/>
      <x:c r="G673"/>
      <x:c r="H673"/>
      <x:c r="I673"/>
      <x:c r="J673"/>
      <x:c r="K673"/>
      <x:c r="L673"/>
      <x:c r="M673"/>
      <x:c r="N673"/>
      <x:c r="O673"/>
      <x:c r="P673"/>
    </x:row>
    <x:row r="674">
      <x:c r="A674"/>
      <x:c r="B674"/>
      <x:c r="C674"/>
      <x:c r="D674"/>
      <x:c r="E674"/>
      <x:c r="F674"/>
      <x:c r="G674"/>
      <x:c r="H674"/>
      <x:c r="I674"/>
      <x:c r="J674"/>
      <x:c r="K674"/>
      <x:c r="L674"/>
      <x:c r="M674"/>
      <x:c r="N674"/>
      <x:c r="O674"/>
      <x:c r="P674"/>
    </x:row>
    <x:row r="675">
      <x:c r="A675"/>
      <x:c r="B675"/>
      <x:c r="C675"/>
      <x:c r="D675"/>
      <x:c r="E675"/>
      <x:c r="F675"/>
      <x:c r="G675"/>
      <x:c r="H675"/>
      <x:c r="I675"/>
      <x:c r="J675"/>
      <x:c r="K675"/>
      <x:c r="L675"/>
      <x:c r="M675"/>
      <x:c r="N675"/>
      <x:c r="O675"/>
      <x:c r="P675"/>
    </x:row>
    <x:row r="676">
      <x:c r="A676"/>
      <x:c r="B676"/>
      <x:c r="C676"/>
      <x:c r="D676"/>
      <x:c r="E676"/>
      <x:c r="F676"/>
      <x:c r="G676"/>
      <x:c r="H676"/>
      <x:c r="I676"/>
      <x:c r="J676"/>
      <x:c r="K676"/>
      <x:c r="L676"/>
      <x:c r="M676"/>
      <x:c r="N676"/>
      <x:c r="O676"/>
      <x:c r="P676"/>
    </x:row>
    <x:row r="677">
      <x:c r="A677"/>
      <x:c r="B677"/>
      <x:c r="C677"/>
      <x:c r="D677"/>
      <x:c r="E677"/>
      <x:c r="F677"/>
      <x:c r="G677"/>
      <x:c r="H677"/>
      <x:c r="I677"/>
      <x:c r="J677"/>
      <x:c r="K677"/>
      <x:c r="L677"/>
      <x:c r="M677"/>
      <x:c r="N677"/>
      <x:c r="O677"/>
      <x:c r="P677"/>
    </x:row>
    <x:row r="678">
      <x:c r="A678"/>
      <x:c r="B678"/>
      <x:c r="C678"/>
      <x:c r="D678"/>
      <x:c r="E678"/>
      <x:c r="F678"/>
      <x:c r="G678"/>
      <x:c r="H678"/>
      <x:c r="I678"/>
      <x:c r="J678"/>
      <x:c r="K678"/>
      <x:c r="L678"/>
      <x:c r="M678"/>
      <x:c r="N678"/>
      <x:c r="O678"/>
      <x:c r="P678"/>
    </x:row>
    <x:row r="679">
      <x:c r="A679"/>
      <x:c r="B679"/>
      <x:c r="C679"/>
      <x:c r="D679"/>
      <x:c r="E679"/>
      <x:c r="F679"/>
      <x:c r="G679"/>
      <x:c r="H679"/>
      <x:c r="I679"/>
      <x:c r="J679"/>
      <x:c r="K679"/>
      <x:c r="L679"/>
      <x:c r="M679"/>
      <x:c r="N679"/>
      <x:c r="O679"/>
      <x:c r="P679"/>
    </x:row>
    <x:row r="680">
      <x:c r="A680"/>
      <x:c r="B680"/>
      <x:c r="C680"/>
      <x:c r="D680"/>
      <x:c r="E680"/>
      <x:c r="F680"/>
      <x:c r="G680"/>
      <x:c r="H680"/>
      <x:c r="I680"/>
      <x:c r="J680"/>
      <x:c r="K680"/>
      <x:c r="L680"/>
      <x:c r="M680"/>
      <x:c r="N680"/>
      <x:c r="O680"/>
      <x:c r="P680"/>
    </x:row>
    <x:row r="681">
      <x:c r="A681"/>
      <x:c r="B681"/>
      <x:c r="C681"/>
      <x:c r="D681"/>
      <x:c r="E681"/>
      <x:c r="F681"/>
      <x:c r="G681"/>
      <x:c r="H681"/>
      <x:c r="I681"/>
      <x:c r="J681"/>
      <x:c r="K681"/>
      <x:c r="L681"/>
      <x:c r="M681"/>
      <x:c r="N681"/>
      <x:c r="O681"/>
      <x:c r="P681"/>
    </x:row>
    <x:row r="682">
      <x:c r="A682"/>
      <x:c r="B682"/>
      <x:c r="C682"/>
      <x:c r="D682"/>
      <x:c r="E682"/>
      <x:c r="F682"/>
      <x:c r="G682"/>
      <x:c r="H682"/>
      <x:c r="I682"/>
      <x:c r="J682"/>
      <x:c r="K682"/>
      <x:c r="L682"/>
      <x:c r="M682"/>
      <x:c r="N682"/>
      <x:c r="O682"/>
      <x:c r="P682"/>
    </x:row>
    <x:row r="683">
      <x:c r="A683"/>
      <x:c r="B683"/>
      <x:c r="C683"/>
      <x:c r="D683"/>
      <x:c r="E683"/>
      <x:c r="F683"/>
      <x:c r="G683"/>
      <x:c r="H683"/>
      <x:c r="I683"/>
      <x:c r="J683"/>
      <x:c r="K683"/>
      <x:c r="L683"/>
      <x:c r="M683"/>
      <x:c r="N683"/>
      <x:c r="O683"/>
      <x:c r="P683"/>
    </x:row>
    <x:row r="684">
      <x:c r="A684"/>
      <x:c r="B684"/>
      <x:c r="C684"/>
      <x:c r="D684"/>
      <x:c r="E684"/>
      <x:c r="F684"/>
      <x:c r="G684"/>
      <x:c r="H684"/>
      <x:c r="I684"/>
      <x:c r="J684"/>
      <x:c r="K684"/>
      <x:c r="L684"/>
      <x:c r="M684"/>
      <x:c r="N684"/>
      <x:c r="O684"/>
      <x:c r="P684"/>
    </x:row>
    <x:row r="685">
      <x:c r="A685"/>
      <x:c r="B685"/>
      <x:c r="C685"/>
      <x:c r="D685"/>
      <x:c r="E685"/>
      <x:c r="F685"/>
      <x:c r="G685"/>
      <x:c r="H685"/>
      <x:c r="I685"/>
      <x:c r="J685"/>
      <x:c r="K685"/>
      <x:c r="L685"/>
      <x:c r="M685"/>
      <x:c r="N685"/>
      <x:c r="O685"/>
      <x:c r="P685"/>
    </x:row>
    <x:row r="686">
      <x:c r="A686"/>
      <x:c r="B686"/>
      <x:c r="C686"/>
      <x:c r="D686"/>
      <x:c r="E686"/>
      <x:c r="F686"/>
      <x:c r="G686"/>
      <x:c r="H686"/>
      <x:c r="I686"/>
      <x:c r="J686"/>
      <x:c r="K686"/>
      <x:c r="L686"/>
      <x:c r="M686"/>
      <x:c r="N686"/>
      <x:c r="O686"/>
      <x:c r="P686"/>
    </x:row>
    <x:row r="687">
      <x:c r="A687"/>
      <x:c r="B687"/>
      <x:c r="C687"/>
      <x:c r="D687"/>
      <x:c r="E687"/>
      <x:c r="F687"/>
      <x:c r="G687"/>
      <x:c r="H687"/>
      <x:c r="I687"/>
      <x:c r="J687"/>
      <x:c r="K687"/>
      <x:c r="L687"/>
      <x:c r="M687"/>
      <x:c r="N687"/>
      <x:c r="O687"/>
      <x:c r="P687"/>
    </x:row>
    <x:row r="688">
      <x:c r="A688"/>
      <x:c r="B688"/>
      <x:c r="C688"/>
      <x:c r="D688"/>
      <x:c r="E688"/>
      <x:c r="F688"/>
      <x:c r="G688"/>
      <x:c r="H688"/>
      <x:c r="I688"/>
      <x:c r="J688"/>
      <x:c r="K688"/>
      <x:c r="L688"/>
      <x:c r="M688"/>
      <x:c r="N688"/>
      <x:c r="O688"/>
      <x:c r="P688"/>
    </x:row>
    <x:row r="689">
      <x:c r="A689"/>
      <x:c r="B689"/>
      <x:c r="C689"/>
      <x:c r="D689"/>
      <x:c r="E689"/>
      <x:c r="F689"/>
      <x:c r="G689"/>
      <x:c r="H689"/>
      <x:c r="I689"/>
      <x:c r="J689"/>
      <x:c r="K689"/>
      <x:c r="L689"/>
      <x:c r="M689"/>
      <x:c r="N689"/>
      <x:c r="O689"/>
      <x:c r="P689"/>
    </x:row>
    <x:row r="690">
      <x:c r="A690"/>
      <x:c r="B690"/>
      <x:c r="C690"/>
      <x:c r="D690"/>
      <x:c r="E690"/>
      <x:c r="F690"/>
      <x:c r="G690"/>
      <x:c r="H690"/>
      <x:c r="I690"/>
      <x:c r="J690"/>
      <x:c r="K690"/>
      <x:c r="L690"/>
      <x:c r="M690"/>
      <x:c r="N690"/>
      <x:c r="O690"/>
      <x:c r="P690"/>
    </x:row>
  </x:sheetData>
  <x:conditionalFormatting sqref="P2:P659">
    <x:cfRule type="cellIs" dxfId="75" priority="1" operator="equal">
      <x:formula>"READY"</x:formula>
    </x:cfRule>
    <x:cfRule type="cellIs" dxfId="76" priority="2" operator="equal">
      <x:formula>"DONE"</x:formula>
    </x:cfRule>
    <x:cfRule type="cellIs" dxfId="77" priority="3" operator="equal">
      <x:formula>"LOCAL_PASS"</x:formula>
    </x:cfRule>
    <x:cfRule type="cellIs" dxfId="78" priority="4" operator="equal">
      <x:formula>"CI_PASS"</x:formula>
    </x:cfRule>
    <x:cfRule type="cellIs" dxfId="79" priority="5" operator="equal">
      <x:formula>"STAGING_PASS"</x:formula>
    </x:cfRule>
    <x:cfRule type="cellIs" dxfId="80" priority="6" operator="equal">
      <x:formula>"DEVICE_PASS"</x:formula>
    </x:cfRule>
    <x:cfRule type="cellIs" dxfId="81" priority="7" operator="equal">
      <x:formula>"PRODUCTION_PASS"</x:formula>
    </x:cfRule>
    <x:cfRule type="cellIs" dxfId="82" priority="8" operator="equal">
      <x:formula>"FAIL"</x:formula>
    </x:cfRule>
    <x:cfRule type="cellIs" dxfId="83" priority="9" operator="equal">
      <x:formula>"BLOCKED_EXTERNAL"</x:formula>
    </x:cfRule>
    <x:cfRule type="cellIs" dxfId="84" priority="10" operator="equal">
      <x:formula>"NOT_PROVIDED"</x:formula>
    </x:cfRule>
    <x:cfRule type="cellIs" dxfId="85" priority="11" operator="equal">
      <x:formula>"LOCKED"</x:formula>
    </x:cfRule>
    <x:cfRule type="cellIs" dxfId="86" priority="12" operator="equal">
      <x:formula>"NOT_STARTED"</x:formula>
    </x:cfRule>
    <x:cfRule type="cellIs" dxfId="87" priority="13" operator="equal">
      <x:formula>"NOT_EXECUTED"</x:formula>
    </x:cfRule>
    <x:cfRule type="cellIs" dxfId="88" priority="14" operator="equal">
      <x:formula>"IN_PROGRESS"</x:formula>
    </x:cfRule>
    <x:cfRule type="cellIs" dxfId="89" priority="15" operator="equal">
      <x:formula>"PLANNED"</x:formula>
    </x:cfRule>
  </x:conditionalFormatting>
  <x:dataValidations count="1">
    <x:dataValidation type="list" sqref="P2:P659">
      <x:formula1>"NOT_STARTED,READY,IN_PROGRESS,DONE,LOCKED,PLANNED,NOT_EXECUTED,LOCAL_PASS,CI_PASS,STAGING_PASS,DEVICE_PASS,PRODUCTION_PASS,BLOCKED_EXTERNAL,FAIL,NOT_PROVIDED"</x:formula1>
    </x:dataValidation>
  </x:dataValidations>
  <x:pageMargins left="0.7" right="0.7" top="0.75" bottom="0.75" header="0.3" footer="0.3"/>
  <x:tableParts count="1">
    <x:tablePart xmlns:r="http://schemas.openxmlformats.org/officeDocument/2006/relationships" r:id="Rd4f420d904a447ae"/>
  </x:tableParts>
</x:worksheet>
</file>

<file path=xl/worksheets/sheet6.xml><?xml version="1.0" encoding="utf-8"?>
<x:worksheet xmlns:x="http://schemas.openxmlformats.org/spreadsheetml/2006/main">
  <x:sheetViews>
    <x:sheetView showGridLines="0" workbookViewId="0"/>
  </x:sheetViews>
  <x:sheetFormatPr defaultRowHeight="15"/>
  <x:cols>
    <x:col min="1" max="1" width="27" hidden="0" customWidth="1"/>
    <x:col min="2" max="2" width="9" hidden="0" customWidth="1"/>
    <x:col min="3" max="3" width="22" hidden="0" customWidth="1"/>
    <x:col min="4" max="4" width="25" hidden="0" customWidth="1"/>
    <x:col min="5" max="5" width="22" hidden="0" customWidth="1"/>
    <x:col min="6" max="6" width="26" hidden="0" customWidth="1"/>
    <x:col min="7" max="7" width="40" hidden="0" customWidth="1"/>
    <x:col min="8" max="8" width="42" hidden="0" customWidth="1"/>
    <x:col min="9" max="9" width="30" hidden="0" customWidth="1"/>
    <x:col min="10" max="10" width="42" hidden="0" customWidth="1"/>
    <x:col min="11" max="11" width="34" hidden="0" customWidth="1"/>
    <x:col min="12" max="12" width="34" hidden="0" customWidth="1"/>
    <x:col min="13" max="13" width="25" hidden="0" customWidth="1"/>
    <x:col min="14" max="14" width="24" hidden="0" customWidth="1"/>
  </x:cols>
  <x:sheetData>
    <x:row r="1" ht="34" customHeight="1">
      <x:c r="A1" s="14" t="str">
        <x:v>StateMachine</x:v>
      </x:c>
      <x:c r="B1" s="15" t="str">
        <x:v>Stage</x:v>
      </x:c>
      <x:c r="C1" s="15" t="str">
        <x:v>CurrentState</x:v>
      </x:c>
      <x:c r="D1" s="15" t="str">
        <x:v>Event</x:v>
      </x:c>
      <x:c r="E1" s="15" t="str">
        <x:v>NextState</x:v>
      </x:c>
      <x:c r="F1" s="15" t="str">
        <x:v>AllowedActor</x:v>
      </x:c>
      <x:c r="G1" s="15" t="str">
        <x:v>Guard</x:v>
      </x:c>
      <x:c r="H1" s="15" t="str">
        <x:v>SideEffect</x:v>
      </x:c>
      <x:c r="I1" s="15" t="str">
        <x:v>Idempotency</x:v>
      </x:c>
      <x:c r="J1" s="15" t="str">
        <x:v>IllegalTransition</x:v>
      </x:c>
      <x:c r="K1" s="15" t="str">
        <x:v>ConcurrencyControl</x:v>
      </x:c>
      <x:c r="L1" s="15" t="str">
        <x:v>History</x:v>
      </x:c>
      <x:c r="M1" s="15" t="str">
        <x:v>P0</x:v>
      </x:c>
      <x:c r="N1" s="16" t="str">
        <x:v>Status</x:v>
      </x:c>
    </x:row>
    <x:row r="2" ht="23" customHeight="1">
      <x:c r="A2" s="4" t="str">
        <x:v>Supplier</x:v>
      </x:c>
      <x:c r="B2" s="4" t="str">
        <x:v>M1</x:v>
      </x:c>
      <x:c r="C2" s="4" t="str">
        <x:v>DRAFT</x:v>
      </x:c>
      <x:c r="D2" s="4" t="str">
        <x:v>SUBMIT</x:v>
      </x:c>
      <x:c r="E2" s="4" t="str">
        <x:v>PENDING_REVIEW</x:v>
      </x:c>
      <x:c r="F2" s="4" t="str">
        <x:v>SUPPLIER_ACCOUNT_ADMIN</x:v>
      </x:c>
      <x:c r="G2" s="17" t="str">
        <x:v>资料完整且主体唯一</x:v>
      </x:c>
      <x:c r="H2" s="17" t="str">
        <x:v>生成审批任务</x:v>
      </x:c>
      <x:c r="I2" s="17" t="str">
        <x:v>supplierId+version</x:v>
      </x:c>
      <x:c r="J2" s="17" t="str">
        <x:v>返回409 STATE_TRANSITION_INVALID；不改变状态；写安全审计（按风险级别）</x:v>
      </x:c>
      <x:c r="K2" s="17" t="str">
        <x:v>version乐观锁/唯一键/事务；受影响行数必须=1</x:v>
      </x:c>
      <x:c r="L2" s="17" t="str">
        <x:v>追加状态日志或不可变快照，禁止覆盖历史</x:v>
      </x:c>
      <x:c r="M2" s="4" t="str">
        <x:v>P0-003,P0-044</x:v>
      </x:c>
      <x:c r="N2" s="4" t="str">
        <x:v>FROZEN_M1_000</x:v>
      </x:c>
    </x:row>
    <x:row r="3" ht="23" customHeight="1">
      <x:c r="A3" s="4" t="str">
        <x:v>Supplier</x:v>
      </x:c>
      <x:c r="B3" s="4" t="str">
        <x:v>M1</x:v>
      </x:c>
      <x:c r="C3" s="4" t="str">
        <x:v>PENDING_REVIEW</x:v>
      </x:c>
      <x:c r="D3" s="4" t="str">
        <x:v>REQUEST_CORRECTION</x:v>
      </x:c>
      <x:c r="E3" s="4" t="str">
        <x:v>CORRECTION_REQUIRED</x:v>
      </x:c>
      <x:c r="F3" s="4" t="str">
        <x:v>COMPANY_SUPPLIER_OPS</x:v>
      </x:c>
      <x:c r="G3" s="17" t="str">
        <x:v>审核意见非空</x:v>
      </x:c>
      <x:c r="H3" s="17" t="str">
        <x:v>通知供应商</x:v>
      </x:c>
      <x:c r="I3" s="17" t="str">
        <x:v>approvalTaskId+version</x:v>
      </x:c>
      <x:c r="J3" s="17" t="str">
        <x:v>返回409 STATE_TRANSITION_INVALID；不改变状态；写安全审计（按风险级别）</x:v>
      </x:c>
      <x:c r="K3" s="17" t="str">
        <x:v>version乐观锁/唯一键/事务；受影响行数必须=1</x:v>
      </x:c>
      <x:c r="L3" s="17" t="str">
        <x:v>追加状态日志或不可变快照，禁止覆盖历史</x:v>
      </x:c>
      <x:c r="M3" s="4" t="str">
        <x:v>P0-003,P0-044</x:v>
      </x:c>
      <x:c r="N3" s="4" t="str">
        <x:v>FROZEN_M1_000</x:v>
      </x:c>
    </x:row>
    <x:row r="4" ht="23" customHeight="1">
      <x:c r="A4" s="4" t="str">
        <x:v>Supplier</x:v>
      </x:c>
      <x:c r="B4" s="4" t="str">
        <x:v>M1</x:v>
      </x:c>
      <x:c r="C4" s="4" t="str">
        <x:v>CORRECTION_REQUIRED</x:v>
      </x:c>
      <x:c r="D4" s="4" t="str">
        <x:v>RESUBMIT</x:v>
      </x:c>
      <x:c r="E4" s="4" t="str">
        <x:v>PENDING_REVIEW</x:v>
      </x:c>
      <x:c r="F4" s="4" t="str">
        <x:v>SUPPLIER_ACCOUNT_ADMIN</x:v>
      </x:c>
      <x:c r="G4" s="17" t="str">
        <x:v>已修正且版本匹配</x:v>
      </x:c>
      <x:c r="H4" s="17" t="str">
        <x:v>生成新审核版本</x:v>
      </x:c>
      <x:c r="I4" s="17" t="str">
        <x:v>supplierId+version</x:v>
      </x:c>
      <x:c r="J4" s="17" t="str">
        <x:v>返回409 STATE_TRANSITION_INVALID；不改变状态；写安全审计（按风险级别）</x:v>
      </x:c>
      <x:c r="K4" s="17" t="str">
        <x:v>version乐观锁/唯一键/事务；受影响行数必须=1</x:v>
      </x:c>
      <x:c r="L4" s="17" t="str">
        <x:v>追加状态日志或不可变快照，禁止覆盖历史</x:v>
      </x:c>
      <x:c r="M4" s="4" t="str">
        <x:v>P0-003,P0-044</x:v>
      </x:c>
      <x:c r="N4" s="4" t="str">
        <x:v>FROZEN_M1_000</x:v>
      </x:c>
    </x:row>
    <x:row r="5" ht="23" customHeight="1">
      <x:c r="A5" s="4" t="str">
        <x:v>Supplier</x:v>
      </x:c>
      <x:c r="B5" s="4" t="str">
        <x:v>M1</x:v>
      </x:c>
      <x:c r="C5" s="4" t="str">
        <x:v>PENDING_REVIEW</x:v>
      </x:c>
      <x:c r="D5" s="4" t="str">
        <x:v>APPROVE</x:v>
      </x:c>
      <x:c r="E5" s="4" t="str">
        <x:v>ACTIVE</x:v>
      </x:c>
      <x:c r="F5" s="4" t="str">
        <x:v>COMPANY_SUPPLIER_OPS</x:v>
      </x:c>
      <x:c r="G5" s="17" t="str">
        <x:v>资质及合规检查通过</x:v>
      </x:c>
      <x:c r="H5" s="17" t="str">
        <x:v>同事务激活主联系人SupplierUser及唯一SUPPLIER_ACCOUNT_ADMIN账号</x:v>
      </x:c>
      <x:c r="I5" s="17" t="str">
        <x:v>approvalTaskId+decision</x:v>
      </x:c>
      <x:c r="J5" s="17" t="str">
        <x:v>返回409 STATE_TRANSITION_INVALID；不改变状态；写安全审计（按风险级别）</x:v>
      </x:c>
      <x:c r="K5" s="17" t="str">
        <x:v>version乐观锁/唯一键/事务；受影响行数必须=1</x:v>
      </x:c>
      <x:c r="L5" s="17" t="str">
        <x:v>追加状态日志或不可变快照，禁止覆盖历史</x:v>
      </x:c>
      <x:c r="M5" s="4" t="str">
        <x:v>P0-003,P0-044,P0-069</x:v>
      </x:c>
      <x:c r="N5" s="4" t="str">
        <x:v>FROZEN_M1_P069</x:v>
      </x:c>
    </x:row>
    <x:row r="6" ht="23" customHeight="1">
      <x:c r="A6" s="4" t="str">
        <x:v>Supplier</x:v>
      </x:c>
      <x:c r="B6" s="4" t="str">
        <x:v>M1</x:v>
      </x:c>
      <x:c r="C6" s="4" t="str">
        <x:v>ACTIVE</x:v>
      </x:c>
      <x:c r="D6" s="4" t="str">
        <x:v>SUSPEND</x:v>
      </x:c>
      <x:c r="E6" s="4" t="str">
        <x:v>SUSPENDED</x:v>
      </x:c>
      <x:c r="F6" s="4" t="str">
        <x:v>COMPANY_SUPPLIER_OPS</x:v>
      </x:c>
      <x:c r="G6" s="17" t="str">
        <x:v>理由与影响评估存在</x:v>
      </x:c>
      <x:c r="H6" s="17" t="str">
        <x:v>阻止新提交并使本供应商旧职能会话立即失效</x:v>
      </x:c>
      <x:c r="I6" s="17" t="str">
        <x:v>supplierId+version</x:v>
      </x:c>
      <x:c r="J6" s="17" t="str">
        <x:v>返回409 STATE_TRANSITION_INVALID；不改变状态；写安全审计（按风险级别）</x:v>
      </x:c>
      <x:c r="K6" s="17" t="str">
        <x:v>version乐观锁/唯一键/事务；受影响行数必须=1</x:v>
      </x:c>
      <x:c r="L6" s="17" t="str">
        <x:v>追加状态日志或不可变快照，禁止覆盖历史</x:v>
      </x:c>
      <x:c r="M6" s="4" t="str">
        <x:v>P0-003,P0-044,P0-069</x:v>
      </x:c>
      <x:c r="N6" s="4" t="str">
        <x:v>FROZEN_M1_P069</x:v>
      </x:c>
    </x:row>
    <x:row r="7" ht="23" customHeight="1">
      <x:c r="A7" s="4" t="str">
        <x:v>Supplier</x:v>
      </x:c>
      <x:c r="B7" s="4" t="str">
        <x:v>M1</x:v>
      </x:c>
      <x:c r="C7" s="4" t="str">
        <x:v>ACTIVE</x:v>
      </x:c>
      <x:c r="D7" s="4" t="str">
        <x:v>START_EXIT</x:v>
      </x:c>
      <x:c r="E7" s="4" t="str">
        <x:v>EXITING</x:v>
      </x:c>
      <x:c r="F7" s="4" t="str">
        <x:v>COMPANY_SUPPLIER_OPS</x:v>
      </x:c>
      <x:c r="G7" s="17" t="str">
        <x:v>未结事项生成清单</x:v>
      </x:c>
      <x:c r="H7" s="17" t="str">
        <x:v>冻结新品与新订单分配</x:v>
      </x:c>
      <x:c r="I7" s="17" t="str">
        <x:v>supplierId+exitRequestId</x:v>
      </x:c>
      <x:c r="J7" s="17" t="str">
        <x:v>返回409 STATE_TRANSITION_INVALID；不改变状态；写安全审计（按风险级别）</x:v>
      </x:c>
      <x:c r="K7" s="17" t="str">
        <x:v>version乐观锁/唯一键/事务；受影响行数必须=1</x:v>
      </x:c>
      <x:c r="L7" s="17" t="str">
        <x:v>追加状态日志或不可变快照，禁止覆盖历史</x:v>
      </x:c>
      <x:c r="M7" s="4" t="str">
        <x:v>P0-003,P0-044</x:v>
      </x:c>
      <x:c r="N7" s="4" t="str">
        <x:v>FROZEN_M1_000</x:v>
      </x:c>
    </x:row>
    <x:row r="8" ht="23" customHeight="1">
      <x:c r="A8" s="4" t="str">
        <x:v>Supplier</x:v>
      </x:c>
      <x:c r="B8" s="4" t="str">
        <x:v>M1</x:v>
      </x:c>
      <x:c r="C8" s="4" t="str">
        <x:v>EXITING</x:v>
      </x:c>
      <x:c r="D8" s="4" t="str">
        <x:v>COMPLETE_EXIT</x:v>
      </x:c>
      <x:c r="E8" s="4" t="str">
        <x:v>EXITED</x:v>
      </x:c>
      <x:c r="F8" s="4" t="str">
        <x:v>COMPANY_SUPPLIER_OPS</x:v>
      </x:c>
      <x:c r="G8" s="17" t="str">
        <x:v>订单/售后/对账/资料保留均完成</x:v>
      </x:c>
      <x:c r="H8" s="17" t="str">
        <x:v>撤销账号并保留审计</x:v>
      </x:c>
      <x:c r="I8" s="17" t="str">
        <x:v>supplierId+exitChecklistVersion</x:v>
      </x:c>
      <x:c r="J8" s="17" t="str">
        <x:v>返回409 STATE_TRANSITION_INVALID；不改变状态；写安全审计（按风险级别）</x:v>
      </x:c>
      <x:c r="K8" s="17" t="str">
        <x:v>version乐观锁/唯一键/事务；受影响行数必须=1</x:v>
      </x:c>
      <x:c r="L8" s="17" t="str">
        <x:v>追加状态日志或不可变快照，禁止覆盖历史</x:v>
      </x:c>
      <x:c r="M8" s="4" t="str">
        <x:v>P0-003,P0-044</x:v>
      </x:c>
      <x:c r="N8" s="4" t="str">
        <x:v>FROZEN_M1_000</x:v>
      </x:c>
    </x:row>
    <x:row r="9" ht="23" customHeight="1">
      <x:c r="A9" s="4" t="str">
        <x:v>FunctionalAccount</x:v>
      </x:c>
      <x:c r="B9" s="4" t="str">
        <x:v>M1</x:v>
      </x:c>
      <x:c r="C9" s="4" t="str">
        <x:v>PENDING_ACTIVATION</x:v>
      </x:c>
      <x:c r="D9" s="4" t="str">
        <x:v>ACTIVATE</x:v>
      </x:c>
      <x:c r="E9" s="4" t="str">
        <x:v>ACTIVE</x:v>
      </x:c>
      <x:c r="F9" s="4" t="str">
        <x:v>OWNER_ACCOUNT_ADMIN</x:v>
      </x:c>
      <x:c r="G9" s="17" t="str">
        <x:v>二次验证通过且账号类型有效；供应商首次主体管理员由审核激活</x:v>
      </x:c>
      <x:c r="H9" s="17" t="str">
        <x:v>撤销旧激活令牌并审计</x:v>
      </x:c>
      <x:c r="I9" s="17" t="str">
        <x:v>accountId+tokenHash</x:v>
      </x:c>
      <x:c r="J9" s="17" t="str">
        <x:v>返回409 STATE_TRANSITION_INVALID；不改变状态；写安全审计（按风险级别）</x:v>
      </x:c>
      <x:c r="K9" s="17" t="str">
        <x:v>version乐观锁/唯一键/事务；受影响行数必须=1</x:v>
      </x:c>
      <x:c r="L9" s="17" t="str">
        <x:v>追加状态日志或不可变快照，禁止覆盖历史</x:v>
      </x:c>
      <x:c r="M9" s="4" t="str">
        <x:v>P0-005,P0-067,P0-069,P0-070,P0-072</x:v>
      </x:c>
      <x:c r="N9" s="4" t="str">
        <x:v>FROZEN_M1_P069</x:v>
      </x:c>
    </x:row>
    <x:row r="10" ht="23" customHeight="1">
      <x:c r="A10" s="4" t="str">
        <x:v>FunctionalAccount</x:v>
      </x:c>
      <x:c r="B10" s="4" t="str">
        <x:v>M1</x:v>
      </x:c>
      <x:c r="C10" s="4" t="str">
        <x:v>ACTIVE</x:v>
      </x:c>
      <x:c r="D10" s="4" t="str">
        <x:v>SUSPEND</x:v>
      </x:c>
      <x:c r="E10" s="4" t="str">
        <x:v>SUSPENDED</x:v>
      </x:c>
      <x:c r="F10" s="4" t="str">
        <x:v>OWNER_ACCOUNT_ADMIN</x:v>
      </x:c>
      <x:c r="G10" s="17" t="str">
        <x:v>操作者不能停用最后一个主体管理员</x:v>
      </x:c>
      <x:c r="H10" s="17" t="str">
        <x:v>撤销全部会话</x:v>
      </x:c>
      <x:c r="I10" s="17" t="str">
        <x:v>accountId+version</x:v>
      </x:c>
      <x:c r="J10" s="17" t="str">
        <x:v>返回409 STATE_TRANSITION_INVALID；不改变状态；写安全审计（按风险级别）</x:v>
      </x:c>
      <x:c r="K10" s="17" t="str">
        <x:v>version乐观锁/唯一键/事务；受影响行数必须=1</x:v>
      </x:c>
      <x:c r="L10" s="17" t="str">
        <x:v>追加状态日志或不可变快照，禁止覆盖历史</x:v>
      </x:c>
      <x:c r="M10" s="4" t="str">
        <x:v>P0-005,P0-067,P0-070,P0-072</x:v>
      </x:c>
      <x:c r="N10" s="4" t="str">
        <x:v>FROZEN_M1_000</x:v>
      </x:c>
    </x:row>
    <x:row r="11" ht="23" customHeight="1">
      <x:c r="A11" s="4" t="str">
        <x:v>FunctionalAccount</x:v>
      </x:c>
      <x:c r="B11" s="4" t="str">
        <x:v>M1</x:v>
      </x:c>
      <x:c r="C11" s="4" t="str">
        <x:v>SUSPENDED</x:v>
      </x:c>
      <x:c r="D11" s="4" t="str">
        <x:v>RESTORE</x:v>
      </x:c>
      <x:c r="E11" s="4" t="str">
        <x:v>ACTIVE</x:v>
      </x:c>
      <x:c r="F11" s="4" t="str">
        <x:v>OWNER_ACCOUNT_ADMIN</x:v>
      </x:c>
      <x:c r="G11" s="17" t="str">
        <x:v>风险解除且二次验证通过</x:v>
      </x:c>
      <x:c r="H11" s="17" t="str">
        <x:v>重新允许登录</x:v>
      </x:c>
      <x:c r="I11" s="17" t="str">
        <x:v>accountId+version</x:v>
      </x:c>
      <x:c r="J11" s="17" t="str">
        <x:v>返回409 STATE_TRANSITION_INVALID；不改变状态；写安全审计（按风险级别）</x:v>
      </x:c>
      <x:c r="K11" s="17" t="str">
        <x:v>version乐观锁/唯一键/事务；受影响行数必须=1</x:v>
      </x:c>
      <x:c r="L11" s="17" t="str">
        <x:v>追加状态日志或不可变快照，禁止覆盖历史</x:v>
      </x:c>
      <x:c r="M11" s="4" t="str">
        <x:v>P0-005,P0-067,P0-070,P0-072</x:v>
      </x:c>
      <x:c r="N11" s="4" t="str">
        <x:v>FROZEN_M1_000</x:v>
      </x:c>
    </x:row>
    <x:row r="12" ht="23" customHeight="1">
      <x:c r="A12" s="4" t="str">
        <x:v>FunctionalAccount</x:v>
      </x:c>
      <x:c r="B12" s="4" t="str">
        <x:v>M1</x:v>
      </x:c>
      <x:c r="C12" s="4" t="str">
        <x:v>ACTIVE</x:v>
      </x:c>
      <x:c r="D12" s="4" t="str">
        <x:v>REVOKE</x:v>
      </x:c>
      <x:c r="E12" s="4" t="str">
        <x:v>REVOKED</x:v>
      </x:c>
      <x:c r="F12" s="4" t="str">
        <x:v>OWNER_ACCOUNT_ADMIN</x:v>
      </x:c>
      <x:c r="G12" s="17" t="str">
        <x:v>高风险确认</x:v>
      </x:c>
      <x:c r="H12" s="17" t="str">
        <x:v>不可恢复地撤销会话和授权</x:v>
      </x:c>
      <x:c r="I12" s="17" t="str">
        <x:v>accountId+version</x:v>
      </x:c>
      <x:c r="J12" s="17" t="str">
        <x:v>返回409 STATE_TRANSITION_INVALID；不改变状态；写安全审计（按风险级别）</x:v>
      </x:c>
      <x:c r="K12" s="17" t="str">
        <x:v>version乐观锁/唯一键/事务；受影响行数必须=1</x:v>
      </x:c>
      <x:c r="L12" s="17" t="str">
        <x:v>追加状态日志或不可变快照，禁止覆盖历史</x:v>
      </x:c>
      <x:c r="M12" s="4" t="str">
        <x:v>P0-005,P0-067,P0-070,P0-072</x:v>
      </x:c>
      <x:c r="N12" s="4" t="str">
        <x:v>FROZEN_M1_000</x:v>
      </x:c>
    </x:row>
    <x:row r="13" ht="23" customHeight="1">
      <x:c r="A13" s="4" t="str">
        <x:v>EnterpriseCustomer</x:v>
      </x:c>
      <x:c r="B13" s="4" t="str">
        <x:v>M3</x:v>
      </x:c>
      <x:c r="C13" s="4" t="str">
        <x:v>DRAFT</x:v>
      </x:c>
      <x:c r="D13" s="4" t="str">
        <x:v>SUBMIT_CERTIFICATION</x:v>
      </x:c>
      <x:c r="E13" s="4" t="str">
        <x:v>PENDING_REVIEW</x:v>
      </x:c>
      <x:c r="F13" s="4" t="str">
        <x:v>ENTERPRISE_ADMIN</x:v>
      </x:c>
      <x:c r="G13" s="17" t="str">
        <x:v>统一信用代码及联系人资料完整</x:v>
      </x:c>
      <x:c r="H13" s="17" t="str">
        <x:v>生成企业认证审批</x:v>
      </x:c>
      <x:c r="I13" s="17" t="str">
        <x:v>enterpriseId+version</x:v>
      </x:c>
      <x:c r="J13" s="17" t="str">
        <x:v>返回409 STATE_TRANSITION_INVALID；不改变状态；写安全审计（按风险级别）</x:v>
      </x:c>
      <x:c r="K13" s="17" t="str">
        <x:v>version乐观锁/唯一键/事务；受影响行数必须=1</x:v>
      </x:c>
      <x:c r="L13" s="17" t="str">
        <x:v>追加状态日志或不可变快照，禁止覆盖历史</x:v>
      </x:c>
      <x:c r="M13" s="4" t="str">
        <x:v>P0-028,P0-077</x:v>
      </x:c>
      <x:c r="N13" s="4" t="str">
        <x:v>DRAFT_TO_FREEZE_IN_STAGE</x:v>
      </x:c>
    </x:row>
    <x:row r="14" ht="23" customHeight="1">
      <x:c r="A14" s="4" t="str">
        <x:v>EnterpriseCustomer</x:v>
      </x:c>
      <x:c r="B14" s="4" t="str">
        <x:v>M3</x:v>
      </x:c>
      <x:c r="C14" s="4" t="str">
        <x:v>PENDING_REVIEW</x:v>
      </x:c>
      <x:c r="D14" s="4" t="str">
        <x:v>REQUEST_CORRECTION</x:v>
      </x:c>
      <x:c r="E14" s="4" t="str">
        <x:v>CORRECTION_REQUIRED</x:v>
      </x:c>
      <x:c r="F14" s="4" t="str">
        <x:v>COMPANY_SUPPLIER_OPS</x:v>
      </x:c>
      <x:c r="G14" s="17" t="str">
        <x:v>补正项明确</x:v>
      </x:c>
      <x:c r="H14" s="17" t="str">
        <x:v>通知企业</x:v>
      </x:c>
      <x:c r="I14" s="17" t="str">
        <x:v>approvalTaskId+version</x:v>
      </x:c>
      <x:c r="J14" s="17" t="str">
        <x:v>返回409 STATE_TRANSITION_INVALID；不改变状态；写安全审计（按风险级别）</x:v>
      </x:c>
      <x:c r="K14" s="17" t="str">
        <x:v>version乐观锁/唯一键/事务；受影响行数必须=1</x:v>
      </x:c>
      <x:c r="L14" s="17" t="str">
        <x:v>追加状态日志或不可变快照，禁止覆盖历史</x:v>
      </x:c>
      <x:c r="M14" s="4" t="str">
        <x:v>P0-028,P0-077</x:v>
      </x:c>
      <x:c r="N14" s="4" t="str">
        <x:v>DRAFT_TO_FREEZE_IN_STAGE</x:v>
      </x:c>
    </x:row>
    <x:row r="15" ht="23" customHeight="1">
      <x:c r="A15" s="4" t="str">
        <x:v>EnterpriseCustomer</x:v>
      </x:c>
      <x:c r="B15" s="4" t="str">
        <x:v>M3</x:v>
      </x:c>
      <x:c r="C15" s="4" t="str">
        <x:v>CORRECTION_REQUIRED</x:v>
      </x:c>
      <x:c r="D15" s="4" t="str">
        <x:v>RESUBMIT</x:v>
      </x:c>
      <x:c r="E15" s="4" t="str">
        <x:v>PENDING_REVIEW</x:v>
      </x:c>
      <x:c r="F15" s="4" t="str">
        <x:v>ENTERPRISE_ADMIN</x:v>
      </x:c>
      <x:c r="G15" s="17" t="str">
        <x:v>资料版本更新</x:v>
      </x:c>
      <x:c r="H15" s="17" t="str">
        <x:v>生成新审核版本</x:v>
      </x:c>
      <x:c r="I15" s="17" t="str">
        <x:v>enterpriseId+version</x:v>
      </x:c>
      <x:c r="J15" s="17" t="str">
        <x:v>返回409 STATE_TRANSITION_INVALID；不改变状态；写安全审计（按风险级别）</x:v>
      </x:c>
      <x:c r="K15" s="17" t="str">
        <x:v>version乐观锁/唯一键/事务；受影响行数必须=1</x:v>
      </x:c>
      <x:c r="L15" s="17" t="str">
        <x:v>追加状态日志或不可变快照，禁止覆盖历史</x:v>
      </x:c>
      <x:c r="M15" s="4" t="str">
        <x:v>P0-028,P0-077</x:v>
      </x:c>
      <x:c r="N15" s="4" t="str">
        <x:v>DRAFT_TO_FREEZE_IN_STAGE</x:v>
      </x:c>
    </x:row>
    <x:row r="16" ht="23" customHeight="1">
      <x:c r="A16" s="4" t="str">
        <x:v>EnterpriseCustomer</x:v>
      </x:c>
      <x:c r="B16" s="4" t="str">
        <x:v>M3</x:v>
      </x:c>
      <x:c r="C16" s="4" t="str">
        <x:v>PENDING_REVIEW</x:v>
      </x:c>
      <x:c r="D16" s="4" t="str">
        <x:v>APPROVE</x:v>
      </x:c>
      <x:c r="E16" s="4" t="str">
        <x:v>ACTIVE</x:v>
      </x:c>
      <x:c r="F16" s="4" t="str">
        <x:v>COMPANY_SUPPLIER_OPS</x:v>
      </x:c>
      <x:c r="G16" s="17" t="str">
        <x:v>认证通过</x:v>
      </x:c>
      <x:c r="H16" s="17" t="str">
        <x:v>开放采购货架</x:v>
      </x:c>
      <x:c r="I16" s="17" t="str">
        <x:v>approvalTaskId+decision</x:v>
      </x:c>
      <x:c r="J16" s="17" t="str">
        <x:v>返回409 STATE_TRANSITION_INVALID；不改变状态；写安全审计（按风险级别）</x:v>
      </x:c>
      <x:c r="K16" s="17" t="str">
        <x:v>version乐观锁/唯一键/事务；受影响行数必须=1</x:v>
      </x:c>
      <x:c r="L16" s="17" t="str">
        <x:v>追加状态日志或不可变快照，禁止覆盖历史</x:v>
      </x:c>
      <x:c r="M16" s="4" t="str">
        <x:v>P0-028,P0-077</x:v>
      </x:c>
      <x:c r="N16" s="4" t="str">
        <x:v>DRAFT_TO_FREEZE_IN_STAGE</x:v>
      </x:c>
    </x:row>
    <x:row r="17" ht="23" customHeight="1">
      <x:c r="A17" s="4" t="str">
        <x:v>EnterpriseCustomer</x:v>
      </x:c>
      <x:c r="B17" s="4" t="str">
        <x:v>M3</x:v>
      </x:c>
      <x:c r="C17" s="4" t="str">
        <x:v>ACTIVE</x:v>
      </x:c>
      <x:c r="D17" s="4" t="str">
        <x:v>SUSPEND</x:v>
      </x:c>
      <x:c r="E17" s="4" t="str">
        <x:v>SUSPENDED</x:v>
      </x:c>
      <x:c r="F17" s="4" t="str">
        <x:v>COMPANY_SUPPLIER_OPS</x:v>
      </x:c>
      <x:c r="G17" s="17" t="str">
        <x:v>合规或协议原因</x:v>
      </x:c>
      <x:c r="H17" s="17" t="str">
        <x:v>禁止新订单；历史可读</x:v>
      </x:c>
      <x:c r="I17" s="17" t="str">
        <x:v>enterpriseId+version</x:v>
      </x:c>
      <x:c r="J17" s="17" t="str">
        <x:v>返回409 STATE_TRANSITION_INVALID；不改变状态；写安全审计（按风险级别）</x:v>
      </x:c>
      <x:c r="K17" s="17" t="str">
        <x:v>version乐观锁/唯一键/事务；受影响行数必须=1</x:v>
      </x:c>
      <x:c r="L17" s="17" t="str">
        <x:v>追加状态日志或不可变快照，禁止覆盖历史</x:v>
      </x:c>
      <x:c r="M17" s="4" t="str">
        <x:v>P0-028,P0-077</x:v>
      </x:c>
      <x:c r="N17" s="4" t="str">
        <x:v>DRAFT_TO_FREEZE_IN_STAGE</x:v>
      </x:c>
    </x:row>
    <x:row r="18" ht="23" customHeight="1">
      <x:c r="A18" s="4" t="str">
        <x:v>RunnerApplication</x:v>
      </x:c>
      <x:c r="B18" s="4" t="str">
        <x:v>M4</x:v>
      </x:c>
      <x:c r="C18" s="4" t="str">
        <x:v>DRAFT</x:v>
      </x:c>
      <x:c r="D18" s="4" t="str">
        <x:v>SUBMIT</x:v>
      </x:c>
      <x:c r="E18" s="4" t="str">
        <x:v>PENDING_REVIEW</x:v>
      </x:c>
      <x:c r="F18" s="4" t="str">
        <x:v>RUNNER_APPLICANT</x:v>
      </x:c>
      <x:c r="G18" s="17" t="str">
        <x:v>手机号验证且资料完整</x:v>
      </x:c>
      <x:c r="H18" s="17" t="str">
        <x:v>生成审批任务</x:v>
      </x:c>
      <x:c r="I18" s="17" t="str">
        <x:v>applicant+version</x:v>
      </x:c>
      <x:c r="J18" s="17" t="str">
        <x:v>返回409 STATE_TRANSITION_INVALID；不改变状态；写安全审计（按风险级别）</x:v>
      </x:c>
      <x:c r="K18" s="17" t="str">
        <x:v>version乐观锁/唯一键/事务；受影响行数必须=1</x:v>
      </x:c>
      <x:c r="L18" s="17" t="str">
        <x:v>追加状态日志或不可变快照，禁止覆盖历史</x:v>
      </x:c>
      <x:c r="M18" s="4" t="str">
        <x:v>P0-100</x:v>
      </x:c>
      <x:c r="N18" s="4" t="str">
        <x:v>DRAFT_TO_FREEZE_IN_STAGE</x:v>
      </x:c>
    </x:row>
    <x:row r="19" ht="23" customHeight="1">
      <x:c r="A19" s="4" t="str">
        <x:v>RunnerApplication</x:v>
      </x:c>
      <x:c r="B19" s="4" t="str">
        <x:v>M4</x:v>
      </x:c>
      <x:c r="C19" s="4" t="str">
        <x:v>PENDING_REVIEW</x:v>
      </x:c>
      <x:c r="D19" s="4" t="str">
        <x:v>REQUEST_CORRECTION</x:v>
      </x:c>
      <x:c r="E19" s="4" t="str">
        <x:v>CORRECTION_REQUIRED</x:v>
      </x:c>
      <x:c r="F19" s="4" t="str">
        <x:v>COMPANY_LOGISTICS</x:v>
      </x:c>
      <x:c r="G19" s="17" t="str">
        <x:v>意见非空</x:v>
      </x:c>
      <x:c r="H19" s="17" t="str">
        <x:v>通知申请人</x:v>
      </x:c>
      <x:c r="I19" s="17" t="str">
        <x:v>applicationId+version</x:v>
      </x:c>
      <x:c r="J19" s="17" t="str">
        <x:v>返回409 STATE_TRANSITION_INVALID；不改变状态；写安全审计（按风险级别）</x:v>
      </x:c>
      <x:c r="K19" s="17" t="str">
        <x:v>version乐观锁/唯一键/事务；受影响行数必须=1</x:v>
      </x:c>
      <x:c r="L19" s="17" t="str">
        <x:v>追加状态日志或不可变快照，禁止覆盖历史</x:v>
      </x:c>
      <x:c r="M19" s="4" t="str">
        <x:v>P0-100</x:v>
      </x:c>
      <x:c r="N19" s="4" t="str">
        <x:v>DRAFT_TO_FREEZE_IN_STAGE</x:v>
      </x:c>
    </x:row>
    <x:row r="20" ht="23" customHeight="1">
      <x:c r="A20" s="4" t="str">
        <x:v>RunnerApplication</x:v>
      </x:c>
      <x:c r="B20" s="4" t="str">
        <x:v>M4</x:v>
      </x:c>
      <x:c r="C20" s="4" t="str">
        <x:v>CORRECTION_REQUIRED</x:v>
      </x:c>
      <x:c r="D20" s="4" t="str">
        <x:v>RESUBMIT</x:v>
      </x:c>
      <x:c r="E20" s="4" t="str">
        <x:v>PENDING_REVIEW</x:v>
      </x:c>
      <x:c r="F20" s="4" t="str">
        <x:v>RUNNER_APPLICANT</x:v>
      </x:c>
      <x:c r="G20" s="17" t="str">
        <x:v>已修正</x:v>
      </x:c>
      <x:c r="H20" s="17" t="str">
        <x:v>新审核版本</x:v>
      </x:c>
      <x:c r="I20" s="17" t="str">
        <x:v>applicationId+version</x:v>
      </x:c>
      <x:c r="J20" s="17" t="str">
        <x:v>返回409 STATE_TRANSITION_INVALID；不改变状态；写安全审计（按风险级别）</x:v>
      </x:c>
      <x:c r="K20" s="17" t="str">
        <x:v>version乐观锁/唯一键/事务；受影响行数必须=1</x:v>
      </x:c>
      <x:c r="L20" s="17" t="str">
        <x:v>追加状态日志或不可变快照，禁止覆盖历史</x:v>
      </x:c>
      <x:c r="M20" s="4" t="str">
        <x:v>P0-100</x:v>
      </x:c>
      <x:c r="N20" s="4" t="str">
        <x:v>DRAFT_TO_FREEZE_IN_STAGE</x:v>
      </x:c>
    </x:row>
    <x:row r="21" ht="23" customHeight="1">
      <x:c r="A21" s="4" t="str">
        <x:v>RunnerApplication</x:v>
      </x:c>
      <x:c r="B21" s="4" t="str">
        <x:v>M4</x:v>
      </x:c>
      <x:c r="C21" s="4" t="str">
        <x:v>PENDING_REVIEW</x:v>
      </x:c>
      <x:c r="D21" s="4" t="str">
        <x:v>APPROVE</x:v>
      </x:c>
      <x:c r="E21" s="4" t="str">
        <x:v>APPROVED</x:v>
      </x:c>
      <x:c r="F21" s="4" t="str">
        <x:v>COMPANY_LOGISTICS</x:v>
      </x:c>
      <x:c r="G21" s="17" t="str">
        <x:v>服务区与资质通过</x:v>
      </x:c>
      <x:c r="H21" s="17" t="str">
        <x:v>创建Runner=OFFLINE</x:v>
      </x:c>
      <x:c r="I21" s="17" t="str">
        <x:v>applicationId+decision</x:v>
      </x:c>
      <x:c r="J21" s="17" t="str">
        <x:v>返回409 STATE_TRANSITION_INVALID；不改变状态；写安全审计（按风险级别）</x:v>
      </x:c>
      <x:c r="K21" s="17" t="str">
        <x:v>version乐观锁/唯一键/事务；受影响行数必须=1</x:v>
      </x:c>
      <x:c r="L21" s="17" t="str">
        <x:v>追加状态日志或不可变快照，禁止覆盖历史</x:v>
      </x:c>
      <x:c r="M21" s="4" t="str">
        <x:v>P0-100</x:v>
      </x:c>
      <x:c r="N21" s="4" t="str">
        <x:v>DRAFT_TO_FREEZE_IN_STAGE</x:v>
      </x:c>
    </x:row>
    <x:row r="22" ht="23" customHeight="1">
      <x:c r="A22" s="4" t="str">
        <x:v>RunnerApplication</x:v>
      </x:c>
      <x:c r="B22" s="4" t="str">
        <x:v>M4</x:v>
      </x:c>
      <x:c r="C22" s="4" t="str">
        <x:v>PENDING_REVIEW</x:v>
      </x:c>
      <x:c r="D22" s="4" t="str">
        <x:v>REJECT</x:v>
      </x:c>
      <x:c r="E22" s="4" t="str">
        <x:v>REJECTED</x:v>
      </x:c>
      <x:c r="F22" s="4" t="str">
        <x:v>COMPANY_LOGISTICS</x:v>
      </x:c>
      <x:c r="G22" s="17" t="str">
        <x:v>拒绝原因存在</x:v>
      </x:c>
      <x:c r="H22" s="17" t="str">
        <x:v>通知申请人</x:v>
      </x:c>
      <x:c r="I22" s="17" t="str">
        <x:v>applicationId+decision</x:v>
      </x:c>
      <x:c r="J22" s="17" t="str">
        <x:v>返回409 STATE_TRANSITION_INVALID；不改变状态；写安全审计（按风险级别）</x:v>
      </x:c>
      <x:c r="K22" s="17" t="str">
        <x:v>version乐观锁/唯一键/事务；受影响行数必须=1</x:v>
      </x:c>
      <x:c r="L22" s="17" t="str">
        <x:v>追加状态日志或不可变快照，禁止覆盖历史</x:v>
      </x:c>
      <x:c r="M22" s="4" t="str">
        <x:v>P0-100</x:v>
      </x:c>
      <x:c r="N22" s="4" t="str">
        <x:v>DRAFT_TO_FREEZE_IN_STAGE</x:v>
      </x:c>
    </x:row>
    <x:row r="23" ht="23" customHeight="1">
      <x:c r="A23" s="4" t="str">
        <x:v>SupplierProduct</x:v>
      </x:c>
      <x:c r="B23" s="4" t="str">
        <x:v>M2</x:v>
      </x:c>
      <x:c r="C23" s="4" t="str">
        <x:v>DRAFT</x:v>
      </x:c>
      <x:c r="D23" s="4" t="str">
        <x:v>SUBMIT_MATERIAL</x:v>
      </x:c>
      <x:c r="E23" s="4" t="str">
        <x:v>PENDING_MATERIAL_REVIEW</x:v>
      </x:c>
      <x:c r="F23" s="4" t="str">
        <x:v>SUPPLIER_PRODUCT</x:v>
      </x:c>
      <x:c r="G23" s="17" t="str">
        <x:v>末级分类模板校验通过且无价格字段；HIGH_RISK须当前合规模板、显式ENABLED公司控制及公司/商品资质未过期</x:v>
      </x:c>
      <x:c r="H23" s="17" t="str">
        <x:v>冻结资料快照；创建资料审批</x:v>
      </x:c>
      <x:c r="I23" s="17" t="str">
        <x:v>supplierProductId+version</x:v>
      </x:c>
      <x:c r="J23" s="17" t="str">
        <x:v>返回REGULATED_CATEGORY_DISABLED/QUALIFICATION_REQUIRED/CATEGORY_TEMPLATE_INVALID或409 STATE_TRANSITION_INVALID；不改变状态</x:v>
      </x:c>
      <x:c r="K23" s="17" t="str">
        <x:v>version乐观锁/唯一键/事务；受影响行数必须=1</x:v>
      </x:c>
      <x:c r="L23" s="17" t="str">
        <x:v>追加状态日志、强监管控制历史和脱敏审计，禁止覆盖历史</x:v>
      </x:c>
      <x:c r="M23" s="4" t="str">
        <x:v>P0-006,P0-007,P0-018,P0-061</x:v>
      </x:c>
      <x:c r="N23" s="4" t="str">
        <x:v>IMPLEMENTED_P0_018</x:v>
      </x:c>
    </x:row>
    <x:row r="24" ht="23" customHeight="1">
      <x:c r="A24" s="4" t="str">
        <x:v>SupplierProduct</x:v>
      </x:c>
      <x:c r="B24" s="4" t="str">
        <x:v>M2</x:v>
      </x:c>
      <x:c r="C24" s="4" t="str">
        <x:v>PENDING_MATERIAL_REVIEW</x:v>
      </x:c>
      <x:c r="D24" s="4" t="str">
        <x:v>APPROVE_MATERIAL</x:v>
      </x:c>
      <x:c r="E24" s="4" t="str">
        <x:v>MATERIAL_APPROVED</x:v>
      </x:c>
      <x:c r="F24" s="4" t="str">
        <x:v>COMPANY_PRODUCT_OPS</x:v>
      </x:c>
      <x:c r="G24" s="17" t="str">
        <x:v>资质与模板字段通过；HIGH_RISK在审批时重新校验显式控制、公司资质和商品资质有效期</x:v>
      </x:c>
      <x:c r="H24" s="17" t="str">
        <x:v>等待初始三价审批</x:v>
      </x:c>
      <x:c r="I24" s="17" t="str">
        <x:v>approvalTaskId+decision</x:v>
      </x:c>
      <x:c r="J24" s="17" t="str">
        <x:v>返回REGULATED_CATEGORY_DISABLED/QUALIFICATION_REQUIRED/CATEGORY_TEMPLATE_INVALID或409 STATE_TRANSITION_INVALID；不改变状态</x:v>
      </x:c>
      <x:c r="K24" s="17" t="str">
        <x:v>version乐观锁/唯一键/事务；受影响行数必须=1</x:v>
      </x:c>
      <x:c r="L24" s="17" t="str">
        <x:v>追加状态日志和脱敏审计；停用控制不删除历史审批快照</x:v>
      </x:c>
      <x:c r="M24" s="4" t="str">
        <x:v>P0-006,P0-007,P0-018,P0-061</x:v>
      </x:c>
      <x:c r="N24" s="4" t="str">
        <x:v>IMPLEMENTED_P0_018</x:v>
      </x:c>
    </x:row>
    <x:row r="25" ht="23" customHeight="1">
      <x:c r="A25" s="4" t="str">
        <x:v>SupplierProduct</x:v>
      </x:c>
      <x:c r="B25" s="4" t="str">
        <x:v>M2</x:v>
      </x:c>
      <x:c r="C25" s="4" t="str">
        <x:v>PENDING_MATERIAL_REVIEW</x:v>
      </x:c>
      <x:c r="D25" s="4" t="str">
        <x:v>REJECT_MATERIAL</x:v>
      </x:c>
      <x:c r="E25" s="4" t="str">
        <x:v>CORRECTION_REQUIRED</x:v>
      </x:c>
      <x:c r="F25" s="4" t="str">
        <x:v>COMPANY_PRODUCT_OPS</x:v>
      </x:c>
      <x:c r="G25" s="17" t="str">
        <x:v>意见非空</x:v>
      </x:c>
      <x:c r="H25" s="17" t="str">
        <x:v>通知供应商商品职能</x:v>
      </x:c>
      <x:c r="I25" s="17" t="str">
        <x:v>approvalTaskId+decision</x:v>
      </x:c>
      <x:c r="J25" s="17" t="str">
        <x:v>返回409 STATE_TRANSITION_INVALID；不改变状态；写安全审计（按风险级别）</x:v>
      </x:c>
      <x:c r="K25" s="17" t="str">
        <x:v>version乐观锁/唯一键/事务；受影响行数必须=1</x:v>
      </x:c>
      <x:c r="L25" s="17" t="str">
        <x:v>追加状态日志或不可变快照，禁止覆盖历史</x:v>
      </x:c>
      <x:c r="M25" s="4" t="str">
        <x:v>P0-006,P0-007,P0-018,P0-061</x:v>
      </x:c>
      <x:c r="N25" s="4" t="str">
        <x:v>FROZEN_M2_000</x:v>
      </x:c>
    </x:row>
    <x:row r="26" ht="23" customHeight="1">
      <x:c r="A26" s="4" t="str">
        <x:v>SupplierProduct</x:v>
      </x:c>
      <x:c r="B26" s="4" t="str">
        <x:v>M2</x:v>
      </x:c>
      <x:c r="C26" s="4" t="str">
        <x:v>MATERIAL_APPROVED</x:v>
      </x:c>
      <x:c r="D26" s="4" t="str">
        <x:v>INITIAL_PRICES_APPROVED</x:v>
      </x:c>
      <x:c r="E26" s="4" t="str">
        <x:v>ACTIVE</x:v>
      </x:c>
      <x:c r="F26" s="4" t="str">
        <x:v>SYSTEM</x:v>
      </x:c>
      <x:c r="G26" s="17" t="str">
        <x:v>每个SKU三类初始价格均由公司价格职能批准</x:v>
      </x:c>
      <x:c r="H26" s="17" t="str">
        <x:v>创建/更新Product/Sku并上架</x:v>
      </x:c>
      <x:c r="I26" s="17" t="str">
        <x:v>supplierProductId+materialVersion+priceVersion</x:v>
      </x:c>
      <x:c r="J26" s="17" t="str">
        <x:v>返回409 STATE_TRANSITION_INVALID；不改变状态；写安全审计（按风险级别）</x:v>
      </x:c>
      <x:c r="K26" s="17" t="str">
        <x:v>version乐观锁/唯一键/事务；受影响行数必须=1</x:v>
      </x:c>
      <x:c r="L26" s="17" t="str">
        <x:v>追加状态日志或不可变快照，禁止覆盖历史</x:v>
      </x:c>
      <x:c r="M26" s="4" t="str">
        <x:v>P0-006,P0-007,P0-018,P0-061</x:v>
      </x:c>
      <x:c r="N26" s="4" t="str">
        <x:v>FROZEN_M2_000</x:v>
      </x:c>
    </x:row>
    <x:row r="27" ht="23" customHeight="1">
      <x:c r="A27" s="4" t="str">
        <x:v>SupplierProduct</x:v>
      </x:c>
      <x:c r="B27" s="4" t="str">
        <x:v>M2</x:v>
      </x:c>
      <x:c r="C27" s="4" t="str">
        <x:v>ACTIVE</x:v>
      </x:c>
      <x:c r="D27" s="4" t="str">
        <x:v>OFF_SHELF</x:v>
      </x:c>
      <x:c r="E27" s="4" t="str">
        <x:v>OFF_SHELF</x:v>
      </x:c>
      <x:c r="F27" s="4" t="str">
        <x:v>COMPANY_PRODUCT_OPS</x:v>
      </x:c>
      <x:c r="G27" s="17" t="str">
        <x:v>原因明确</x:v>
      </x:c>
      <x:c r="H27" s="17" t="str">
        <x:v>前台不可购买；历史订单不变</x:v>
      </x:c>
      <x:c r="I27" s="17" t="str">
        <x:v>productId+version</x:v>
      </x:c>
      <x:c r="J27" s="17" t="str">
        <x:v>返回409 STATE_TRANSITION_INVALID；不改变状态；写安全审计（按风险级别）</x:v>
      </x:c>
      <x:c r="K27" s="17" t="str">
        <x:v>version乐观锁/唯一键/事务；受影响行数必须=1</x:v>
      </x:c>
      <x:c r="L27" s="17" t="str">
        <x:v>追加状态日志或不可变快照，禁止覆盖历史</x:v>
      </x:c>
      <x:c r="M27" s="4" t="str">
        <x:v>P0-006,P0-007,P0-018,P0-061</x:v>
      </x:c>
      <x:c r="N27" s="4" t="str">
        <x:v>FROZEN_M2_000</x:v>
      </x:c>
    </x:row>
    <x:row r="28" ht="23" customHeight="1">
      <x:c r="A28" s="4" t="str">
        <x:v>SupplierProduct</x:v>
      </x:c>
      <x:c r="B28" s="4" t="str">
        <x:v>M2</x:v>
      </x:c>
      <x:c r="C28" s="4" t="str">
        <x:v>OFF_SHELF</x:v>
      </x:c>
      <x:c r="D28" s="4" t="str">
        <x:v>RESUBMIT</x:v>
      </x:c>
      <x:c r="E28" s="4" t="str">
        <x:v>PENDING_MATERIAL_REVIEW</x:v>
      </x:c>
      <x:c r="F28" s="4" t="str">
        <x:v>SUPPLIER_PRODUCT</x:v>
      </x:c>
      <x:c r="G28" s="17" t="str">
        <x:v>资料版本变化</x:v>
      </x:c>
      <x:c r="H28" s="17" t="str">
        <x:v>重新走资料与必要价格审核</x:v>
      </x:c>
      <x:c r="I28" s="17" t="str">
        <x:v>supplierProductId+version</x:v>
      </x:c>
      <x:c r="J28" s="17" t="str">
        <x:v>返回409 STATE_TRANSITION_INVALID；不改变状态；写安全审计（按风险级别）</x:v>
      </x:c>
      <x:c r="K28" s="17" t="str">
        <x:v>version乐观锁/唯一键/事务；受影响行数必须=1</x:v>
      </x:c>
      <x:c r="L28" s="17" t="str">
        <x:v>追加状态日志或不可变快照，禁止覆盖历史</x:v>
      </x:c>
      <x:c r="M28" s="4" t="str">
        <x:v>P0-006,P0-007,P0-018,P0-061</x:v>
      </x:c>
      <x:c r="N28" s="4" t="str">
        <x:v>FROZEN_M2_000</x:v>
      </x:c>
    </x:row>
    <x:row r="29" ht="23" customHeight="1">
      <x:c r="A29" s="4" t="str">
        <x:v>SupplyPriceChangeRequest</x:v>
      </x:c>
      <x:c r="B29" s="4" t="str">
        <x:v>M2</x:v>
      </x:c>
      <x:c r="C29" s="4" t="str">
        <x:v>DRAFT</x:v>
      </x:c>
      <x:c r="D29" s="4" t="str">
        <x:v>SUBMIT</x:v>
      </x:c>
      <x:c r="E29" s="4" t="str">
        <x:v>SUBMITTED</x:v>
      </x:c>
      <x:c r="F29" s="4" t="str">
        <x:v>SUPPLIER_PRICING</x:v>
      </x:c>
      <x:c r="G29" s="17" t="str">
        <x:v>新供应价、原因、生效意图完整</x:v>
      </x:c>
      <x:c r="H29" s="17" t="str">
        <x:v>冻结旧价/申请价快照</x:v>
      </x:c>
      <x:c r="I29" s="17" t="str">
        <x:v>requestId+version</x:v>
      </x:c>
      <x:c r="J29" s="17" t="str">
        <x:v>返回409 STATE_TRANSITION_INVALID；不改变状态；写安全审计（按风险级别）</x:v>
      </x:c>
      <x:c r="K29" s="17" t="str">
        <x:v>version乐观锁/唯一键/事务；受影响行数必须=1</x:v>
      </x:c>
      <x:c r="L29" s="17" t="str">
        <x:v>追加状态日志或不可变快照，禁止覆盖历史</x:v>
      </x:c>
      <x:c r="M29" s="4" t="str">
        <x:v>P0-019,P0-071</x:v>
      </x:c>
      <x:c r="N29" s="4" t="str">
        <x:v>FROZEN_M2_000</x:v>
      </x:c>
    </x:row>
    <x:row r="30" ht="23" customHeight="1">
      <x:c r="A30" s="4" t="str">
        <x:v>SupplyPriceChangeRequest</x:v>
      </x:c>
      <x:c r="B30" s="4" t="str">
        <x:v>M2</x:v>
      </x:c>
      <x:c r="C30" s="4" t="str">
        <x:v>SUBMITTED</x:v>
      </x:c>
      <x:c r="D30" s="4" t="str">
        <x:v>APPROVE</x:v>
      </x:c>
      <x:c r="E30" s="4" t="str">
        <x:v>APPROVED</x:v>
      </x:c>
      <x:c r="F30" s="4" t="str">
        <x:v>COMPANY_PRICE_REVIEW</x:v>
      </x:c>
      <x:c r="G30" s="17" t="str">
        <x:v>审核人与申请人职能隔离</x:v>
      </x:c>
      <x:c r="H30" s="17" t="str">
        <x:v>计划生效；写价格日志</x:v>
      </x:c>
      <x:c r="I30" s="17" t="str">
        <x:v>requestId+decision</x:v>
      </x:c>
      <x:c r="J30" s="17" t="str">
        <x:v>返回409 STATE_TRANSITION_INVALID；不改变状态；写安全审计（按风险级别）</x:v>
      </x:c>
      <x:c r="K30" s="17" t="str">
        <x:v>version乐观锁/唯一键/事务；受影响行数必须=1</x:v>
      </x:c>
      <x:c r="L30" s="17" t="str">
        <x:v>追加状态日志或不可变快照，禁止覆盖历史</x:v>
      </x:c>
      <x:c r="M30" s="4" t="str">
        <x:v>P0-019,P0-071</x:v>
      </x:c>
      <x:c r="N30" s="4" t="str">
        <x:v>FROZEN_M2_000</x:v>
      </x:c>
    </x:row>
    <x:row r="31" ht="23" customHeight="1">
      <x:c r="A31" s="4" t="str">
        <x:v>SupplyPriceChangeRequest</x:v>
      </x:c>
      <x:c r="B31" s="4" t="str">
        <x:v>M2</x:v>
      </x:c>
      <x:c r="C31" s="4" t="str">
        <x:v>SUBMITTED</x:v>
      </x:c>
      <x:c r="D31" s="4" t="str">
        <x:v>REJECT</x:v>
      </x:c>
      <x:c r="E31" s="4" t="str">
        <x:v>REJECTED</x:v>
      </x:c>
      <x:c r="F31" s="4" t="str">
        <x:v>COMPANY_PRICE_REVIEW</x:v>
      </x:c>
      <x:c r="G31" s="17" t="str">
        <x:v>拒绝原因非空</x:v>
      </x:c>
      <x:c r="H31" s="17" t="str">
        <x:v>旧供应价保持</x:v>
      </x:c>
      <x:c r="I31" s="17" t="str">
        <x:v>requestId+decision</x:v>
      </x:c>
      <x:c r="J31" s="17" t="str">
        <x:v>返回409 STATE_TRANSITION_INVALID；不改变状态；写安全审计（按风险级别）</x:v>
      </x:c>
      <x:c r="K31" s="17" t="str">
        <x:v>version乐观锁/唯一键/事务；受影响行数必须=1</x:v>
      </x:c>
      <x:c r="L31" s="17" t="str">
        <x:v>追加状态日志或不可变快照，禁止覆盖历史</x:v>
      </x:c>
      <x:c r="M31" s="4" t="str">
        <x:v>P0-019,P0-071</x:v>
      </x:c>
      <x:c r="N31" s="4" t="str">
        <x:v>FROZEN_M2_000</x:v>
      </x:c>
    </x:row>
    <x:row r="32" ht="23" customHeight="1">
      <x:c r="A32" s="4" t="str">
        <x:v>SupplyPriceChangeRequest</x:v>
      </x:c>
      <x:c r="B32" s="4" t="str">
        <x:v>M2</x:v>
      </x:c>
      <x:c r="C32" s="4" t="str">
        <x:v>APPROVED</x:v>
      </x:c>
      <x:c r="D32" s="4" t="str">
        <x:v>EFFECT</x:v>
      </x:c>
      <x:c r="E32" s="4" t="str">
        <x:v>EFFECTIVE</x:v>
      </x:c>
      <x:c r="F32" s="4" t="str">
        <x:v>SYSTEM</x:v>
      </x:c>
      <x:c r="G32" s="17" t="str">
        <x:v>达到批准生效时间且SKU版本匹配</x:v>
      </x:c>
      <x:c r="H32" s="17" t="str">
        <x:v>原子更新当前供应价版本；历史快照不变</x:v>
      </x:c>
      <x:c r="I32" s="17" t="str">
        <x:v>requestId+effectiveAt</x:v>
      </x:c>
      <x:c r="J32" s="17" t="str">
        <x:v>返回409 STATE_TRANSITION_INVALID；不改变状态；写安全审计（按风险级别）</x:v>
      </x:c>
      <x:c r="K32" s="17" t="str">
        <x:v>version乐观锁/唯一键/事务；受影响行数必须=1</x:v>
      </x:c>
      <x:c r="L32" s="17" t="str">
        <x:v>追加状态日志或不可变快照，禁止覆盖历史</x:v>
      </x:c>
      <x:c r="M32" s="4" t="str">
        <x:v>P0-019,P0-071</x:v>
      </x:c>
      <x:c r="N32" s="4" t="str">
        <x:v>FROZEN_M2_000</x:v>
      </x:c>
    </x:row>
    <x:row r="33" ht="23" customHeight="1">
      <x:c r="A33" s="4" t="str">
        <x:v>SupplyPriceChangeRequest</x:v>
      </x:c>
      <x:c r="B33" s="4" t="str">
        <x:v>M2</x:v>
      </x:c>
      <x:c r="C33" s="4" t="str">
        <x:v>SUBMITTED</x:v>
      </x:c>
      <x:c r="D33" s="4" t="str">
        <x:v>CANCEL</x:v>
      </x:c>
      <x:c r="E33" s="4" t="str">
        <x:v>CANCELLED</x:v>
      </x:c>
      <x:c r="F33" s="4" t="str">
        <x:v>SUPPLIER_PRICING</x:v>
      </x:c>
      <x:c r="G33" s="17" t="str">
        <x:v>尚未审结</x:v>
      </x:c>
      <x:c r="H33" s="17" t="str">
        <x:v>保留取消记录</x:v>
      </x:c>
      <x:c r="I33" s="17" t="str">
        <x:v>requestId+version</x:v>
      </x:c>
      <x:c r="J33" s="17" t="str">
        <x:v>返回409 STATE_TRANSITION_INVALID；不改变状态；写安全审计（按风险级别）</x:v>
      </x:c>
      <x:c r="K33" s="17" t="str">
        <x:v>version乐观锁/唯一键/事务；受影响行数必须=1</x:v>
      </x:c>
      <x:c r="L33" s="17" t="str">
        <x:v>追加状态日志或不可变快照，禁止覆盖历史</x:v>
      </x:c>
      <x:c r="M33" s="4" t="str">
        <x:v>P0-019,P0-071</x:v>
      </x:c>
      <x:c r="N33" s="4" t="str">
        <x:v>FROZEN_M2_000</x:v>
      </x:c>
    </x:row>
    <x:row r="34" ht="23" customHeight="1">
      <x:c r="A34" s="4" t="str">
        <x:v>Order</x:v>
      </x:c>
      <x:c r="B34" s="4" t="str">
        <x:v>M3</x:v>
      </x:c>
      <x:c r="C34" s="4" t="str">
        <x:v>DRAFT</x:v>
      </x:c>
      <x:c r="D34" s="4" t="str">
        <x:v>SUBMIT</x:v>
      </x:c>
      <x:c r="E34" s="4" t="str">
        <x:v>PENDING_PAYMENT</x:v>
      </x:c>
      <x:c r="F34" s="4" t="str">
        <x:v>CONSUMER_OR_ENTERPRISE</x:v>
      </x:c>
      <x:c r="G34" s="17" t="str">
        <x:v>价格/库存/地址/渠道资格再次校验</x:v>
      </x:c>
      <x:c r="H34" s="17" t="str">
        <x:v>原子预扣库存；按供应商生成履约子单草稿</x:v>
      </x:c>
      <x:c r="I34" s="17" t="str">
        <x:v>clientIdempotencyKey</x:v>
      </x:c>
      <x:c r="J34" s="17" t="str">
        <x:v>返回409 STATE_TRANSITION_INVALID；不改变状态；写安全审计（按风险级别）</x:v>
      </x:c>
      <x:c r="K34" s="17" t="str">
        <x:v>version乐观锁/唯一键/事务；受影响行数必须=1</x:v>
      </x:c>
      <x:c r="L34" s="17" t="str">
        <x:v>追加状态日志或不可变快照，禁止覆盖历史</x:v>
      </x:c>
      <x:c r="M34" s="4" t="str">
        <x:v>P0-022,P0-023,P0-025,P0-029,P0-062</x:v>
      </x:c>
      <x:c r="N34" s="4" t="str">
        <x:v>DRAFT_TO_FREEZE_IN_STAGE</x:v>
      </x:c>
    </x:row>
    <x:row r="35" ht="23" customHeight="1">
      <x:c r="A35" s="4" t="str">
        <x:v>Order</x:v>
      </x:c>
      <x:c r="B35" s="4" t="str">
        <x:v>M3</x:v>
      </x:c>
      <x:c r="C35" s="4" t="str">
        <x:v>PENDING_PAYMENT</x:v>
      </x:c>
      <x:c r="D35" s="4" t="str">
        <x:v>PAYMENT_CONFIRMED</x:v>
      </x:c>
      <x:c r="E35" s="4" t="str">
        <x:v>PAID</x:v>
      </x:c>
      <x:c r="F35" s="4" t="str">
        <x:v>SYSTEM</x:v>
      </x:c>
      <x:c r="G35" s="17" t="str">
        <x:v>支付分配全部完成且通知验签</x:v>
      </x:c>
      <x:c r="H35" s="17" t="str">
        <x:v>确认预扣；激活履约子单</x:v>
      </x:c>
      <x:c r="I35" s="17" t="str">
        <x:v>orderId+paymentAllocationVersion</x:v>
      </x:c>
      <x:c r="J35" s="17" t="str">
        <x:v>返回409 STATE_TRANSITION_INVALID；不改变状态；写安全审计（按风险级别）</x:v>
      </x:c>
      <x:c r="K35" s="17" t="str">
        <x:v>version乐观锁/唯一键/事务；受影响行数必须=1</x:v>
      </x:c>
      <x:c r="L35" s="17" t="str">
        <x:v>追加状态日志或不可变快照，禁止覆盖历史</x:v>
      </x:c>
      <x:c r="M35" s="4" t="str">
        <x:v>P0-022,P0-023,P0-025,P0-029,P0-062</x:v>
      </x:c>
      <x:c r="N35" s="4" t="str">
        <x:v>DRAFT_TO_FREEZE_IN_STAGE</x:v>
      </x:c>
    </x:row>
    <x:row r="36" ht="23" customHeight="1">
      <x:c r="A36" s="4" t="str">
        <x:v>Order</x:v>
      </x:c>
      <x:c r="B36" s="4" t="str">
        <x:v>M3</x:v>
      </x:c>
      <x:c r="C36" s="4" t="str">
        <x:v>PENDING_PAYMENT</x:v>
      </x:c>
      <x:c r="D36" s="4" t="str">
        <x:v>CANCEL_OR_TIMEOUT</x:v>
      </x:c>
      <x:c r="E36" s="4" t="str">
        <x:v>CANCELLED</x:v>
      </x:c>
      <x:c r="F36" s="4" t="str">
        <x:v>OWNER_OR_SYSTEM</x:v>
      </x:c>
      <x:c r="G36" s="17" t="str">
        <x:v>无已确认支付或补偿完成</x:v>
      </x:c>
      <x:c r="H36" s="17" t="str">
        <x:v>释放库存；退回已冻结福利卡</x:v>
      </x:c>
      <x:c r="I36" s="17" t="str">
        <x:v>orderId+cancelReason</x:v>
      </x:c>
      <x:c r="J36" s="17" t="str">
        <x:v>返回409 STATE_TRANSITION_INVALID；不改变状态；写安全审计（按风险级别）</x:v>
      </x:c>
      <x:c r="K36" s="17" t="str">
        <x:v>version乐观锁/唯一键/事务；受影响行数必须=1</x:v>
      </x:c>
      <x:c r="L36" s="17" t="str">
        <x:v>追加状态日志或不可变快照，禁止覆盖历史</x:v>
      </x:c>
      <x:c r="M36" s="4" t="str">
        <x:v>P0-022,P0-023,P0-025,P0-029,P0-062</x:v>
      </x:c>
      <x:c r="N36" s="4" t="str">
        <x:v>DRAFT_TO_FREEZE_IN_STAGE</x:v>
      </x:c>
    </x:row>
    <x:row r="37" ht="23" customHeight="1">
      <x:c r="A37" s="4" t="str">
        <x:v>Order</x:v>
      </x:c>
      <x:c r="B37" s="4" t="str">
        <x:v>M3</x:v>
      </x:c>
      <x:c r="C37" s="4" t="str">
        <x:v>PAID</x:v>
      </x:c>
      <x:c r="D37" s="4" t="str">
        <x:v>START_FULFILLMENT</x:v>
      </x:c>
      <x:c r="E37" s="4" t="str">
        <x:v>FULFILLING</x:v>
      </x:c>
      <x:c r="F37" s="4" t="str">
        <x:v>SYSTEM</x:v>
      </x:c>
      <x:c r="G37" s="17" t="str">
        <x:v>至少一个子单开始备货</x:v>
      </x:c>
      <x:c r="H37" s="17" t="str">
        <x:v>聚合状态更新</x:v>
      </x:c>
      <x:c r="I37" s="17" t="str">
        <x:v>orderId+subOrderVersion</x:v>
      </x:c>
      <x:c r="J37" s="17" t="str">
        <x:v>返回409 STATE_TRANSITION_INVALID；不改变状态；写安全审计（按风险级别）</x:v>
      </x:c>
      <x:c r="K37" s="17" t="str">
        <x:v>version乐观锁/唯一键/事务；受影响行数必须=1</x:v>
      </x:c>
      <x:c r="L37" s="17" t="str">
        <x:v>追加状态日志或不可变快照，禁止覆盖历史</x:v>
      </x:c>
      <x:c r="M37" s="4" t="str">
        <x:v>P0-022,P0-023,P0-025,P0-029,P0-062</x:v>
      </x:c>
      <x:c r="N37" s="4" t="str">
        <x:v>DRAFT_TO_FREEZE_IN_STAGE</x:v>
      </x:c>
    </x:row>
    <x:row r="38" ht="23" customHeight="1">
      <x:c r="A38" s="4" t="str">
        <x:v>Order</x:v>
      </x:c>
      <x:c r="B38" s="4" t="str">
        <x:v>M3</x:v>
      </x:c>
      <x:c r="C38" s="4" t="str">
        <x:v>FULFILLING</x:v>
      </x:c>
      <x:c r="D38" s="4" t="str">
        <x:v>PARTIAL_RECEIPT</x:v>
      </x:c>
      <x:c r="E38" s="4" t="str">
        <x:v>PARTIALLY_DELIVERED</x:v>
      </x:c>
      <x:c r="F38" s="4" t="str">
        <x:v>SYSTEM</x:v>
      </x:c>
      <x:c r="G38" s="17" t="str">
        <x:v>部分配送项已签收</x:v>
      </x:c>
      <x:c r="H38" s="17" t="str">
        <x:v>更新可售后数量</x:v>
      </x:c>
      <x:c r="I38" s="17" t="str">
        <x:v>orderId+receiptVersion</x:v>
      </x:c>
      <x:c r="J38" s="17" t="str">
        <x:v>返回409 STATE_TRANSITION_INVALID；不改变状态；写安全审计（按风险级别）</x:v>
      </x:c>
      <x:c r="K38" s="17" t="str">
        <x:v>version乐观锁/唯一键/事务；受影响行数必须=1</x:v>
      </x:c>
      <x:c r="L38" s="17" t="str">
        <x:v>追加状态日志或不可变快照，禁止覆盖历史</x:v>
      </x:c>
      <x:c r="M38" s="4" t="str">
        <x:v>P0-022,P0-023,P0-025,P0-029,P0-062</x:v>
      </x:c>
      <x:c r="N38" s="4" t="str">
        <x:v>DRAFT_TO_FREEZE_IN_STAGE</x:v>
      </x:c>
    </x:row>
    <x:row r="39" ht="23" customHeight="1">
      <x:c r="A39" s="4" t="str">
        <x:v>Order</x:v>
      </x:c>
      <x:c r="B39" s="4" t="str">
        <x:v>M3</x:v>
      </x:c>
      <x:c r="C39" s="4" t="str">
        <x:v>FULFILLING</x:v>
      </x:c>
      <x:c r="D39" s="4" t="str">
        <x:v>ALL_RECEIVED</x:v>
      </x:c>
      <x:c r="E39" s="4" t="str">
        <x:v>COMPLETED</x:v>
      </x:c>
      <x:c r="F39" s="4" t="str">
        <x:v>SYSTEM</x:v>
      </x:c>
      <x:c r="G39" s="17" t="str">
        <x:v>所有有效配送项签收且无阻断</x:v>
      </x:c>
      <x:c r="H39" s="17" t="str">
        <x:v>进入结算候选</x:v>
      </x:c>
      <x:c r="I39" s="17" t="str">
        <x:v>orderId+receiptVersion</x:v>
      </x:c>
      <x:c r="J39" s="17" t="str">
        <x:v>返回409 STATE_TRANSITION_INVALID；不改变状态；写安全审计（按风险级别）</x:v>
      </x:c>
      <x:c r="K39" s="17" t="str">
        <x:v>version乐观锁/唯一键/事务；受影响行数必须=1</x:v>
      </x:c>
      <x:c r="L39" s="17" t="str">
        <x:v>追加状态日志或不可变快照，禁止覆盖历史</x:v>
      </x:c>
      <x:c r="M39" s="4" t="str">
        <x:v>P0-022,P0-023,P0-025,P0-029,P0-062</x:v>
      </x:c>
      <x:c r="N39" s="4" t="str">
        <x:v>DRAFT_TO_FREEZE_IN_STAGE</x:v>
      </x:c>
    </x:row>
    <x:row r="40" ht="23" customHeight="1">
      <x:c r="A40" s="4" t="str">
        <x:v>PaymentTransaction</x:v>
      </x:c>
      <x:c r="B40" s="4" t="str">
        <x:v>M3</x:v>
      </x:c>
      <x:c r="C40" s="4" t="str">
        <x:v>CREATED</x:v>
      </x:c>
      <x:c r="D40" s="4" t="str">
        <x:v>CREATE_PREPAY</x:v>
      </x:c>
      <x:c r="E40" s="4" t="str">
        <x:v>PREPAY_CREATED</x:v>
      </x:c>
      <x:c r="F40" s="4" t="str">
        <x:v>SYSTEM</x:v>
      </x:c>
      <x:c r="G40" s="17" t="str">
        <x:v>订单仍待支付且现金额&gt;0</x:v>
      </x:c>
      <x:c r="H40" s="17" t="str">
        <x:v>调用微信适配器并保存外部单号</x:v>
      </x:c>
      <x:c r="I40" s="17" t="str">
        <x:v>outTradeNo</x:v>
      </x:c>
      <x:c r="J40" s="17" t="str">
        <x:v>返回409 STATE_TRANSITION_INVALID；不改变状态；写安全审计（按风险级别）</x:v>
      </x:c>
      <x:c r="K40" s="17" t="str">
        <x:v>version乐观锁/唯一键/事务；受影响行数必须=1</x:v>
      </x:c>
      <x:c r="L40" s="17" t="str">
        <x:v>追加状态日志或不可变快照，禁止覆盖历史</x:v>
      </x:c>
      <x:c r="M40" s="4" t="str">
        <x:v>P0-024,P0-056,P0-057,P0-093</x:v>
      </x:c>
      <x:c r="N40" s="4" t="str">
        <x:v>DRAFT_TO_FREEZE_IN_STAGE</x:v>
      </x:c>
    </x:row>
    <x:row r="41" ht="23" customHeight="1">
      <x:c r="A41" s="4" t="str">
        <x:v>PaymentTransaction</x:v>
      </x:c>
      <x:c r="B41" s="4" t="str">
        <x:v>M3</x:v>
      </x:c>
      <x:c r="C41" s="4" t="str">
        <x:v>PREPAY_CREATED</x:v>
      </x:c>
      <x:c r="D41" s="4" t="str">
        <x:v>VERIFIED_NOTIFY_SUCCESS</x:v>
      </x:c>
      <x:c r="E41" s="4" t="str">
        <x:v>PAID</x:v>
      </x:c>
      <x:c r="F41" s="4" t="str">
        <x:v>WECHAT_CALLBACK</x:v>
      </x:c>
      <x:c r="G41" s="17" t="str">
        <x:v>签名/商户/金额/订单均匹配</x:v>
      </x:c>
      <x:c r="H41" s="17" t="str">
        <x:v>幂等确认现金支付并推进订单</x:v>
      </x:c>
      <x:c r="I41" s="17" t="str">
        <x:v>wechatTransactionId</x:v>
      </x:c>
      <x:c r="J41" s="17" t="str">
        <x:v>返回409 STATE_TRANSITION_INVALID；不改变状态；写安全审计（按风险级别）</x:v>
      </x:c>
      <x:c r="K41" s="17" t="str">
        <x:v>version乐观锁/唯一键/事务；受影响行数必须=1</x:v>
      </x:c>
      <x:c r="L41" s="17" t="str">
        <x:v>追加状态日志或不可变快照，禁止覆盖历史</x:v>
      </x:c>
      <x:c r="M41" s="4" t="str">
        <x:v>P0-024,P0-056,P0-057,P0-093</x:v>
      </x:c>
      <x:c r="N41" s="4" t="str">
        <x:v>DRAFT_TO_FREEZE_IN_STAGE</x:v>
      </x:c>
    </x:row>
    <x:row r="42" ht="23" customHeight="1">
      <x:c r="A42" s="4" t="str">
        <x:v>PaymentTransaction</x:v>
      </x:c>
      <x:c r="B42" s="4" t="str">
        <x:v>M3</x:v>
      </x:c>
      <x:c r="C42" s="4" t="str">
        <x:v>PREPAY_CREATED</x:v>
      </x:c>
      <x:c r="D42" s="4" t="str">
        <x:v>CLOSE</x:v>
      </x:c>
      <x:c r="E42" s="4" t="str">
        <x:v>CLOSED</x:v>
      </x:c>
      <x:c r="F42" s="4" t="str">
        <x:v>SYSTEM</x:v>
      </x:c>
      <x:c r="G42" s="17" t="str">
        <x:v>超时或订单取消且未支付</x:v>
      </x:c>
      <x:c r="H42" s="17" t="str">
        <x:v>关闭外部订单；触发福利卡解冻补偿</x:v>
      </x:c>
      <x:c r="I42" s="17" t="str">
        <x:v>outTradeNo+close</x:v>
      </x:c>
      <x:c r="J42" s="17" t="str">
        <x:v>返回409 STATE_TRANSITION_INVALID；不改变状态；写安全审计（按风险级别）</x:v>
      </x:c>
      <x:c r="K42" s="17" t="str">
        <x:v>version乐观锁/唯一键/事务；受影响行数必须=1</x:v>
      </x:c>
      <x:c r="L42" s="17" t="str">
        <x:v>追加状态日志或不可变快照，禁止覆盖历史</x:v>
      </x:c>
      <x:c r="M42" s="4" t="str">
        <x:v>P0-024,P0-056,P0-057,P0-093</x:v>
      </x:c>
      <x:c r="N42" s="4" t="str">
        <x:v>DRAFT_TO_FREEZE_IN_STAGE</x:v>
      </x:c>
    </x:row>
    <x:row r="43" ht="23" customHeight="1">
      <x:c r="A43" s="4" t="str">
        <x:v>PaymentTransaction</x:v>
      </x:c>
      <x:c r="B43" s="4" t="str">
        <x:v>M3</x:v>
      </x:c>
      <x:c r="C43" s="4" t="str">
        <x:v>PREPAY_CREATED</x:v>
      </x:c>
      <x:c r="D43" s="4" t="str">
        <x:v>QUERY_UNKNOWN</x:v>
      </x:c>
      <x:c r="E43" s="4" t="str">
        <x:v>UNKNOWN</x:v>
      </x:c>
      <x:c r="F43" s="4" t="str">
        <x:v>SYSTEM</x:v>
      </x:c>
      <x:c r="G43" s="17" t="str">
        <x:v>网络结果不确定</x:v>
      </x:c>
      <x:c r="H43" s="17" t="str">
        <x:v>保持订单不可重复支付；轮询查询</x:v>
      </x:c>
      <x:c r="I43" s="17" t="str">
        <x:v>outTradeNo+queryAttempt</x:v>
      </x:c>
      <x:c r="J43" s="17" t="str">
        <x:v>返回409 STATE_TRANSITION_INVALID；不改变状态；写安全审计（按风险级别）</x:v>
      </x:c>
      <x:c r="K43" s="17" t="str">
        <x:v>version乐观锁/唯一键/事务；受影响行数必须=1</x:v>
      </x:c>
      <x:c r="L43" s="17" t="str">
        <x:v>追加状态日志或不可变快照，禁止覆盖历史</x:v>
      </x:c>
      <x:c r="M43" s="4" t="str">
        <x:v>P0-024,P0-056,P0-057,P0-093</x:v>
      </x:c>
      <x:c r="N43" s="4" t="str">
        <x:v>DRAFT_TO_FREEZE_IN_STAGE</x:v>
      </x:c>
    </x:row>
    <x:row r="44" ht="23" customHeight="1">
      <x:c r="A44" s="4" t="str">
        <x:v>PaymentTransaction</x:v>
      </x:c>
      <x:c r="B44" s="4" t="str">
        <x:v>M3</x:v>
      </x:c>
      <x:c r="C44" s="4" t="str">
        <x:v>UNKNOWN</x:v>
      </x:c>
      <x:c r="D44" s="4" t="str">
        <x:v>QUERY_PAID</x:v>
      </x:c>
      <x:c r="E44" s="4" t="str">
        <x:v>PAID</x:v>
      </x:c>
      <x:c r="F44" s="4" t="str">
        <x:v>SYSTEM</x:v>
      </x:c>
      <x:c r="G44" s="17" t="str">
        <x:v>查询返回已支付且金额匹配</x:v>
      </x:c>
      <x:c r="H44" s="17" t="str">
        <x:v>同回调成功路径</x:v>
      </x:c>
      <x:c r="I44" s="17" t="str">
        <x:v>wechatTransactionId</x:v>
      </x:c>
      <x:c r="J44" s="17" t="str">
        <x:v>返回409 STATE_TRANSITION_INVALID；不改变状态；写安全审计（按风险级别）</x:v>
      </x:c>
      <x:c r="K44" s="17" t="str">
        <x:v>version乐观锁/唯一键/事务；受影响行数必须=1</x:v>
      </x:c>
      <x:c r="L44" s="17" t="str">
        <x:v>追加状态日志或不可变快照，禁止覆盖历史</x:v>
      </x:c>
      <x:c r="M44" s="4" t="str">
        <x:v>P0-024,P0-056,P0-057,P0-093</x:v>
      </x:c>
      <x:c r="N44" s="4" t="str">
        <x:v>DRAFT_TO_FREEZE_IN_STAGE</x:v>
      </x:c>
    </x:row>
    <x:row r="45" ht="23" customHeight="1">
      <x:c r="A45" s="4" t="str">
        <x:v>PaymentTransaction</x:v>
      </x:c>
      <x:c r="B45" s="4" t="str">
        <x:v>M3</x:v>
      </x:c>
      <x:c r="C45" s="4" t="str">
        <x:v>UNKNOWN</x:v>
      </x:c>
      <x:c r="D45" s="4" t="str">
        <x:v>QUERY_CLOSED</x:v>
      </x:c>
      <x:c r="E45" s="4" t="str">
        <x:v>CLOSED</x:v>
      </x:c>
      <x:c r="F45" s="4" t="str">
        <x:v>SYSTEM</x:v>
      </x:c>
      <x:c r="G45" s="17" t="str">
        <x:v>外部确认未支付/已关闭</x:v>
      </x:c>
      <x:c r="H45" s="17" t="str">
        <x:v>执行福利卡补偿</x:v>
      </x:c>
      <x:c r="I45" s="17" t="str">
        <x:v>outTradeNo+finalQuery</x:v>
      </x:c>
      <x:c r="J45" s="17" t="str">
        <x:v>返回409 STATE_TRANSITION_INVALID；不改变状态；写安全审计（按风险级别）</x:v>
      </x:c>
      <x:c r="K45" s="17" t="str">
        <x:v>version乐观锁/唯一键/事务；受影响行数必须=1</x:v>
      </x:c>
      <x:c r="L45" s="17" t="str">
        <x:v>追加状态日志或不可变快照，禁止覆盖历史</x:v>
      </x:c>
      <x:c r="M45" s="4" t="str">
        <x:v>P0-024,P0-056,P0-057,P0-093</x:v>
      </x:c>
      <x:c r="N45" s="4" t="str">
        <x:v>DRAFT_TO_FREEZE_IN_STAGE</x:v>
      </x:c>
    </x:row>
    <x:row r="46" ht="23" customHeight="1">
      <x:c r="A46" s="4" t="str">
        <x:v>RefundTransaction</x:v>
      </x:c>
      <x:c r="B46" s="4" t="str">
        <x:v>M3</x:v>
      </x:c>
      <x:c r="C46" s="4" t="str">
        <x:v>CREATED</x:v>
      </x:c>
      <x:c r="D46" s="4" t="str">
        <x:v>SUBMIT</x:v>
      </x:c>
      <x:c r="E46" s="4" t="str">
        <x:v>PROCESSING</x:v>
      </x:c>
      <x:c r="F46" s="4" t="str">
        <x:v>COMPANY_ORDER_SERVICE</x:v>
      </x:c>
      <x:c r="G46" s="17" t="str">
        <x:v>按原支付分配计算且不超过可退额</x:v>
      </x:c>
      <x:c r="H46" s="17" t="str">
        <x:v>先登记退款意图和幂等键</x:v>
      </x:c>
      <x:c r="I46" s="17" t="str">
        <x:v>refundNo</x:v>
      </x:c>
      <x:c r="J46" s="17" t="str">
        <x:v>返回409 STATE_TRANSITION_INVALID；不改变状态；写安全审计（按风险级别）</x:v>
      </x:c>
      <x:c r="K46" s="17" t="str">
        <x:v>version乐观锁/唯一键/事务；受影响行数必须=1</x:v>
      </x:c>
      <x:c r="L46" s="17" t="str">
        <x:v>追加状态日志或不可变快照，禁止覆盖历史</x:v>
      </x:c>
      <x:c r="M46" s="4" t="str">
        <x:v>P0-026,P0-058,P0-096</x:v>
      </x:c>
      <x:c r="N46" s="4" t="str">
        <x:v>DRAFT_TO_FREEZE_IN_STAGE</x:v>
      </x:c>
    </x:row>
    <x:row r="47" ht="23" customHeight="1">
      <x:c r="A47" s="4" t="str">
        <x:v>RefundTransaction</x:v>
      </x:c>
      <x:c r="B47" s="4" t="str">
        <x:v>M3</x:v>
      </x:c>
      <x:c r="C47" s="4" t="str">
        <x:v>PROCESSING</x:v>
      </x:c>
      <x:c r="D47" s="4" t="str">
        <x:v>WELFARE_REFUND_APPLIED</x:v>
      </x:c>
      <x:c r="E47" s="4" t="str">
        <x:v>PARTIAL_CHANNEL_DONE</x:v>
      </x:c>
      <x:c r="F47" s="4" t="str">
        <x:v>SYSTEM</x:v>
      </x:c>
      <x:c r="G47" s="17" t="str">
        <x:v>福利卡账本追加成功</x:v>
      </x:c>
      <x:c r="H47" s="17" t="str">
        <x:v>等待/执行微信退款</x:v>
      </x:c>
      <x:c r="I47" s="17" t="str">
        <x:v>refundNo+welfare</x:v>
      </x:c>
      <x:c r="J47" s="17" t="str">
        <x:v>返回409 STATE_TRANSITION_INVALID；不改变状态；写安全审计（按风险级别）</x:v>
      </x:c>
      <x:c r="K47" s="17" t="str">
        <x:v>version乐观锁/唯一键/事务；受影响行数必须=1</x:v>
      </x:c>
      <x:c r="L47" s="17" t="str">
        <x:v>追加状态日志或不可变快照，禁止覆盖历史</x:v>
      </x:c>
      <x:c r="M47" s="4" t="str">
        <x:v>P0-026,P0-058,P0-096</x:v>
      </x:c>
      <x:c r="N47" s="4" t="str">
        <x:v>DRAFT_TO_FREEZE_IN_STAGE</x:v>
      </x:c>
    </x:row>
    <x:row r="48" ht="23" customHeight="1">
      <x:c r="A48" s="4" t="str">
        <x:v>RefundTransaction</x:v>
      </x:c>
      <x:c r="B48" s="4" t="str">
        <x:v>M3</x:v>
      </x:c>
      <x:c r="C48" s="4" t="str">
        <x:v>PROCESSING</x:v>
      </x:c>
      <x:c r="D48" s="4" t="str">
        <x:v>ALL_CHANNELS_SUCCESS</x:v>
      </x:c>
      <x:c r="E48" s="4" t="str">
        <x:v>SUCCEEDED</x:v>
      </x:c>
      <x:c r="F48" s="4" t="str">
        <x:v>SYSTEM</x:v>
      </x:c>
      <x:c r="G48" s="17" t="str">
        <x:v>福利卡和微信应退部分均成功</x:v>
      </x:c>
      <x:c r="H48" s="17" t="str">
        <x:v>更新售后和订单退款汇总</x:v>
      </x:c>
      <x:c r="I48" s="17" t="str">
        <x:v>refundNo+allocationVersion</x:v>
      </x:c>
      <x:c r="J48" s="17" t="str">
        <x:v>返回409 STATE_TRANSITION_INVALID；不改变状态；写安全审计（按风险级别）</x:v>
      </x:c>
      <x:c r="K48" s="17" t="str">
        <x:v>version乐观锁/唯一键/事务；受影响行数必须=1</x:v>
      </x:c>
      <x:c r="L48" s="17" t="str">
        <x:v>追加状态日志或不可变快照，禁止覆盖历史</x:v>
      </x:c>
      <x:c r="M48" s="4" t="str">
        <x:v>P0-026,P0-058,P0-096</x:v>
      </x:c>
      <x:c r="N48" s="4" t="str">
        <x:v>DRAFT_TO_FREEZE_IN_STAGE</x:v>
      </x:c>
    </x:row>
    <x:row r="49" ht="23" customHeight="1">
      <x:c r="A49" s="4" t="str">
        <x:v>RefundTransaction</x:v>
      </x:c>
      <x:c r="B49" s="4" t="str">
        <x:v>M3</x:v>
      </x:c>
      <x:c r="C49" s="4" t="str">
        <x:v>PARTIAL_CHANNEL_DONE</x:v>
      </x:c>
      <x:c r="D49" s="4" t="str">
        <x:v>WECHAT_REFUND_SUCCESS</x:v>
      </x:c>
      <x:c r="E49" s="4" t="str">
        <x:v>SUCCEEDED</x:v>
      </x:c>
      <x:c r="F49" s="4" t="str">
        <x:v>WECHAT_CALLBACK</x:v>
      </x:c>
      <x:c r="G49" s="17" t="str">
        <x:v>验签且退款号/金额匹配</x:v>
      </x:c>
      <x:c r="H49" s="17" t="str">
        <x:v>完成聚合状态</x:v>
      </x:c>
      <x:c r="I49" s="17" t="str">
        <x:v>wechatRefundNo</x:v>
      </x:c>
      <x:c r="J49" s="17" t="str">
        <x:v>返回409 STATE_TRANSITION_INVALID；不改变状态；写安全审计（按风险级别）</x:v>
      </x:c>
      <x:c r="K49" s="17" t="str">
        <x:v>version乐观锁/唯一键/事务；受影响行数必须=1</x:v>
      </x:c>
      <x:c r="L49" s="17" t="str">
        <x:v>追加状态日志或不可变快照，禁止覆盖历史</x:v>
      </x:c>
      <x:c r="M49" s="4" t="str">
        <x:v>P0-026,P0-058,P0-096</x:v>
      </x:c>
      <x:c r="N49" s="4" t="str">
        <x:v>DRAFT_TO_FREEZE_IN_STAGE</x:v>
      </x:c>
    </x:row>
    <x:row r="50" ht="23" customHeight="1">
      <x:c r="A50" s="4" t="str">
        <x:v>RefundTransaction</x:v>
      </x:c>
      <x:c r="B50" s="4" t="str">
        <x:v>M3</x:v>
      </x:c>
      <x:c r="C50" s="4" t="str">
        <x:v>PROCESSING</x:v>
      </x:c>
      <x:c r="D50" s="4" t="str">
        <x:v>CHANNEL_UNKNOWN</x:v>
      </x:c>
      <x:c r="E50" s="4" t="str">
        <x:v>UNKNOWN</x:v>
      </x:c>
      <x:c r="F50" s="4" t="str">
        <x:v>SYSTEM</x:v>
      </x:c>
      <x:c r="G50" s="17" t="str">
        <x:v>外部结果未知</x:v>
      </x:c>
      <x:c r="H50" s="17" t="str">
        <x:v>禁止重复发起；进入查询补偿</x:v>
      </x:c>
      <x:c r="I50" s="17" t="str">
        <x:v>refundNo+queryAttempt</x:v>
      </x:c>
      <x:c r="J50" s="17" t="str">
        <x:v>返回409 STATE_TRANSITION_INVALID；不改变状态；写安全审计（按风险级别）</x:v>
      </x:c>
      <x:c r="K50" s="17" t="str">
        <x:v>version乐观锁/唯一键/事务；受影响行数必须=1</x:v>
      </x:c>
      <x:c r="L50" s="17" t="str">
        <x:v>追加状态日志或不可变快照，禁止覆盖历史</x:v>
      </x:c>
      <x:c r="M50" s="4" t="str">
        <x:v>P0-026,P0-058,P0-096</x:v>
      </x:c>
      <x:c r="N50" s="4" t="str">
        <x:v>DRAFT_TO_FREEZE_IN_STAGE</x:v>
      </x:c>
    </x:row>
    <x:row r="51" ht="23" customHeight="1">
      <x:c r="A51" s="4" t="str">
        <x:v>RefundTransaction</x:v>
      </x:c>
      <x:c r="B51" s="4" t="str">
        <x:v>M3</x:v>
      </x:c>
      <x:c r="C51" s="4" t="str">
        <x:v>PROCESSING</x:v>
      </x:c>
      <x:c r="D51" s="4" t="str">
        <x:v>FAIL_CONFIRMED</x:v>
      </x:c>
      <x:c r="E51" s="4" t="str">
        <x:v>FAILED</x:v>
      </x:c>
      <x:c r="F51" s="4" t="str">
        <x:v>SYSTEM</x:v>
      </x:c>
      <x:c r="G51" s="17" t="str">
        <x:v>确认未退款且可安全重试/人工处理</x:v>
      </x:c>
      <x:c r="H51" s="17" t="str">
        <x:v>保留失败原因</x:v>
      </x:c>
      <x:c r="I51" s="17" t="str">
        <x:v>refundNo+failureCode</x:v>
      </x:c>
      <x:c r="J51" s="17" t="str">
        <x:v>返回409 STATE_TRANSITION_INVALID；不改变状态；写安全审计（按风险级别）</x:v>
      </x:c>
      <x:c r="K51" s="17" t="str">
        <x:v>version乐观锁/唯一键/事务；受影响行数必须=1</x:v>
      </x:c>
      <x:c r="L51" s="17" t="str">
        <x:v>追加状态日志或不可变快照，禁止覆盖历史</x:v>
      </x:c>
      <x:c r="M51" s="4" t="str">
        <x:v>P0-026,P0-058,P0-096</x:v>
      </x:c>
      <x:c r="N51" s="4" t="str">
        <x:v>DRAFT_TO_FREEZE_IN_STAGE</x:v>
      </x:c>
    </x:row>
    <x:row r="52" ht="23" customHeight="1">
      <x:c r="A52" s="4" t="str">
        <x:v>WelfareCardAccount</x:v>
      </x:c>
      <x:c r="B52" s="4" t="str">
        <x:v>M3</x:v>
      </x:c>
      <x:c r="C52" s="4" t="str">
        <x:v>UNCLAIMED</x:v>
      </x:c>
      <x:c r="D52" s="4" t="str">
        <x:v>BIND</x:v>
      </x:c>
      <x:c r="E52" s="4" t="str">
        <x:v>ACTIVE</x:v>
      </x:c>
      <x:c r="F52" s="4" t="str">
        <x:v>CONSUMER_USER</x:v>
      </x:c>
      <x:c r="G52" s="17" t="str">
        <x:v>卡号/密文校验、未绑定、计划有效</x:v>
      </x:c>
      <x:c r="H52" s="17" t="str">
        <x:v>创建账户并追加CLAIM账本</x:v>
      </x:c>
      <x:c r="I52" s="17" t="str">
        <x:v>cardCodeHash+consumerUserId</x:v>
      </x:c>
      <x:c r="J52" s="17" t="str">
        <x:v>返回409 STATE_TRANSITION_INVALID；不改变状态；写安全审计（按风险级别）</x:v>
      </x:c>
      <x:c r="K52" s="17" t="str">
        <x:v>version乐观锁/唯一键/事务；受影响行数必须=1</x:v>
      </x:c>
      <x:c r="L52" s="17" t="str">
        <x:v>追加状态日志或不可变快照，禁止覆盖历史</x:v>
      </x:c>
      <x:c r="M52" s="4" t="str">
        <x:v>P0-052,P0-053,P0-055,P0-059</x:v>
      </x:c>
      <x:c r="N52" s="4" t="str">
        <x:v>DRAFT_TO_FREEZE_IN_STAGE</x:v>
      </x:c>
    </x:row>
    <x:row r="53" ht="23" customHeight="1">
      <x:c r="A53" s="4" t="str">
        <x:v>WelfareCardAccount</x:v>
      </x:c>
      <x:c r="B53" s="4" t="str">
        <x:v>M3</x:v>
      </x:c>
      <x:c r="C53" s="4" t="str">
        <x:v>ACTIVE</x:v>
      </x:c>
      <x:c r="D53" s="4" t="str">
        <x:v>FREEZE_ORDER_AMOUNT</x:v>
      </x:c>
      <x:c r="E53" s="4" t="str">
        <x:v>ACTIVE</x:v>
      </x:c>
      <x:c r="F53" s="4" t="str">
        <x:v>SYSTEM</x:v>
      </x:c>
      <x:c r="G53" s="17" t="str">
        <x:v>适用范围与可用余额满足</x:v>
      </x:c>
      <x:c r="H53" s="17" t="str">
        <x:v>追加冻结账本；balance/frozen原子变化</x:v>
      </x:c>
      <x:c r="I53" s="17" t="str">
        <x:v>orderId+accountId+freeze</x:v>
      </x:c>
      <x:c r="J53" s="17" t="str">
        <x:v>返回409 STATE_TRANSITION_INVALID；不改变状态；写安全审计（按风险级别）</x:v>
      </x:c>
      <x:c r="K53" s="17" t="str">
        <x:v>version乐观锁/唯一键/事务；受影响行数必须=1</x:v>
      </x:c>
      <x:c r="L53" s="17" t="str">
        <x:v>追加状态日志或不可变快照，禁止覆盖历史</x:v>
      </x:c>
      <x:c r="M53" s="4" t="str">
        <x:v>P0-052,P0-053,P0-055,P0-059</x:v>
      </x:c>
      <x:c r="N53" s="4" t="str">
        <x:v>DRAFT_TO_FREEZE_IN_STAGE</x:v>
      </x:c>
    </x:row>
    <x:row r="54" ht="23" customHeight="1">
      <x:c r="A54" s="4" t="str">
        <x:v>WelfareCardAccount</x:v>
      </x:c>
      <x:c r="B54" s="4" t="str">
        <x:v>M3</x:v>
      </x:c>
      <x:c r="C54" s="4" t="str">
        <x:v>ACTIVE</x:v>
      </x:c>
      <x:c r="D54" s="4" t="str">
        <x:v>CAPTURE_ORDER_AMOUNT</x:v>
      </x:c>
      <x:c r="E54" s="4" t="str">
        <x:v>ACTIVE</x:v>
      </x:c>
      <x:c r="F54" s="4" t="str">
        <x:v>SYSTEM</x:v>
      </x:c>
      <x:c r="G54" s="17" t="str">
        <x:v>对应冻结存在且支付闭环成功</x:v>
      </x:c>
      <x:c r="H54" s="17" t="str">
        <x:v>追加扣减账本</x:v>
      </x:c>
      <x:c r="I54" s="17" t="str">
        <x:v>orderId+accountId+capture</x:v>
      </x:c>
      <x:c r="J54" s="17" t="str">
        <x:v>返回409 STATE_TRANSITION_INVALID；不改变状态；写安全审计（按风险级别）</x:v>
      </x:c>
      <x:c r="K54" s="17" t="str">
        <x:v>version乐观锁/唯一键/事务；受影响行数必须=1</x:v>
      </x:c>
      <x:c r="L54" s="17" t="str">
        <x:v>追加状态日志或不可变快照，禁止覆盖历史</x:v>
      </x:c>
      <x:c r="M54" s="4" t="str">
        <x:v>P0-052,P0-053,P0-055,P0-059</x:v>
      </x:c>
      <x:c r="N54" s="4" t="str">
        <x:v>DRAFT_TO_FREEZE_IN_STAGE</x:v>
      </x:c>
    </x:row>
    <x:row r="55" ht="23" customHeight="1">
      <x:c r="A55" s="4" t="str">
        <x:v>WelfareCardAccount</x:v>
      </x:c>
      <x:c r="B55" s="4" t="str">
        <x:v>M3</x:v>
      </x:c>
      <x:c r="C55" s="4" t="str">
        <x:v>ACTIVE</x:v>
      </x:c>
      <x:c r="D55" s="4" t="str">
        <x:v>RELEASE_ORDER_AMOUNT</x:v>
      </x:c>
      <x:c r="E55" s="4" t="str">
        <x:v>ACTIVE</x:v>
      </x:c>
      <x:c r="F55" s="4" t="str">
        <x:v>SYSTEM</x:v>
      </x:c>
      <x:c r="G55" s="17" t="str">
        <x:v>取消/支付失败且冻结尚未捕获</x:v>
      </x:c>
      <x:c r="H55" s="17" t="str">
        <x:v>追加解冻账本</x:v>
      </x:c>
      <x:c r="I55" s="17" t="str">
        <x:v>orderId+accountId+release</x:v>
      </x:c>
      <x:c r="J55" s="17" t="str">
        <x:v>返回409 STATE_TRANSITION_INVALID；不改变状态；写安全审计（按风险级别）</x:v>
      </x:c>
      <x:c r="K55" s="17" t="str">
        <x:v>version乐观锁/唯一键/事务；受影响行数必须=1</x:v>
      </x:c>
      <x:c r="L55" s="17" t="str">
        <x:v>追加状态日志或不可变快照，禁止覆盖历史</x:v>
      </x:c>
      <x:c r="M55" s="4" t="str">
        <x:v>P0-052,P0-053,P0-055,P0-059</x:v>
      </x:c>
      <x:c r="N55" s="4" t="str">
        <x:v>DRAFT_TO_FREEZE_IN_STAGE</x:v>
      </x:c>
    </x:row>
    <x:row r="56" ht="23" customHeight="1">
      <x:c r="A56" s="4" t="str">
        <x:v>WelfareCardAccount</x:v>
      </x:c>
      <x:c r="B56" s="4" t="str">
        <x:v>M3</x:v>
      </x:c>
      <x:c r="C56" s="4" t="str">
        <x:v>ACTIVE</x:v>
      </x:c>
      <x:c r="D56" s="4" t="str">
        <x:v>REFUND</x:v>
      </x:c>
      <x:c r="E56" s="4" t="str">
        <x:v>ACTIVE</x:v>
      </x:c>
      <x:c r="F56" s="4" t="str">
        <x:v>SYSTEM</x:v>
      </x:c>
      <x:c r="G56" s="17" t="str">
        <x:v>原福利卡分配可退额充足</x:v>
      </x:c>
      <x:c r="H56" s="17" t="str">
        <x:v>追加退款账本</x:v>
      </x:c>
      <x:c r="I56" s="17" t="str">
        <x:v>refundId+accountId</x:v>
      </x:c>
      <x:c r="J56" s="17" t="str">
        <x:v>返回409 STATE_TRANSITION_INVALID；不改变状态；写安全审计（按风险级别）</x:v>
      </x:c>
      <x:c r="K56" s="17" t="str">
        <x:v>version乐观锁/唯一键/事务；受影响行数必须=1</x:v>
      </x:c>
      <x:c r="L56" s="17" t="str">
        <x:v>追加状态日志或不可变快照，禁止覆盖历史</x:v>
      </x:c>
      <x:c r="M56" s="4" t="str">
        <x:v>P0-052,P0-053,P0-055,P0-059</x:v>
      </x:c>
      <x:c r="N56" s="4" t="str">
        <x:v>DRAFT_TO_FREEZE_IN_STAGE</x:v>
      </x:c>
    </x:row>
    <x:row r="57" ht="23" customHeight="1">
      <x:c r="A57" s="4" t="str">
        <x:v>WelfareCardAccount</x:v>
      </x:c>
      <x:c r="B57" s="4" t="str">
        <x:v>M3</x:v>
      </x:c>
      <x:c r="C57" s="4" t="str">
        <x:v>ACTIVE</x:v>
      </x:c>
      <x:c r="D57" s="4" t="str">
        <x:v>SUSPEND</x:v>
      </x:c>
      <x:c r="E57" s="4" t="str">
        <x:v>SUSPENDED</x:v>
      </x:c>
      <x:c r="F57" s="4" t="str">
        <x:v>COMPANY_WELFARE_CARD</x:v>
      </x:c>
      <x:c r="G57" s="17" t="str">
        <x:v>风险原因存在</x:v>
      </x:c>
      <x:c r="H57" s="17" t="str">
        <x:v>阻止新冻结；不改历史</x:v>
      </x:c>
      <x:c r="I57" s="17" t="str">
        <x:v>accountId+version</x:v>
      </x:c>
      <x:c r="J57" s="17" t="str">
        <x:v>返回409 STATE_TRANSITION_INVALID；不改变状态；写安全审计（按风险级别）</x:v>
      </x:c>
      <x:c r="K57" s="17" t="str">
        <x:v>version乐观锁/唯一键/事务；受影响行数必须=1</x:v>
      </x:c>
      <x:c r="L57" s="17" t="str">
        <x:v>追加状态日志或不可变快照，禁止覆盖历史</x:v>
      </x:c>
      <x:c r="M57" s="4" t="str">
        <x:v>P0-052,P0-053,P0-055,P0-059</x:v>
      </x:c>
      <x:c r="N57" s="4" t="str">
        <x:v>DRAFT_TO_FREEZE_IN_STAGE</x:v>
      </x:c>
    </x:row>
    <x:row r="58" ht="23" customHeight="1">
      <x:c r="A58" s="4" t="str">
        <x:v>SupplierFulfillmentSubOrder</x:v>
      </x:c>
      <x:c r="B58" s="4" t="str">
        <x:v>M3</x:v>
      </x:c>
      <x:c r="C58" s="4" t="str">
        <x:v>PENDING</x:v>
      </x:c>
      <x:c r="D58" s="4" t="str">
        <x:v>ACCEPT</x:v>
      </x:c>
      <x:c r="E58" s="4" t="str">
        <x:v>ACCEPTED</x:v>
      </x:c>
      <x:c r="F58" s="4" t="str">
        <x:v>SUPPLIER_FULFILLMENT</x:v>
      </x:c>
      <x:c r="G58" s="17" t="str">
        <x:v>主订单已支付且supplierId匹配</x:v>
      </x:c>
      <x:c r="H58" s="17" t="str">
        <x:v>锁定履约视图</x:v>
      </x:c>
      <x:c r="I58" s="17" t="str">
        <x:v>subOrderId+version</x:v>
      </x:c>
      <x:c r="J58" s="17" t="str">
        <x:v>返回409 STATE_TRANSITION_INVALID；不改变状态；写安全审计（按风险级别）</x:v>
      </x:c>
      <x:c r="K58" s="17" t="str">
        <x:v>version乐观锁/唯一键/事务；受影响行数必须=1</x:v>
      </x:c>
      <x:c r="L58" s="17" t="str">
        <x:v>追加状态日志或不可变快照，禁止覆盖历史</x:v>
      </x:c>
      <x:c r="M58" s="4" t="str">
        <x:v>P0-031,P0-062,P0-064,P0-065</x:v>
      </x:c>
      <x:c r="N58" s="4" t="str">
        <x:v>DRAFT_TO_FREEZE_IN_STAGE</x:v>
      </x:c>
    </x:row>
    <x:row r="59" ht="23" customHeight="1">
      <x:c r="A59" s="4" t="str">
        <x:v>SupplierFulfillmentSubOrder</x:v>
      </x:c>
      <x:c r="B59" s="4" t="str">
        <x:v>M3</x:v>
      </x:c>
      <x:c r="C59" s="4" t="str">
        <x:v>ACCEPTED</x:v>
      </x:c>
      <x:c r="D59" s="4" t="str">
        <x:v>START_PREPARING</x:v>
      </x:c>
      <x:c r="E59" s="4" t="str">
        <x:v>PREPARING</x:v>
      </x:c>
      <x:c r="F59" s="4" t="str">
        <x:v>SUPPLIER_FULFILLMENT</x:v>
      </x:c>
      <x:c r="G59" s="17" t="str">
        <x:v>库存已确认</x:v>
      </x:c>
      <x:c r="H59" s="17" t="str">
        <x:v>记录备货时间</x:v>
      </x:c>
      <x:c r="I59" s="17" t="str">
        <x:v>subOrderId+version</x:v>
      </x:c>
      <x:c r="J59" s="17" t="str">
        <x:v>返回409 STATE_TRANSITION_INVALID；不改变状态；写安全审计（按风险级别）</x:v>
      </x:c>
      <x:c r="K59" s="17" t="str">
        <x:v>version乐观锁/唯一键/事务；受影响行数必须=1</x:v>
      </x:c>
      <x:c r="L59" s="17" t="str">
        <x:v>追加状态日志或不可变快照，禁止覆盖历史</x:v>
      </x:c>
      <x:c r="M59" s="4" t="str">
        <x:v>P0-031,P0-062,P0-064,P0-065</x:v>
      </x:c>
      <x:c r="N59" s="4" t="str">
        <x:v>DRAFT_TO_FREEZE_IN_STAGE</x:v>
      </x:c>
    </x:row>
    <x:row r="60" ht="23" customHeight="1">
      <x:c r="A60" s="4" t="str">
        <x:v>SupplierFulfillmentSubOrder</x:v>
      </x:c>
      <x:c r="B60" s="4" t="str">
        <x:v>M3</x:v>
      </x:c>
      <x:c r="C60" s="4" t="str">
        <x:v>PREPARING</x:v>
      </x:c>
      <x:c r="D60" s="4" t="str">
        <x:v>MARK_READY</x:v>
      </x:c>
      <x:c r="E60" s="4" t="str">
        <x:v>READY_FOR_HANDOVER</x:v>
      </x:c>
      <x:c r="F60" s="4" t="str">
        <x:v>SUPPLIER_FULFILLMENT</x:v>
      </x:c>
      <x:c r="G60" s="17" t="str">
        <x:v>商品/数量/取货点校验</x:v>
      </x:c>
      <x:c r="H60" s="17" t="str">
        <x:v>个人单可生成一次DeliveryTask；企业单仅进入公司汇总</x:v>
      </x:c>
      <x:c r="I60" s="17" t="str">
        <x:v>subOrderId+readyVersion</x:v>
      </x:c>
      <x:c r="J60" s="17" t="str">
        <x:v>返回409 STATE_TRANSITION_INVALID；不改变状态；写安全审计（按风险级别）</x:v>
      </x:c>
      <x:c r="K60" s="17" t="str">
        <x:v>version乐观锁/唯一键/事务；受影响行数必须=1</x:v>
      </x:c>
      <x:c r="L60" s="17" t="str">
        <x:v>追加状态日志或不可变快照，禁止覆盖历史</x:v>
      </x:c>
      <x:c r="M60" s="4" t="str">
        <x:v>P0-031,P0-062,P0-064,P0-065</x:v>
      </x:c>
      <x:c r="N60" s="4" t="str">
        <x:v>DRAFT_TO_FREEZE_IN_STAGE</x:v>
      </x:c>
    </x:row>
    <x:row r="61" ht="23" customHeight="1">
      <x:c r="A61" s="4" t="str">
        <x:v>SupplierFulfillmentSubOrder</x:v>
      </x:c>
      <x:c r="B61" s="4" t="str">
        <x:v>M3</x:v>
      </x:c>
      <x:c r="C61" s="4" t="str">
        <x:v>READY_FOR_HANDOVER</x:v>
      </x:c>
      <x:c r="D61" s="4" t="str">
        <x:v>HANDOVER</x:v>
      </x:c>
      <x:c r="E61" s="4" t="str">
        <x:v>HANDED_OVER</x:v>
      </x:c>
      <x:c r="F61" s="4" t="str">
        <x:v>SUPPLIER_FULFILLMENT</x:v>
      </x:c>
      <x:c r="G61" s="17" t="str">
        <x:v>交接对象和凭证匹配渠道</x:v>
      </x:c>
      <x:c r="H61" s="17" t="str">
        <x:v>追加交接日志</x:v>
      </x:c>
      <x:c r="I61" s="17" t="str">
        <x:v>subOrderId+handoverToken</x:v>
      </x:c>
      <x:c r="J61" s="17" t="str">
        <x:v>返回409 STATE_TRANSITION_INVALID；不改变状态；写安全审计（按风险级别）</x:v>
      </x:c>
      <x:c r="K61" s="17" t="str">
        <x:v>version乐观锁/唯一键/事务；受影响行数必须=1</x:v>
      </x:c>
      <x:c r="L61" s="17" t="str">
        <x:v>追加状态日志或不可变快照，禁止覆盖历史</x:v>
      </x:c>
      <x:c r="M61" s="4" t="str">
        <x:v>P0-031,P0-062,P0-064,P0-065</x:v>
      </x:c>
      <x:c r="N61" s="4" t="str">
        <x:v>DRAFT_TO_FREEZE_IN_STAGE</x:v>
      </x:c>
    </x:row>
    <x:row r="62" ht="23" customHeight="1">
      <x:c r="A62" s="4" t="str">
        <x:v>SupplierFulfillmentSubOrder</x:v>
      </x:c>
      <x:c r="B62" s="4" t="str">
        <x:v>M3</x:v>
      </x:c>
      <x:c r="C62" s="4" t="str">
        <x:v>HANDED_OVER</x:v>
      </x:c>
      <x:c r="D62" s="4" t="str">
        <x:v>COMPLETE</x:v>
      </x:c>
      <x:c r="E62" s="4" t="str">
        <x:v>COMPLETED</x:v>
      </x:c>
      <x:c r="F62" s="4" t="str">
        <x:v>SYSTEM</x:v>
      </x:c>
      <x:c r="G62" s="17" t="str">
        <x:v>对应配送/签收完成</x:v>
      </x:c>
      <x:c r="H62" s="17" t="str">
        <x:v>进入对账候选</x:v>
      </x:c>
      <x:c r="I62" s="17" t="str">
        <x:v>subOrderId+receiptVersion</x:v>
      </x:c>
      <x:c r="J62" s="17" t="str">
        <x:v>返回409 STATE_TRANSITION_INVALID；不改变状态；写安全审计（按风险级别）</x:v>
      </x:c>
      <x:c r="K62" s="17" t="str">
        <x:v>version乐观锁/唯一键/事务；受影响行数必须=1</x:v>
      </x:c>
      <x:c r="L62" s="17" t="str">
        <x:v>追加状态日志或不可变快照，禁止覆盖历史</x:v>
      </x:c>
      <x:c r="M62" s="4" t="str">
        <x:v>P0-031,P0-062,P0-064,P0-065</x:v>
      </x:c>
      <x:c r="N62" s="4" t="str">
        <x:v>DRAFT_TO_FREEZE_IN_STAGE</x:v>
      </x:c>
    </x:row>
    <x:row r="63" ht="23" customHeight="1">
      <x:c r="A63" s="4" t="str">
        <x:v>DeliveryTask</x:v>
      </x:c>
      <x:c r="B63" s="4" t="str">
        <x:v>M4</x:v>
      </x:c>
      <x:c r="C63" s="4" t="str">
        <x:v>CREATED</x:v>
      </x:c>
      <x:c r="D63" s="4" t="str">
        <x:v>PUBLISH_HALL</x:v>
      </x:c>
      <x:c r="E63" s="4" t="str">
        <x:v>HALL_PUBLISHED</x:v>
      </x:c>
      <x:c r="F63" s="4" t="str">
        <x:v>COMPANY_LOGISTICS_OR_SYSTEM</x:v>
      </x:c>
      <x:c r="G63" s="17" t="str">
        <x:v>个人子单READY且取货/目的地快照完整；企业单禁止</x:v>
      </x:c>
      <x:c r="H63" s="17" t="str">
        <x:v>写hallPublishedAt</x:v>
      </x:c>
      <x:c r="I63" s="17" t="str">
        <x:v>subOrderId+deliveryTaskType</x:v>
      </x:c>
      <x:c r="J63" s="17" t="str">
        <x:v>返回409 STATE_TRANSITION_INVALID；不改变状态；写安全审计（按风险级别）</x:v>
      </x:c>
      <x:c r="K63" s="17" t="str">
        <x:v>version乐观锁/唯一键/事务；受影响行数必须=1</x:v>
      </x:c>
      <x:c r="L63" s="17" t="str">
        <x:v>追加状态日志或不可变快照，禁止覆盖历史</x:v>
      </x:c>
      <x:c r="M63" s="4" t="str">
        <x:v>P0-032,P0-033,P0-102,P0-103,P0-105,P0-107,P0-108,P0-109,P0-110</x:v>
      </x:c>
      <x:c r="N63" s="4" t="str">
        <x:v>DRAFT_TO_FREEZE_IN_STAGE</x:v>
      </x:c>
    </x:row>
    <x:row r="64" ht="23" customHeight="1">
      <x:c r="A64" s="4" t="str">
        <x:v>DeliveryTask</x:v>
      </x:c>
      <x:c r="B64" s="4" t="str">
        <x:v>M4</x:v>
      </x:c>
      <x:c r="C64" s="4" t="str">
        <x:v>HALL_PUBLISHED</x:v>
      </x:c>
      <x:c r="D64" s="4" t="str">
        <x:v>CLAIM</x:v>
      </x:c>
      <x:c r="E64" s="4" t="str">
        <x:v>ACCEPTED</x:v>
      </x:c>
      <x:c r="F64" s="4" t="str">
        <x:v>RUNNER</x:v>
      </x:c>
      <x:c r="G64" s="17" t="str">
        <x:v>跑腿员ACTIVE+ONLINE+服务区+容量；runnerId为空</x:v>
      </x:c>
      <x:c r="H64" s="17" t="str">
        <x:v>CAS写runnerId并追加分配日志</x:v>
      </x:c>
      <x:c r="I64" s="17" t="str">
        <x:v>deliveryTaskId+runnerId+claimKey</x:v>
      </x:c>
      <x:c r="J64" s="17" t="str">
        <x:v>返回409 STATE_TRANSITION_INVALID；不改变状态；写安全审计（按风险级别）</x:v>
      </x:c>
      <x:c r="K64" s="17" t="str">
        <x:v>version乐观锁/唯一键/事务；受影响行数必须=1</x:v>
      </x:c>
      <x:c r="L64" s="17" t="str">
        <x:v>追加状态日志或不可变快照，禁止覆盖历史</x:v>
      </x:c>
      <x:c r="M64" s="4" t="str">
        <x:v>P0-032,P0-033,P0-102,P0-103,P0-105,P0-107,P0-108,P0-109,P0-110</x:v>
      </x:c>
      <x:c r="N64" s="4" t="str">
        <x:v>DRAFT_TO_FREEZE_IN_STAGE</x:v>
      </x:c>
    </x:row>
    <x:row r="65" ht="23" customHeight="1">
      <x:c r="A65" s="4" t="str">
        <x:v>DeliveryTask</x:v>
      </x:c>
      <x:c r="B65" s="4" t="str">
        <x:v>M4</x:v>
      </x:c>
      <x:c r="C65" s="4" t="str">
        <x:v>ACCEPTED</x:v>
      </x:c>
      <x:c r="D65" s="4" t="str">
        <x:v>ARRIVE_PICKUP</x:v>
      </x:c>
      <x:c r="E65" s="4" t="str">
        <x:v>ARRIVED_PICKUP</x:v>
      </x:c>
      <x:c r="F65" s="4" t="str">
        <x:v>ASSIGNED_RUNNER</x:v>
      </x:c>
      <x:c r="G65" s="17" t="str">
        <x:v>当前runnerId匹配</x:v>
      </x:c>
      <x:c r="H65" s="17" t="str">
        <x:v>追加节点日志</x:v>
      </x:c>
      <x:c r="I65" s="17" t="str">
        <x:v>taskId+node+clientKey</x:v>
      </x:c>
      <x:c r="J65" s="17" t="str">
        <x:v>返回409 STATE_TRANSITION_INVALID；不改变状态；写安全审计（按风险级别）</x:v>
      </x:c>
      <x:c r="K65" s="17" t="str">
        <x:v>version乐观锁/唯一键/事务；受影响行数必须=1</x:v>
      </x:c>
      <x:c r="L65" s="17" t="str">
        <x:v>追加状态日志或不可变快照，禁止覆盖历史</x:v>
      </x:c>
      <x:c r="M65" s="4" t="str">
        <x:v>P0-032,P0-033,P0-102,P0-103,P0-105,P0-107,P0-108,P0-109,P0-110</x:v>
      </x:c>
      <x:c r="N65" s="4" t="str">
        <x:v>DRAFT_TO_FREEZE_IN_STAGE</x:v>
      </x:c>
    </x:row>
    <x:row r="66" ht="23" customHeight="1">
      <x:c r="A66" s="4" t="str">
        <x:v>DeliveryTask</x:v>
      </x:c>
      <x:c r="B66" s="4" t="str">
        <x:v>M4</x:v>
      </x:c>
      <x:c r="C66" s="4" t="str">
        <x:v>ARRIVED_PICKUP</x:v>
      </x:c>
      <x:c r="D66" s="4" t="str">
        <x:v>PICK_UP</x:v>
      </x:c>
      <x:c r="E66" s="4" t="str">
        <x:v>PICKED_UP</x:v>
      </x:c>
      <x:c r="F66" s="4" t="str">
        <x:v>ASSIGNED_RUNNER</x:v>
      </x:c>
      <x:c r="G66" s="17" t="str">
        <x:v>取货凭证/数量满足规则</x:v>
      </x:c>
      <x:c r="H66" s="17" t="str">
        <x:v>目的地联系信息进入最小可见期</x:v>
      </x:c>
      <x:c r="I66" s="17" t="str">
        <x:v>taskId+node+clientKey</x:v>
      </x:c>
      <x:c r="J66" s="17" t="str">
        <x:v>返回409 STATE_TRANSITION_INVALID；不改变状态；写安全审计（按风险级别）</x:v>
      </x:c>
      <x:c r="K66" s="17" t="str">
        <x:v>version乐观锁/唯一键/事务；受影响行数必须=1</x:v>
      </x:c>
      <x:c r="L66" s="17" t="str">
        <x:v>追加状态日志或不可变快照，禁止覆盖历史</x:v>
      </x:c>
      <x:c r="M66" s="4" t="str">
        <x:v>P0-032,P0-033,P0-102,P0-103,P0-105,P0-107,P0-108,P0-109,P0-110</x:v>
      </x:c>
      <x:c r="N66" s="4" t="str">
        <x:v>DRAFT_TO_FREEZE_IN_STAGE</x:v>
      </x:c>
    </x:row>
    <x:row r="67" ht="23" customHeight="1">
      <x:c r="A67" s="4" t="str">
        <x:v>DeliveryTask</x:v>
      </x:c>
      <x:c r="B67" s="4" t="str">
        <x:v>M4</x:v>
      </x:c>
      <x:c r="C67" s="4" t="str">
        <x:v>PICKED_UP</x:v>
      </x:c>
      <x:c r="D67" s="4" t="str">
        <x:v>DEPART</x:v>
      </x:c>
      <x:c r="E67" s="4" t="str">
        <x:v>IN_TRANSIT</x:v>
      </x:c>
      <x:c r="F67" s="4" t="str">
        <x:v>ASSIGNED_RUNNER</x:v>
      </x:c>
      <x:c r="G67" s="17" t="str">
        <x:v>当前runnerId匹配</x:v>
      </x:c>
      <x:c r="H67" s="17" t="str">
        <x:v>追加节点日志</x:v>
      </x:c>
      <x:c r="I67" s="17" t="str">
        <x:v>taskId+node+clientKey</x:v>
      </x:c>
      <x:c r="J67" s="17" t="str">
        <x:v>返回409 STATE_TRANSITION_INVALID；不改变状态；写安全审计（按风险级别）</x:v>
      </x:c>
      <x:c r="K67" s="17" t="str">
        <x:v>version乐观锁/唯一键/事务；受影响行数必须=1</x:v>
      </x:c>
      <x:c r="L67" s="17" t="str">
        <x:v>追加状态日志或不可变快照，禁止覆盖历史</x:v>
      </x:c>
      <x:c r="M67" s="4" t="str">
        <x:v>P0-032,P0-033,P0-102,P0-103,P0-105,P0-107,P0-108,P0-109,P0-110</x:v>
      </x:c>
      <x:c r="N67" s="4" t="str">
        <x:v>DRAFT_TO_FREEZE_IN_STAGE</x:v>
      </x:c>
    </x:row>
    <x:row r="68" ht="23" customHeight="1">
      <x:c r="A68" s="4" t="str">
        <x:v>DeliveryTask</x:v>
      </x:c>
      <x:c r="B68" s="4" t="str">
        <x:v>M4</x:v>
      </x:c>
      <x:c r="C68" s="4" t="str">
        <x:v>IN_TRANSIT</x:v>
      </x:c>
      <x:c r="D68" s="4" t="str">
        <x:v>DELIVER</x:v>
      </x:c>
      <x:c r="E68" s="4" t="str">
        <x:v>DELIVERED</x:v>
      </x:c>
      <x:c r="F68" s="4" t="str">
        <x:v>ASSIGNED_RUNNER</x:v>
      </x:c>
      <x:c r="G68" s="17" t="str">
        <x:v>签收凭证或合规例外存在</x:v>
      </x:c>
      <x:c r="H68" s="17" t="str">
        <x:v>写deliveredAt并同步订单</x:v>
      </x:c>
      <x:c r="I68" s="17" t="str">
        <x:v>taskId+node+clientKey</x:v>
      </x:c>
      <x:c r="J68" s="17" t="str">
        <x:v>返回409 STATE_TRANSITION_INVALID；不改变状态；写安全审计（按风险级别）</x:v>
      </x:c>
      <x:c r="K68" s="17" t="str">
        <x:v>version乐观锁/唯一键/事务；受影响行数必须=1</x:v>
      </x:c>
      <x:c r="L68" s="17" t="str">
        <x:v>追加状态日志或不可变快照，禁止覆盖历史</x:v>
      </x:c>
      <x:c r="M68" s="4" t="str">
        <x:v>P0-032,P0-033,P0-102,P0-103,P0-105,P0-107,P0-108,P0-109,P0-110</x:v>
      </x:c>
      <x:c r="N68" s="4" t="str">
        <x:v>DRAFT_TO_FREEZE_IN_STAGE</x:v>
      </x:c>
    </x:row>
    <x:row r="69" ht="23" customHeight="1">
      <x:c r="A69" s="4" t="str">
        <x:v>DeliveryTask</x:v>
      </x:c>
      <x:c r="B69" s="4" t="str">
        <x:v>M4</x:v>
      </x:c>
      <x:c r="C69" s="4" t="str">
        <x:v>ACCEPTED</x:v>
      </x:c>
      <x:c r="D69" s="4" t="str">
        <x:v>REPORT_EXCEPTION</x:v>
      </x:c>
      <x:c r="E69" s="4" t="str">
        <x:v>EXCEPTION</x:v>
      </x:c>
      <x:c r="F69" s="4" t="str">
        <x:v>ASSIGNED_RUNNER</x:v>
      </x:c>
      <x:c r="G69" s="17" t="str">
        <x:v>异常类型/描述完整</x:v>
      </x:c>
      <x:c r="H69" s="17" t="str">
        <x:v>创建DeliveryException并通知公司</x:v>
      </x:c>
      <x:c r="I69" s="17" t="str">
        <x:v>taskId+exceptionKey</x:v>
      </x:c>
      <x:c r="J69" s="17" t="str">
        <x:v>返回409 STATE_TRANSITION_INVALID；不改变状态；写安全审计（按风险级别）</x:v>
      </x:c>
      <x:c r="K69" s="17" t="str">
        <x:v>version乐观锁/唯一键/事务；受影响行数必须=1</x:v>
      </x:c>
      <x:c r="L69" s="17" t="str">
        <x:v>追加状态日志或不可变快照，禁止覆盖历史</x:v>
      </x:c>
      <x:c r="M69" s="4" t="str">
        <x:v>P0-032,P0-033,P0-102,P0-103,P0-105,P0-107,P0-108,P0-109,P0-110</x:v>
      </x:c>
      <x:c r="N69" s="4" t="str">
        <x:v>DRAFT_TO_FREEZE_IN_STAGE</x:v>
      </x:c>
    </x:row>
    <x:row r="70" ht="23" customHeight="1">
      <x:c r="A70" s="4" t="str">
        <x:v>DeliveryTask</x:v>
      </x:c>
      <x:c r="B70" s="4" t="str">
        <x:v>M4</x:v>
      </x:c>
      <x:c r="C70" s="4" t="str">
        <x:v>EXCEPTION</x:v>
      </x:c>
      <x:c r="D70" s="4" t="str">
        <x:v>RESUME</x:v>
      </x:c>
      <x:c r="E70" s="4" t="str">
        <x:v>ACCEPTED</x:v>
      </x:c>
      <x:c r="F70" s="4" t="str">
        <x:v>COMPANY_LOGISTICS</x:v>
      </x:c>
      <x:c r="G70" s="17" t="str">
        <x:v>处理结论允许继续</x:v>
      </x:c>
      <x:c r="H70" s="17" t="str">
        <x:v>追加异常解决日志</x:v>
      </x:c>
      <x:c r="I70" s="17" t="str">
        <x:v>exceptionId+decision</x:v>
      </x:c>
      <x:c r="J70" s="17" t="str">
        <x:v>返回409 STATE_TRANSITION_INVALID；不改变状态；写安全审计（按风险级别）</x:v>
      </x:c>
      <x:c r="K70" s="17" t="str">
        <x:v>version乐观锁/唯一键/事务；受影响行数必须=1</x:v>
      </x:c>
      <x:c r="L70" s="17" t="str">
        <x:v>追加状态日志或不可变快照，禁止覆盖历史</x:v>
      </x:c>
      <x:c r="M70" s="4" t="str">
        <x:v>P0-032,P0-033,P0-102,P0-103,P0-105,P0-107,P0-108,P0-109,P0-110</x:v>
      </x:c>
      <x:c r="N70" s="4" t="str">
        <x:v>DRAFT_TO_FREEZE_IN_STAGE</x:v>
      </x:c>
    </x:row>
    <x:row r="71" ht="23" customHeight="1">
      <x:c r="A71" s="4" t="str">
        <x:v>DeliveryTask</x:v>
      </x:c>
      <x:c r="B71" s="4" t="str">
        <x:v>M4</x:v>
      </x:c>
      <x:c r="C71" s="4" t="str">
        <x:v>HALL_PUBLISHED</x:v>
      </x:c>
      <x:c r="D71" s="4" t="str">
        <x:v>CANCEL</x:v>
      </x:c>
      <x:c r="E71" s="4" t="str">
        <x:v>CANCELLED</x:v>
      </x:c>
      <x:c r="F71" s="4" t="str">
        <x:v>COMPANY_LOGISTICS</x:v>
      </x:c>
      <x:c r="G71" s="17" t="str">
        <x:v>尚未接单或已安全补偿</x:v>
      </x:c>
      <x:c r="H71" s="17" t="str">
        <x:v>从大厅移除</x:v>
      </x:c>
      <x:c r="I71" s="17" t="str">
        <x:v>taskId+version</x:v>
      </x:c>
      <x:c r="J71" s="17" t="str">
        <x:v>返回409 STATE_TRANSITION_INVALID；不改变状态；写安全审计（按风险级别）</x:v>
      </x:c>
      <x:c r="K71" s="17" t="str">
        <x:v>version乐观锁/唯一键/事务；受影响行数必须=1</x:v>
      </x:c>
      <x:c r="L71" s="17" t="str">
        <x:v>追加状态日志或不可变快照，禁止覆盖历史</x:v>
      </x:c>
      <x:c r="M71" s="4" t="str">
        <x:v>P0-032,P0-033,P0-102,P0-103,P0-105,P0-107,P0-108,P0-109,P0-110</x:v>
      </x:c>
      <x:c r="N71" s="4" t="str">
        <x:v>DRAFT_TO_FREEZE_IN_STAGE</x:v>
      </x:c>
    </x:row>
    <x:row r="72" ht="23" customHeight="1">
      <x:c r="A72" s="4" t="str">
        <x:v>DeliveryTask</x:v>
      </x:c>
      <x:c r="B72" s="4" t="str">
        <x:v>M4</x:v>
      </x:c>
      <x:c r="C72" s="4" t="str">
        <x:v>ACCEPTED</x:v>
      </x:c>
      <x:c r="D72" s="4" t="str">
        <x:v>REASSIGN</x:v>
      </x:c>
      <x:c r="E72" s="4" t="str">
        <x:v>HALL_PUBLISHED</x:v>
      </x:c>
      <x:c r="F72" s="4" t="str">
        <x:v>COMPANY_LOGISTICS</x:v>
      </x:c>
      <x:c r="G72" s="17" t="str">
        <x:v>原跑腿员失权且未取货/满足人工规则</x:v>
      </x:c>
      <x:c r="H72" s="17" t="str">
        <x:v>清空runnerId、追加转派日志、撤销原访问</x:v>
      </x:c>
      <x:c r="I72" s="17" t="str">
        <x:v>taskId+assignmentVersion</x:v>
      </x:c>
      <x:c r="J72" s="17" t="str">
        <x:v>返回409 STATE_TRANSITION_INVALID；不改变状态；写安全审计（按风险级别）</x:v>
      </x:c>
      <x:c r="K72" s="17" t="str">
        <x:v>version乐观锁/唯一键/事务；受影响行数必须=1</x:v>
      </x:c>
      <x:c r="L72" s="17" t="str">
        <x:v>追加状态日志或不可变快照，禁止覆盖历史</x:v>
      </x:c>
      <x:c r="M72" s="4" t="str">
        <x:v>P0-032,P0-033,P0-102,P0-103,P0-105,P0-107,P0-108,P0-109,P0-110</x:v>
      </x:c>
      <x:c r="N72" s="4" t="str">
        <x:v>DRAFT_TO_FREEZE_IN_STAGE</x:v>
      </x:c>
    </x:row>
    <x:row r="73" ht="23" customHeight="1">
      <x:c r="A73" s="4" t="str">
        <x:v>EnterpriseDeliveryOrder</x:v>
      </x:c>
      <x:c r="B73" s="4" t="str">
        <x:v>M4</x:v>
      </x:c>
      <x:c r="C73" s="4" t="str">
        <x:v>DRAFT</x:v>
      </x:c>
      <x:c r="D73" s="4" t="str">
        <x:v>CONFIRM_ITEMS</x:v>
      </x:c>
      <x:c r="E73" s="4" t="str">
        <x:v>PLANNED</x:v>
      </x:c>
      <x:c r="F73" s="4" t="str">
        <x:v>COMPANY_LOGISTICS</x:v>
      </x:c>
      <x:c r="G73" s="17" t="str">
        <x:v>仅企业订单；配送项与供应商子单数量一致</x:v>
      </x:c>
      <x:c r="H73" s="17" t="str">
        <x:v>冻结企业汇总配送清单</x:v>
      </x:c>
      <x:c r="I73" s="17" t="str">
        <x:v>enterpriseOrderId+planVersion</x:v>
      </x:c>
      <x:c r="J73" s="17" t="str">
        <x:v>返回409 STATE_TRANSITION_INVALID；不改变状态；写安全审计（按风险级别）</x:v>
      </x:c>
      <x:c r="K73" s="17" t="str">
        <x:v>version乐观锁/唯一键/事务；受影响行数必须=1</x:v>
      </x:c>
      <x:c r="L73" s="17" t="str">
        <x:v>追加状态日志或不可变快照，禁止覆盖历史</x:v>
      </x:c>
      <x:c r="M73" s="4" t="str">
        <x:v>P0-064,P0-115,P0-116,P0-117,P0-118,P0-119</x:v>
      </x:c>
      <x:c r="N73" s="4" t="str">
        <x:v>DRAFT_TO_FREEZE_IN_STAGE</x:v>
      </x:c>
    </x:row>
    <x:row r="74" ht="23" customHeight="1">
      <x:c r="A74" s="4" t="str">
        <x:v>EnterpriseDeliveryOrder</x:v>
      </x:c>
      <x:c r="B74" s="4" t="str">
        <x:v>M4</x:v>
      </x:c>
      <x:c r="C74" s="4" t="str">
        <x:v>PLANNED</x:v>
      </x:c>
      <x:c r="D74" s="4" t="str">
        <x:v>ASSIGN_RESOURCE</x:v>
      </x:c>
      <x:c r="E74" s="4" t="str">
        <x:v>ASSIGNED</x:v>
      </x:c>
      <x:c r="F74" s="4" t="str">
        <x:v>COMPANY_LOGISTICS</x:v>
      </x:c>
      <x:c r="G74" s="17" t="str">
        <x:v>公司车辆/司机或承运商有效</x:v>
      </x:c>
      <x:c r="H74" s="17" t="str">
        <x:v>保存派车快照；绝不创建DeliveryTask</x:v>
      </x:c>
      <x:c r="I74" s="17" t="str">
        <x:v>deliveryOrderId+resourceVersion</x:v>
      </x:c>
      <x:c r="J74" s="17" t="str">
        <x:v>返回409 STATE_TRANSITION_INVALID；不改变状态；写安全审计（按风险级别）</x:v>
      </x:c>
      <x:c r="K74" s="17" t="str">
        <x:v>version乐观锁/唯一键/事务；受影响行数必须=1</x:v>
      </x:c>
      <x:c r="L74" s="17" t="str">
        <x:v>追加状态日志或不可变快照，禁止覆盖历史</x:v>
      </x:c>
      <x:c r="M74" s="4" t="str">
        <x:v>P0-064,P0-115,P0-116,P0-117,P0-118,P0-119</x:v>
      </x:c>
      <x:c r="N74" s="4" t="str">
        <x:v>DRAFT_TO_FREEZE_IN_STAGE</x:v>
      </x:c>
    </x:row>
    <x:row r="75" ht="23" customHeight="1">
      <x:c r="A75" s="4" t="str">
        <x:v>EnterpriseDeliveryOrder</x:v>
      </x:c>
      <x:c r="B75" s="4" t="str">
        <x:v>M4</x:v>
      </x:c>
      <x:c r="C75" s="4" t="str">
        <x:v>ASSIGNED</x:v>
      </x:c>
      <x:c r="D75" s="4" t="str">
        <x:v>START_PICKUP</x:v>
      </x:c>
      <x:c r="E75" s="4" t="str">
        <x:v>PICKING_UP</x:v>
      </x:c>
      <x:c r="F75" s="4" t="str">
        <x:v>COMPANY_DELIVERY_EXECUTOR</x:v>
      </x:c>
      <x:c r="G75" s="17" t="str">
        <x:v>移动执行令牌与人员匹配</x:v>
      </x:c>
      <x:c r="H75" s="17" t="str">
        <x:v>追加企业节点日志</x:v>
      </x:c>
      <x:c r="I75" s="17" t="str">
        <x:v>deliveryOrderId+node+clientKey</x:v>
      </x:c>
      <x:c r="J75" s="17" t="str">
        <x:v>返回409 STATE_TRANSITION_INVALID；不改变状态；写安全审计（按风险级别）</x:v>
      </x:c>
      <x:c r="K75" s="17" t="str">
        <x:v>version乐观锁/唯一键/事务；受影响行数必须=1</x:v>
      </x:c>
      <x:c r="L75" s="17" t="str">
        <x:v>追加状态日志或不可变快照，禁止覆盖历史</x:v>
      </x:c>
      <x:c r="M75" s="4" t="str">
        <x:v>P0-064,P0-115,P0-116,P0-117,P0-118,P0-119</x:v>
      </x:c>
      <x:c r="N75" s="4" t="str">
        <x:v>DRAFT_TO_FREEZE_IN_STAGE</x:v>
      </x:c>
    </x:row>
    <x:row r="76" ht="23" customHeight="1">
      <x:c r="A76" s="4" t="str">
        <x:v>EnterpriseDeliveryOrder</x:v>
      </x:c>
      <x:c r="B76" s="4" t="str">
        <x:v>M4</x:v>
      </x:c>
      <x:c r="C76" s="4" t="str">
        <x:v>PICKING_UP</x:v>
      </x:c>
      <x:c r="D76" s="4" t="str">
        <x:v>ALL_PICKED</x:v>
      </x:c>
      <x:c r="E76" s="4" t="str">
        <x:v>IN_TRANSIT</x:v>
      </x:c>
      <x:c r="F76" s="4" t="str">
        <x:v>COMPANY_DELIVERY_EXECUTOR</x:v>
      </x:c>
      <x:c r="G76" s="17" t="str">
        <x:v>每个配送项取货数量已登记</x:v>
      </x:c>
      <x:c r="H76" s="17" t="str">
        <x:v>通知企业预计送达</x:v>
      </x:c>
      <x:c r="I76" s="17" t="str">
        <x:v>deliveryOrderId+pickupVersion</x:v>
      </x:c>
      <x:c r="J76" s="17" t="str">
        <x:v>返回409 STATE_TRANSITION_INVALID；不改变状态；写安全审计（按风险级别）</x:v>
      </x:c>
      <x:c r="K76" s="17" t="str">
        <x:v>version乐观锁/唯一键/事务；受影响行数必须=1</x:v>
      </x:c>
      <x:c r="L76" s="17" t="str">
        <x:v>追加状态日志或不可变快照，禁止覆盖历史</x:v>
      </x:c>
      <x:c r="M76" s="4" t="str">
        <x:v>P0-064,P0-115,P0-116,P0-117,P0-118,P0-119</x:v>
      </x:c>
      <x:c r="N76" s="4" t="str">
        <x:v>DRAFT_TO_FREEZE_IN_STAGE</x:v>
      </x:c>
    </x:row>
    <x:row r="77" ht="23" customHeight="1">
      <x:c r="A77" s="4" t="str">
        <x:v>EnterpriseDeliveryOrder</x:v>
      </x:c>
      <x:c r="B77" s="4" t="str">
        <x:v>M4</x:v>
      </x:c>
      <x:c r="C77" s="4" t="str">
        <x:v>IN_TRANSIT</x:v>
      </x:c>
      <x:c r="D77" s="4" t="str">
        <x:v>PARTIAL_RECEIVE</x:v>
      </x:c>
      <x:c r="E77" s="4" t="str">
        <x:v>PARTIALLY_RECEIVED</x:v>
      </x:c>
      <x:c r="F77" s="4" t="str">
        <x:v>ENTERPRISE_PURCHASER</x:v>
      </x:c>
      <x:c r="G77" s="17" t="str">
        <x:v>逐项收货数量合法</x:v>
      </x:c>
      <x:c r="H77" s="17" t="str">
        <x:v>更新EnterpriseDeliveryItem；保留未收项</x:v>
      </x:c>
      <x:c r="I77" s="17" t="str">
        <x:v>deliveryOrderId+receiptKey</x:v>
      </x:c>
      <x:c r="J77" s="17" t="str">
        <x:v>返回409 STATE_TRANSITION_INVALID；不改变状态；写安全审计（按风险级别）</x:v>
      </x:c>
      <x:c r="K77" s="17" t="str">
        <x:v>version乐观锁/唯一键/事务；受影响行数必须=1</x:v>
      </x:c>
      <x:c r="L77" s="17" t="str">
        <x:v>追加状态日志或不可变快照，禁止覆盖历史</x:v>
      </x:c>
      <x:c r="M77" s="4" t="str">
        <x:v>P0-064,P0-115,P0-116,P0-117,P0-118,P0-119</x:v>
      </x:c>
      <x:c r="N77" s="4" t="str">
        <x:v>DRAFT_TO_FREEZE_IN_STAGE</x:v>
      </x:c>
    </x:row>
    <x:row r="78" ht="23" customHeight="1">
      <x:c r="A78" s="4" t="str">
        <x:v>EnterpriseDeliveryOrder</x:v>
      </x:c>
      <x:c r="B78" s="4" t="str">
        <x:v>M4</x:v>
      </x:c>
      <x:c r="C78" s="4" t="str">
        <x:v>IN_TRANSIT</x:v>
      </x:c>
      <x:c r="D78" s="4" t="str">
        <x:v>ALL_RECEIVE</x:v>
      </x:c>
      <x:c r="E78" s="4" t="str">
        <x:v>DELIVERED</x:v>
      </x:c>
      <x:c r="F78" s="4" t="str">
        <x:v>ENTERPRISE_PURCHASER</x:v>
      </x:c>
      <x:c r="G78" s="17" t="str">
        <x:v>全部计划数量已收或差异处理完成</x:v>
      </x:c>
      <x:c r="H78" s="17" t="str">
        <x:v>同步企业订单及供应商子单</x:v>
      </x:c>
      <x:c r="I78" s="17" t="str">
        <x:v>deliveryOrderId+receiptKey</x:v>
      </x:c>
      <x:c r="J78" s="17" t="str">
        <x:v>返回409 STATE_TRANSITION_INVALID；不改变状态；写安全审计（按风险级别）</x:v>
      </x:c>
      <x:c r="K78" s="17" t="str">
        <x:v>version乐观锁/唯一键/事务；受影响行数必须=1</x:v>
      </x:c>
      <x:c r="L78" s="17" t="str">
        <x:v>追加状态日志或不可变快照，禁止覆盖历史</x:v>
      </x:c>
      <x:c r="M78" s="4" t="str">
        <x:v>P0-064,P0-115,P0-116,P0-117,P0-118,P0-119</x:v>
      </x:c>
      <x:c r="N78" s="4" t="str">
        <x:v>DRAFT_TO_FREEZE_IN_STAGE</x:v>
      </x:c>
    </x:row>
    <x:row r="79" ht="23" customHeight="1">
      <x:c r="A79" s="4" t="str">
        <x:v>EnterpriseDeliveryOrder</x:v>
      </x:c>
      <x:c r="B79" s="4" t="str">
        <x:v>M4</x:v>
      </x:c>
      <x:c r="C79" s="4" t="str">
        <x:v>PARTIALLY_RECEIVED</x:v>
      </x:c>
      <x:c r="D79" s="4" t="str">
        <x:v>COMPLETE_REMAINDER</x:v>
      </x:c>
      <x:c r="E79" s="4" t="str">
        <x:v>DELIVERED</x:v>
      </x:c>
      <x:c r="F79" s="4" t="str">
        <x:v>ENTERPRISE_PURCHASER</x:v>
      </x:c>
      <x:c r="G79" s="17" t="str">
        <x:v>剩余项已收或有售后承接</x:v>
      </x:c>
      <x:c r="H79" s="17" t="str">
        <x:v>完成聚合并审计</x:v>
      </x:c>
      <x:c r="I79" s="17" t="str">
        <x:v>deliveryOrderId+receiptVersion</x:v>
      </x:c>
      <x:c r="J79" s="17" t="str">
        <x:v>返回409 STATE_TRANSITION_INVALID；不改变状态；写安全审计（按风险级别）</x:v>
      </x:c>
      <x:c r="K79" s="17" t="str">
        <x:v>version乐观锁/唯一键/事务；受影响行数必须=1</x:v>
      </x:c>
      <x:c r="L79" s="17" t="str">
        <x:v>追加状态日志或不可变快照，禁止覆盖历史</x:v>
      </x:c>
      <x:c r="M79" s="4" t="str">
        <x:v>P0-064,P0-115,P0-116,P0-117,P0-118,P0-119</x:v>
      </x:c>
      <x:c r="N79" s="4" t="str">
        <x:v>DRAFT_TO_FREEZE_IN_STAGE</x:v>
      </x:c>
    </x:row>
    <x:row r="80" ht="23" customHeight="1">
      <x:c r="A80" s="4" t="str">
        <x:v>EnterpriseDeliveryOrder</x:v>
      </x:c>
      <x:c r="B80" s="4" t="str">
        <x:v>M4</x:v>
      </x:c>
      <x:c r="C80" s="4" t="str">
        <x:v>ASSIGNED</x:v>
      </x:c>
      <x:c r="D80" s="4" t="str">
        <x:v>REPORT_EXCEPTION</x:v>
      </x:c>
      <x:c r="E80" s="4" t="str">
        <x:v>EXCEPTION</x:v>
      </x:c>
      <x:c r="F80" s="4" t="str">
        <x:v>COMPANY_DELIVERY_EXECUTOR</x:v>
      </x:c>
      <x:c r="G80" s="17" t="str">
        <x:v>异常资料完整</x:v>
      </x:c>
      <x:c r="H80" s="17" t="str">
        <x:v>创建企业配送异常；不进入跑腿大厅</x:v>
      </x:c>
      <x:c r="I80" s="17" t="str">
        <x:v>deliveryOrderId+exceptionKey</x:v>
      </x:c>
      <x:c r="J80" s="17" t="str">
        <x:v>返回409 STATE_TRANSITION_INVALID；不改变状态；写安全审计（按风险级别）</x:v>
      </x:c>
      <x:c r="K80" s="17" t="str">
        <x:v>version乐观锁/唯一键/事务；受影响行数必须=1</x:v>
      </x:c>
      <x:c r="L80" s="17" t="str">
        <x:v>追加状态日志或不可变快照，禁止覆盖历史</x:v>
      </x:c>
      <x:c r="M80" s="4" t="str">
        <x:v>P0-064,P0-115,P0-116,P0-117,P0-118,P0-119</x:v>
      </x:c>
      <x:c r="N80" s="4" t="str">
        <x:v>DRAFT_TO_FREEZE_IN_STAGE</x:v>
      </x:c>
    </x:row>
    <x:row r="81" ht="23" customHeight="1">
      <x:c r="A81" s="4" t="str">
        <x:v>AfterSale</x:v>
      </x:c>
      <x:c r="B81" s="4" t="str">
        <x:v>M5</x:v>
      </x:c>
      <x:c r="C81" s="4" t="str">
        <x:v>SUBMITTED</x:v>
      </x:c>
      <x:c r="D81" s="4" t="str">
        <x:v>ACCEPT</x:v>
      </x:c>
      <x:c r="E81" s="4" t="str">
        <x:v>PROCESSING</x:v>
      </x:c>
      <x:c r="F81" s="4" t="str">
        <x:v>COMPANY_ORDER_SERVICE</x:v>
      </x:c>
      <x:c r="G81" s="17" t="str">
        <x:v>订单项可售后且未超可申请量</x:v>
      </x:c>
      <x:c r="H81" s="17" t="str">
        <x:v>生成责任协同任务</x:v>
      </x:c>
      <x:c r="I81" s="17" t="str">
        <x:v>afterSaleNo</x:v>
      </x:c>
      <x:c r="J81" s="17" t="str">
        <x:v>返回409 STATE_TRANSITION_INVALID；不改变状态；写安全审计（按风险级别）</x:v>
      </x:c>
      <x:c r="K81" s="17" t="str">
        <x:v>version乐观锁/唯一键/事务；受影响行数必须=1</x:v>
      </x:c>
      <x:c r="L81" s="17" t="str">
        <x:v>追加状态日志或不可变快照，禁止覆盖历史</x:v>
      </x:c>
      <x:c r="M81" s="4" t="str">
        <x:v>P0-038,P0-039</x:v>
      </x:c>
      <x:c r="N81" s="4" t="str">
        <x:v>DRAFT_TO_FREEZE_IN_STAGE</x:v>
      </x:c>
    </x:row>
    <x:row r="82" ht="23" customHeight="1">
      <x:c r="A82" s="4" t="str">
        <x:v>AfterSale</x:v>
      </x:c>
      <x:c r="B82" s="4" t="str">
        <x:v>M5</x:v>
      </x:c>
      <x:c r="C82" s="4" t="str">
        <x:v>PROCESSING</x:v>
      </x:c>
      <x:c r="D82" s="4" t="str">
        <x:v>REQUEST_SUPPLIER_EVIDENCE</x:v>
      </x:c>
      <x:c r="E82" s="4" t="str">
        <x:v>WAITING_SUPPLIER</x:v>
      </x:c>
      <x:c r="F82" s="4" t="str">
        <x:v>COMPANY_ORDER_SERVICE</x:v>
      </x:c>
      <x:c r="G82" s="17" t="str">
        <x:v>疑似供货责任</x:v>
      </x:c>
      <x:c r="H82" s="17" t="str">
        <x:v>仅向对应供应商开放必要数据</x:v>
      </x:c>
      <x:c r="I82" s="17" t="str">
        <x:v>afterSaleId+round</x:v>
      </x:c>
      <x:c r="J82" s="17" t="str">
        <x:v>返回409 STATE_TRANSITION_INVALID；不改变状态；写安全审计（按风险级别）</x:v>
      </x:c>
      <x:c r="K82" s="17" t="str">
        <x:v>version乐观锁/唯一键/事务；受影响行数必须=1</x:v>
      </x:c>
      <x:c r="L82" s="17" t="str">
        <x:v>追加状态日志或不可变快照，禁止覆盖历史</x:v>
      </x:c>
      <x:c r="M82" s="4" t="str">
        <x:v>P0-038,P0-039</x:v>
      </x:c>
      <x:c r="N82" s="4" t="str">
        <x:v>DRAFT_TO_FREEZE_IN_STAGE</x:v>
      </x:c>
    </x:row>
    <x:row r="83" ht="23" customHeight="1">
      <x:c r="A83" s="4" t="str">
        <x:v>AfterSale</x:v>
      </x:c>
      <x:c r="B83" s="4" t="str">
        <x:v>M5</x:v>
      </x:c>
      <x:c r="C83" s="4" t="str">
        <x:v>WAITING_SUPPLIER</x:v>
      </x:c>
      <x:c r="D83" s="4" t="str">
        <x:v>SUBMIT_EVIDENCE</x:v>
      </x:c>
      <x:c r="E83" s="4" t="str">
        <x:v>PROCESSING</x:v>
      </x:c>
      <x:c r="F83" s="4" t="str">
        <x:v>SUPPLIER_AFTERSALES</x:v>
      </x:c>
      <x:c r="G83" s="17" t="str">
        <x:v>supplierId匹配且证据完整</x:v>
      </x:c>
      <x:c r="H83" s="17" t="str">
        <x:v>追加证据快照</x:v>
      </x:c>
      <x:c r="I83" s="17" t="str">
        <x:v>afterSaleId+evidenceHash</x:v>
      </x:c>
      <x:c r="J83" s="17" t="str">
        <x:v>返回409 STATE_TRANSITION_INVALID；不改变状态；写安全审计（按风险级别）</x:v>
      </x:c>
      <x:c r="K83" s="17" t="str">
        <x:v>version乐观锁/唯一键/事务；受影响行数必须=1</x:v>
      </x:c>
      <x:c r="L83" s="17" t="str">
        <x:v>追加状态日志或不可变快照，禁止覆盖历史</x:v>
      </x:c>
      <x:c r="M83" s="4" t="str">
        <x:v>P0-038,P0-039</x:v>
      </x:c>
      <x:c r="N83" s="4" t="str">
        <x:v>DRAFT_TO_FREEZE_IN_STAGE</x:v>
      </x:c>
    </x:row>
    <x:row r="84" ht="23" customHeight="1">
      <x:c r="A84" s="4" t="str">
        <x:v>AfterSale</x:v>
      </x:c>
      <x:c r="B84" s="4" t="str">
        <x:v>M5</x:v>
      </x:c>
      <x:c r="C84" s="4" t="str">
        <x:v>PROCESSING</x:v>
      </x:c>
      <x:c r="D84" s="4" t="str">
        <x:v>APPROVE_REFUND</x:v>
      </x:c>
      <x:c r="E84" s="4" t="str">
        <x:v>REFUNDING</x:v>
      </x:c>
      <x:c r="F84" s="4" t="str">
        <x:v>COMPANY_ORDER_SERVICE</x:v>
      </x:c>
      <x:c r="G84" s="17" t="str">
        <x:v>责任/金额/原支付结构冻结</x:v>
      </x:c>
      <x:c r="H84" s="17" t="str">
        <x:v>创建RefundTransaction</x:v>
      </x:c>
      <x:c r="I84" s="17" t="str">
        <x:v>afterSaleId+decisionVersion</x:v>
      </x:c>
      <x:c r="J84" s="17" t="str">
        <x:v>返回409 STATE_TRANSITION_INVALID；不改变状态；写安全审计（按风险级别）</x:v>
      </x:c>
      <x:c r="K84" s="17" t="str">
        <x:v>version乐观锁/唯一键/事务；受影响行数必须=1</x:v>
      </x:c>
      <x:c r="L84" s="17" t="str">
        <x:v>追加状态日志或不可变快照，禁止覆盖历史</x:v>
      </x:c>
      <x:c r="M84" s="4" t="str">
        <x:v>P0-038,P0-039</x:v>
      </x:c>
      <x:c r="N84" s="4" t="str">
        <x:v>DRAFT_TO_FREEZE_IN_STAGE</x:v>
      </x:c>
    </x:row>
    <x:row r="85" ht="23" customHeight="1">
      <x:c r="A85" s="4" t="str">
        <x:v>AfterSale</x:v>
      </x:c>
      <x:c r="B85" s="4" t="str">
        <x:v>M5</x:v>
      </x:c>
      <x:c r="C85" s="4" t="str">
        <x:v>REFUNDING</x:v>
      </x:c>
      <x:c r="D85" s="4" t="str">
        <x:v>REFUND_SUCCEEDED</x:v>
      </x:c>
      <x:c r="E85" s="4" t="str">
        <x:v>COMPLETED</x:v>
      </x:c>
      <x:c r="F85" s="4" t="str">
        <x:v>SYSTEM</x:v>
      </x:c>
      <x:c r="G85" s="17" t="str">
        <x:v>所有渠道退款成功</x:v>
      </x:c>
      <x:c r="H85" s="17" t="str">
        <x:v>通知客户并进入对账调整</x:v>
      </x:c>
      <x:c r="I85" s="17" t="str">
        <x:v>refundId</x:v>
      </x:c>
      <x:c r="J85" s="17" t="str">
        <x:v>返回409 STATE_TRANSITION_INVALID；不改变状态；写安全审计（按风险级别）</x:v>
      </x:c>
      <x:c r="K85" s="17" t="str">
        <x:v>version乐观锁/唯一键/事务；受影响行数必须=1</x:v>
      </x:c>
      <x:c r="L85" s="17" t="str">
        <x:v>追加状态日志或不可变快照，禁止覆盖历史</x:v>
      </x:c>
      <x:c r="M85" s="4" t="str">
        <x:v>P0-038,P0-039</x:v>
      </x:c>
      <x:c r="N85" s="4" t="str">
        <x:v>DRAFT_TO_FREEZE_IN_STAGE</x:v>
      </x:c>
    </x:row>
    <x:row r="86" ht="23" customHeight="1">
      <x:c r="A86" s="4" t="str">
        <x:v>AfterSale</x:v>
      </x:c>
      <x:c r="B86" s="4" t="str">
        <x:v>M5</x:v>
      </x:c>
      <x:c r="C86" s="4" t="str">
        <x:v>PROCESSING</x:v>
      </x:c>
      <x:c r="D86" s="4" t="str">
        <x:v>REJECT</x:v>
      </x:c>
      <x:c r="E86" s="4" t="str">
        <x:v>REJECTED</x:v>
      </x:c>
      <x:c r="F86" s="4" t="str">
        <x:v>COMPANY_ORDER_SERVICE</x:v>
      </x:c>
      <x:c r="G86" s="17" t="str">
        <x:v>原因和证据存在</x:v>
      </x:c>
      <x:c r="H86" s="17" t="str">
        <x:v>通知客户并保留申诉入口</x:v>
      </x:c>
      <x:c r="I86" s="17" t="str">
        <x:v>afterSaleId+decisionVersion</x:v>
      </x:c>
      <x:c r="J86" s="17" t="str">
        <x:v>返回409 STATE_TRANSITION_INVALID；不改变状态；写安全审计（按风险级别）</x:v>
      </x:c>
      <x:c r="K86" s="17" t="str">
        <x:v>version乐观锁/唯一键/事务；受影响行数必须=1</x:v>
      </x:c>
      <x:c r="L86" s="17" t="str">
        <x:v>追加状态日志或不可变快照，禁止覆盖历史</x:v>
      </x:c>
      <x:c r="M86" s="4" t="str">
        <x:v>P0-038,P0-039</x:v>
      </x:c>
      <x:c r="N86" s="4" t="str">
        <x:v>DRAFT_TO_FREEZE_IN_STAGE</x:v>
      </x:c>
    </x:row>
    <x:row r="87" ht="23" customHeight="1">
      <x:c r="A87" s="4" t="str">
        <x:v>SupplierStatement</x:v>
      </x:c>
      <x:c r="B87" s="4" t="str">
        <x:v>M5</x:v>
      </x:c>
      <x:c r="C87" s="4" t="str">
        <x:v>DRAFT</x:v>
      </x:c>
      <x:c r="D87" s="4" t="str">
        <x:v>GENERATE</x:v>
      </x:c>
      <x:c r="E87" s="4" t="str">
        <x:v>PENDING_SUPPLIER_CONFIRM</x:v>
      </x:c>
      <x:c r="F87" s="4" t="str">
        <x:v>COMPANY_FINANCE</x:v>
      </x:c>
      <x:c r="G87" s="17" t="str">
        <x:v>账期闭合且仅含本supplierId不可变订单项快照</x:v>
      </x:c>
      <x:c r="H87" s="17" t="str">
        <x:v>冻结账单版本</x:v>
      </x:c>
      <x:c r="I87" s="17" t="str">
        <x:v>supplierId+period+version</x:v>
      </x:c>
      <x:c r="J87" s="17" t="str">
        <x:v>返回409 STATE_TRANSITION_INVALID；不改变状态；写安全审计（按风险级别）</x:v>
      </x:c>
      <x:c r="K87" s="17" t="str">
        <x:v>version乐观锁/唯一键/事务；受影响行数必须=1</x:v>
      </x:c>
      <x:c r="L87" s="17" t="str">
        <x:v>追加状态日志或不可变快照，禁止覆盖历史</x:v>
      </x:c>
      <x:c r="M87" s="4" t="str">
        <x:v>P0-040,P0-041,P0-042,P0-043,P0-060,P0-065</x:v>
      </x:c>
      <x:c r="N87" s="4" t="str">
        <x:v>DRAFT_TO_FREEZE_IN_STAGE</x:v>
      </x:c>
    </x:row>
    <x:row r="88" ht="23" customHeight="1">
      <x:c r="A88" s="4" t="str">
        <x:v>SupplierStatement</x:v>
      </x:c>
      <x:c r="B88" s="4" t="str">
        <x:v>M5</x:v>
      </x:c>
      <x:c r="C88" s="4" t="str">
        <x:v>PENDING_SUPPLIER_CONFIRM</x:v>
      </x:c>
      <x:c r="D88" s="4" t="str">
        <x:v>RAISE_DISPUTE</x:v>
      </x:c>
      <x:c r="E88" s="4" t="str">
        <x:v>DISPUTED</x:v>
      </x:c>
      <x:c r="F88" s="4" t="str">
        <x:v>SUPPLIER_FINANCE</x:v>
      </x:c>
      <x:c r="G88" s="17" t="str">
        <x:v>差异项和理由完整</x:v>
      </x:c>
      <x:c r="H88" s="17" t="str">
        <x:v>生成差异处理任务</x:v>
      </x:c>
      <x:c r="I88" s="17" t="str">
        <x:v>statementId+disputeKey</x:v>
      </x:c>
      <x:c r="J88" s="17" t="str">
        <x:v>返回409 STATE_TRANSITION_INVALID；不改变状态；写安全审计（按风险级别）</x:v>
      </x:c>
      <x:c r="K88" s="17" t="str">
        <x:v>version乐观锁/唯一键/事务；受影响行数必须=1</x:v>
      </x:c>
      <x:c r="L88" s="17" t="str">
        <x:v>追加状态日志或不可变快照，禁止覆盖历史</x:v>
      </x:c>
      <x:c r="M88" s="4" t="str">
        <x:v>P0-040,P0-041,P0-042,P0-043,P0-060,P0-065</x:v>
      </x:c>
      <x:c r="N88" s="4" t="str">
        <x:v>DRAFT_TO_FREEZE_IN_STAGE</x:v>
      </x:c>
    </x:row>
    <x:row r="89" ht="23" customHeight="1">
      <x:c r="A89" s="4" t="str">
        <x:v>SupplierStatement</x:v>
      </x:c>
      <x:c r="B89" s="4" t="str">
        <x:v>M5</x:v>
      </x:c>
      <x:c r="C89" s="4" t="str">
        <x:v>DISPUTED</x:v>
      </x:c>
      <x:c r="D89" s="4" t="str">
        <x:v>RESOLVE</x:v>
      </x:c>
      <x:c r="E89" s="4" t="str">
        <x:v>PENDING_SUPPLIER_CONFIRM</x:v>
      </x:c>
      <x:c r="F89" s="4" t="str">
        <x:v>COMPANY_FINANCE</x:v>
      </x:c>
      <x:c r="G89" s="17" t="str">
        <x:v>处理结论及补充/冲正项存在</x:v>
      </x:c>
      <x:c r="H89" s="17" t="str">
        <x:v>创建新版本/补充项，不覆盖原项</x:v>
      </x:c>
      <x:c r="I89" s="17" t="str">
        <x:v>disputeId+decision</x:v>
      </x:c>
      <x:c r="J89" s="17" t="str">
        <x:v>返回409 STATE_TRANSITION_INVALID；不改变状态；写安全审计（按风险级别）</x:v>
      </x:c>
      <x:c r="K89" s="17" t="str">
        <x:v>version乐观锁/唯一键/事务；受影响行数必须=1</x:v>
      </x:c>
      <x:c r="L89" s="17" t="str">
        <x:v>追加状态日志或不可变快照，禁止覆盖历史</x:v>
      </x:c>
      <x:c r="M89" s="4" t="str">
        <x:v>P0-040,P0-041,P0-042,P0-043,P0-060,P0-065</x:v>
      </x:c>
      <x:c r="N89" s="4" t="str">
        <x:v>DRAFT_TO_FREEZE_IN_STAGE</x:v>
      </x:c>
    </x:row>
    <x:row r="90" ht="23" customHeight="1">
      <x:c r="A90" s="4" t="str">
        <x:v>SupplierStatement</x:v>
      </x:c>
      <x:c r="B90" s="4" t="str">
        <x:v>M5</x:v>
      </x:c>
      <x:c r="C90" s="4" t="str">
        <x:v>PENDING_SUPPLIER_CONFIRM</x:v>
      </x:c>
      <x:c r="D90" s="4" t="str">
        <x:v>CONFIRM</x:v>
      </x:c>
      <x:c r="E90" s="4" t="str">
        <x:v>CONFIRMED</x:v>
      </x:c>
      <x:c r="F90" s="4" t="str">
        <x:v>SUPPLIER_FINANCE</x:v>
      </x:c>
      <x:c r="G90" s="17" t="str">
        <x:v>账单版本匹配</x:v>
      </x:c>
      <x:c r="H90" s="17" t="str">
        <x:v>锁定确认版本</x:v>
      </x:c>
      <x:c r="I90" s="17" t="str">
        <x:v>statementId+version</x:v>
      </x:c>
      <x:c r="J90" s="17" t="str">
        <x:v>返回409 STATE_TRANSITION_INVALID；不改变状态；写安全审计（按风险级别）</x:v>
      </x:c>
      <x:c r="K90" s="17" t="str">
        <x:v>version乐观锁/唯一键/事务；受影响行数必须=1</x:v>
      </x:c>
      <x:c r="L90" s="17" t="str">
        <x:v>追加状态日志或不可变快照，禁止覆盖历史</x:v>
      </x:c>
      <x:c r="M90" s="4" t="str">
        <x:v>P0-040,P0-041,P0-042,P0-043,P0-060,P0-065</x:v>
      </x:c>
      <x:c r="N90" s="4" t="str">
        <x:v>DRAFT_TO_FREEZE_IN_STAGE</x:v>
      </x:c>
    </x:row>
    <x:row r="91" ht="23" customHeight="1">
      <x:c r="A91" s="4" t="str">
        <x:v>SupplierStatement</x:v>
      </x:c>
      <x:c r="B91" s="4" t="str">
        <x:v>M5</x:v>
      </x:c>
      <x:c r="C91" s="4" t="str">
        <x:v>CONFIRMED</x:v>
      </x:c>
      <x:c r="D91" s="4" t="str">
        <x:v>RECORD_OFFLINE_PAYMENT</x:v>
      </x:c>
      <x:c r="E91" s="4" t="str">
        <x:v>PAID_RECORDED</x:v>
      </x:c>
      <x:c r="F91" s="4" t="str">
        <x:v>COMPANY_FINANCE</x:v>
      </x:c>
      <x:c r="G91" s="17" t="str">
        <x:v>金额/日期/银行流水/凭证完整且二次验证</x:v>
      </x:c>
      <x:c r="H91" s="17" t="str">
        <x:v>追加OfflineSettlementRecord</x:v>
      </x:c>
      <x:c r="I91" s="17" t="str">
        <x:v>statementId+bankReference</x:v>
      </x:c>
      <x:c r="J91" s="17" t="str">
        <x:v>返回409 STATE_TRANSITION_INVALID；不改变状态；写安全审计（按风险级别）</x:v>
      </x:c>
      <x:c r="K91" s="17" t="str">
        <x:v>version乐观锁/唯一键/事务；受影响行数必须=1</x:v>
      </x:c>
      <x:c r="L91" s="17" t="str">
        <x:v>追加状态日志或不可变快照，禁止覆盖历史</x:v>
      </x:c>
      <x:c r="M91" s="4" t="str">
        <x:v>P0-040,P0-041,P0-042,P0-043,P0-060,P0-065</x:v>
      </x:c>
      <x:c r="N91" s="4" t="str">
        <x:v>DRAFT_TO_FREEZE_IN_STAGE</x:v>
      </x:c>
    </x:row>
    <x:row r="92" ht="23" customHeight="1">
      <x:c r="A92" s="4" t="str">
        <x:v>SupplierStatement</x:v>
      </x:c>
      <x:c r="B92" s="4" t="str">
        <x:v>M5</x:v>
      </x:c>
      <x:c r="C92" s="4" t="str">
        <x:v>PAID_RECORDED</x:v>
      </x:c>
      <x:c r="D92" s="4" t="str">
        <x:v>CONFIRM_RECEIPT</x:v>
      </x:c>
      <x:c r="E92" s="4" t="str">
        <x:v>SETTLED</x:v>
      </x:c>
      <x:c r="F92" s="4" t="str">
        <x:v>SUPPLIER_FINANCE</x:v>
      </x:c>
      <x:c r="G92" s="17" t="str">
        <x:v>本供应商且记录版本匹配</x:v>
      </x:c>
      <x:c r="H92" s="17" t="str">
        <x:v>追加收款确认；不建设钱包</x:v>
      </x:c>
      <x:c r="I92" s="17" t="str">
        <x:v>settlementRecordId+confirm</x:v>
      </x:c>
      <x:c r="J92" s="17" t="str">
        <x:v>返回409 STATE_TRANSITION_INVALID；不改变状态；写安全审计（按风险级别）</x:v>
      </x:c>
      <x:c r="K92" s="17" t="str">
        <x:v>version乐观锁/唯一键/事务；受影响行数必须=1</x:v>
      </x:c>
      <x:c r="L92" s="17" t="str">
        <x:v>追加状态日志或不可变快照，禁止覆盖历史</x:v>
      </x:c>
      <x:c r="M92" s="4" t="str">
        <x:v>P0-040,P0-041,P0-042,P0-043,P0-060,P0-065</x:v>
      </x:c>
      <x:c r="N92" s="4" t="str">
        <x:v>DRAFT_TO_FREEZE_IN_STAGE</x:v>
      </x:c>
    </x:row>
    <x:row r="93" ht="23" customHeight="1">
      <x:c r="A93" s="4" t="str">
        <x:v>PortalContent</x:v>
      </x:c>
      <x:c r="B93" s="4" t="str">
        <x:v>M5</x:v>
      </x:c>
      <x:c r="C93" s="4" t="str">
        <x:v>DRAFT</x:v>
      </x:c>
      <x:c r="D93" s="4" t="str">
        <x:v>SUBMIT_REVIEW</x:v>
      </x:c>
      <x:c r="E93" s="4" t="str">
        <x:v>PENDING_REVIEW</x:v>
      </x:c>
      <x:c r="F93" s="4" t="str">
        <x:v>COMPANY_CONTENT</x:v>
      </x:c>
      <x:c r="G93" s="17" t="str">
        <x:v>slug/SEO/素材权利/内容模块校验</x:v>
      </x:c>
      <x:c r="H93" s="17" t="str">
        <x:v>生成不可变revision</x:v>
      </x:c>
      <x:c r="I93" s="17" t="str">
        <x:v>contentId+revision</x:v>
      </x:c>
      <x:c r="J93" s="17" t="str">
        <x:v>返回409 STATE_TRANSITION_INVALID；不改变状态；写安全审计（按风险级别）</x:v>
      </x:c>
      <x:c r="K93" s="17" t="str">
        <x:v>version乐观锁/唯一键/事务；受影响行数必须=1</x:v>
      </x:c>
      <x:c r="L93" s="17" t="str">
        <x:v>追加状态日志或不可变快照，禁止覆盖历史</x:v>
      </x:c>
      <x:c r="M93" s="4" t="str">
        <x:v>P0-073,P0-075,P0-076,P0-082</x:v>
      </x:c>
      <x:c r="N93" s="4" t="str">
        <x:v>DRAFT_TO_FREEZE_IN_STAGE</x:v>
      </x:c>
    </x:row>
    <x:row r="94" ht="23" customHeight="1">
      <x:c r="A94" s="4" t="str">
        <x:v>PortalContent</x:v>
      </x:c>
      <x:c r="B94" s="4" t="str">
        <x:v>M5</x:v>
      </x:c>
      <x:c r="C94" s="4" t="str">
        <x:v>PENDING_REVIEW</x:v>
      </x:c>
      <x:c r="D94" s="4" t="str">
        <x:v>APPROVE</x:v>
      </x:c>
      <x:c r="E94" s="4" t="str">
        <x:v>APPROVED</x:v>
      </x:c>
      <x:c r="F94" s="4" t="str">
        <x:v>AUTHORIZED_REVIEWER</x:v>
      </x:c>
      <x:c r="G94" s="17" t="str">
        <x:v>审核人与编辑人按配置分离</x:v>
      </x:c>
      <x:c r="H94" s="17" t="str">
        <x:v>允许发布</x:v>
      </x:c>
      <x:c r="I94" s="17" t="str">
        <x:v>revisionId+decision</x:v>
      </x:c>
      <x:c r="J94" s="17" t="str">
        <x:v>返回409 STATE_TRANSITION_INVALID；不改变状态；写安全审计（按风险级别）</x:v>
      </x:c>
      <x:c r="K94" s="17" t="str">
        <x:v>version乐观锁/唯一键/事务；受影响行数必须=1</x:v>
      </x:c>
      <x:c r="L94" s="17" t="str">
        <x:v>追加状态日志或不可变快照，禁止覆盖历史</x:v>
      </x:c>
      <x:c r="M94" s="4" t="str">
        <x:v>P0-073,P0-075,P0-076,P0-082</x:v>
      </x:c>
      <x:c r="N94" s="4" t="str">
        <x:v>DRAFT_TO_FREEZE_IN_STAGE</x:v>
      </x:c>
    </x:row>
    <x:row r="95" ht="23" customHeight="1">
      <x:c r="A95" s="4" t="str">
        <x:v>PortalContent</x:v>
      </x:c>
      <x:c r="B95" s="4" t="str">
        <x:v>M5</x:v>
      </x:c>
      <x:c r="C95" s="4" t="str">
        <x:v>APPROVED</x:v>
      </x:c>
      <x:c r="D95" s="4" t="str">
        <x:v>PUBLISH</x:v>
      </x:c>
      <x:c r="E95" s="4" t="str">
        <x:v>PUBLISHED</x:v>
      </x:c>
      <x:c r="F95" s="4" t="str">
        <x:v>COMPANY_CONTENT</x:v>
      </x:c>
      <x:c r="G95" s="17" t="str">
        <x:v>目标revision已批准</x:v>
      </x:c>
      <x:c r="H95" s="17" t="str">
        <x:v>原子切换publishedVersionId并刷新缓存</x:v>
      </x:c>
      <x:c r="I95" s="17" t="str">
        <x:v>contentId+revisionId</x:v>
      </x:c>
      <x:c r="J95" s="17" t="str">
        <x:v>返回409 STATE_TRANSITION_INVALID；不改变状态；写安全审计（按风险级别）</x:v>
      </x:c>
      <x:c r="K95" s="17" t="str">
        <x:v>version乐观锁/唯一键/事务；受影响行数必须=1</x:v>
      </x:c>
      <x:c r="L95" s="17" t="str">
        <x:v>追加状态日志或不可变快照，禁止覆盖历史</x:v>
      </x:c>
      <x:c r="M95" s="4" t="str">
        <x:v>P0-073,P0-075,P0-076,P0-082</x:v>
      </x:c>
      <x:c r="N95" s="4" t="str">
        <x:v>DRAFT_TO_FREEZE_IN_STAGE</x:v>
      </x:c>
    </x:row>
    <x:row r="96" ht="23" customHeight="1">
      <x:c r="A96" s="4" t="str">
        <x:v>PortalContent</x:v>
      </x:c>
      <x:c r="B96" s="4" t="str">
        <x:v>M5</x:v>
      </x:c>
      <x:c r="C96" s="4" t="str">
        <x:v>PUBLISHED</x:v>
      </x:c>
      <x:c r="D96" s="4" t="str">
        <x:v>WITHDRAW</x:v>
      </x:c>
      <x:c r="E96" s="4" t="str">
        <x:v>WITHDRAWN</x:v>
      </x:c>
      <x:c r="F96" s="4" t="str">
        <x:v>COMPANY_CONTENT</x:v>
      </x:c>
      <x:c r="G96" s="17" t="str">
        <x:v>原因及二次验证</x:v>
      </x:c>
      <x:c r="H96" s="17" t="str">
        <x:v>公开端不可见；保留历史版本</x:v>
      </x:c>
      <x:c r="I96" s="17" t="str">
        <x:v>contentId+publishedVersionId</x:v>
      </x:c>
      <x:c r="J96" s="17" t="str">
        <x:v>返回409 STATE_TRANSITION_INVALID；不改变状态；写安全审计（按风险级别）</x:v>
      </x:c>
      <x:c r="K96" s="17" t="str">
        <x:v>version乐观锁/唯一键/事务；受影响行数必须=1</x:v>
      </x:c>
      <x:c r="L96" s="17" t="str">
        <x:v>追加状态日志或不可变快照，禁止覆盖历史</x:v>
      </x:c>
      <x:c r="M96" s="4" t="str">
        <x:v>P0-073,P0-075,P0-076,P0-082</x:v>
      </x:c>
      <x:c r="N96" s="4" t="str">
        <x:v>DRAFT_TO_FREEZE_IN_STAGE</x:v>
      </x:c>
    </x:row>
    <x:row r="97" ht="23" customHeight="1">
      <x:c r="A97" s="4" t="str">
        <x:v>ExportJob</x:v>
      </x:c>
      <x:c r="B97" s="4" t="str">
        <x:v>M5</x:v>
      </x:c>
      <x:c r="C97" s="4" t="str">
        <x:v>DRAFT</x:v>
      </x:c>
      <x:c r="D97" s="4" t="str">
        <x:v>SUBMIT</x:v>
      </x:c>
      <x:c r="E97" s="4" t="str">
        <x:v>PENDING_APPROVAL</x:v>
      </x:c>
      <x:c r="F97" s="4" t="str">
        <x:v>REQUESTER</x:v>
      </x:c>
      <x:c r="G97" s="17" t="str">
        <x:v>资源/字段/过滤/理由完整且最小化</x:v>
      </x:c>
      <x:c r="H97" s="17" t="str">
        <x:v>生成审批任务</x:v>
      </x:c>
      <x:c r="I97" s="17" t="str">
        <x:v>exportJobId+version</x:v>
      </x:c>
      <x:c r="J97" s="17" t="str">
        <x:v>返回409 STATE_TRANSITION_INVALID；不改变状态；写安全审计（按风险级别）</x:v>
      </x:c>
      <x:c r="K97" s="17" t="str">
        <x:v>version乐观锁/唯一键/事务；受影响行数必须=1</x:v>
      </x:c>
      <x:c r="L97" s="17" t="str">
        <x:v>追加状态日志或不可变快照，禁止覆盖历史</x:v>
      </x:c>
      <x:c r="M97" s="4" t="str">
        <x:v>P0-045,P0-046,P0-072,P0-082</x:v>
      </x:c>
      <x:c r="N97" s="4" t="str">
        <x:v>DRAFT_TO_FREEZE_IN_STAGE</x:v>
      </x:c>
    </x:row>
    <x:row r="98" ht="23" customHeight="1">
      <x:c r="A98" s="4" t="str">
        <x:v>ExportJob</x:v>
      </x:c>
      <x:c r="B98" s="4" t="str">
        <x:v>M5</x:v>
      </x:c>
      <x:c r="C98" s="4" t="str">
        <x:v>PENDING_APPROVAL</x:v>
      </x:c>
      <x:c r="D98" s="4" t="str">
        <x:v>APPROVE</x:v>
      </x:c>
      <x:c r="E98" s="4" t="str">
        <x:v>QUEUED</x:v>
      </x:c>
      <x:c r="F98" s="4" t="str">
        <x:v>AUTHORIZED_APPROVER</x:v>
      </x:c>
      <x:c r="G98" s="17" t="str">
        <x:v>不得自批；高敏字段权限满足</x:v>
      </x:c>
      <x:c r="H98" s="17" t="str">
        <x:v>投递BullMQ</x:v>
      </x:c>
      <x:c r="I98" s="17" t="str">
        <x:v>exportJobId+decision</x:v>
      </x:c>
      <x:c r="J98" s="17" t="str">
        <x:v>返回409 STATE_TRANSITION_INVALID；不改变状态；写安全审计（按风险级别）</x:v>
      </x:c>
      <x:c r="K98" s="17" t="str">
        <x:v>version乐观锁/唯一键/事务；受影响行数必须=1</x:v>
      </x:c>
      <x:c r="L98" s="17" t="str">
        <x:v>追加状态日志或不可变快照，禁止覆盖历史</x:v>
      </x:c>
      <x:c r="M98" s="4" t="str">
        <x:v>P0-045,P0-046,P0-072,P0-082</x:v>
      </x:c>
      <x:c r="N98" s="4" t="str">
        <x:v>DRAFT_TO_FREEZE_IN_STAGE</x:v>
      </x:c>
    </x:row>
    <x:row r="99" ht="23" customHeight="1">
      <x:c r="A99" s="4" t="str">
        <x:v>ExportJob</x:v>
      </x:c>
      <x:c r="B99" s="4" t="str">
        <x:v>M5</x:v>
      </x:c>
      <x:c r="C99" s="4" t="str">
        <x:v>QUEUED</x:v>
      </x:c>
      <x:c r="D99" s="4" t="str">
        <x:v>GENERATE</x:v>
      </x:c>
      <x:c r="E99" s="4" t="str">
        <x:v>READY</x:v>
      </x:c>
      <x:c r="F99" s="4" t="str">
        <x:v>SYSTEM</x:v>
      </x:c>
      <x:c r="G99" s="17" t="str">
        <x:v>查询强制数据域与字段白名单</x:v>
      </x:c>
      <x:c r="H99" s="17" t="str">
        <x:v>生成短期签名下载引用</x:v>
      </x:c>
      <x:c r="I99" s="17" t="str">
        <x:v>exportJobId+attempt</x:v>
      </x:c>
      <x:c r="J99" s="17" t="str">
        <x:v>返回409 STATE_TRANSITION_INVALID；不改变状态；写安全审计（按风险级别）</x:v>
      </x:c>
      <x:c r="K99" s="17" t="str">
        <x:v>version乐观锁/唯一键/事务；受影响行数必须=1</x:v>
      </x:c>
      <x:c r="L99" s="17" t="str">
        <x:v>追加状态日志或不可变快照，禁止覆盖历史</x:v>
      </x:c>
      <x:c r="M99" s="4" t="str">
        <x:v>P0-045,P0-046,P0-072,P0-082</x:v>
      </x:c>
      <x:c r="N99" s="4" t="str">
        <x:v>DRAFT_TO_FREEZE_IN_STAGE</x:v>
      </x:c>
    </x:row>
    <x:row r="100" ht="23" customHeight="1">
      <x:c r="A100" s="4" t="str">
        <x:v>ExportJob</x:v>
      </x:c>
      <x:c r="B100" s="4" t="str">
        <x:v>M5</x:v>
      </x:c>
      <x:c r="C100" s="4" t="str">
        <x:v>READY</x:v>
      </x:c>
      <x:c r="D100" s="4" t="str">
        <x:v>EXPIRE</x:v>
      </x:c>
      <x:c r="E100" s="4" t="str">
        <x:v>EXPIRED</x:v>
      </x:c>
      <x:c r="F100" s="4" t="str">
        <x:v>SYSTEM</x:v>
      </x:c>
      <x:c r="G100" s="17" t="str">
        <x:v>超过expiresAt</x:v>
      </x:c>
      <x:c r="H100" s="17" t="str">
        <x:v>撤销下载并按保留策略删除</x:v>
      </x:c>
      <x:c r="I100" s="17" t="str">
        <x:v>exportJobId+expiresAt</x:v>
      </x:c>
      <x:c r="J100" s="17" t="str">
        <x:v>返回409 STATE_TRANSITION_INVALID；不改变状态；写安全审计（按风险级别）</x:v>
      </x:c>
      <x:c r="K100" s="17" t="str">
        <x:v>version乐观锁/唯一键/事务；受影响行数必须=1</x:v>
      </x:c>
      <x:c r="L100" s="17" t="str">
        <x:v>追加状态日志或不可变快照，禁止覆盖历史</x:v>
      </x:c>
      <x:c r="M100" s="4" t="str">
        <x:v>P0-045,P0-046,P0-072,P0-082</x:v>
      </x:c>
      <x:c r="N100" s="4" t="str">
        <x:v>DRAFT_TO_FREEZE_IN_STAGE</x:v>
      </x:c>
    </x:row>
    <x:row r="101" ht="23" customHeight="1">
      <x:c r="A101" s="4" t="str">
        <x:v>ExportJob</x:v>
      </x:c>
      <x:c r="B101" s="4" t="str">
        <x:v>M5</x:v>
      </x:c>
      <x:c r="C101" s="4" t="str">
        <x:v>QUEUED</x:v>
      </x:c>
      <x:c r="D101" s="4" t="str">
        <x:v>FAIL</x:v>
      </x:c>
      <x:c r="E101" s="4" t="str">
        <x:v>FAILED</x:v>
      </x:c>
      <x:c r="F101" s="4" t="str">
        <x:v>SYSTEM</x:v>
      </x:c>
      <x:c r="G101" s="17" t="str">
        <x:v>生成失败</x:v>
      </x:c>
      <x:c r="H101" s="17" t="str">
        <x:v>保存脱敏错误并通知</x:v>
      </x:c>
      <x:c r="I101" s="17" t="str">
        <x:v>exportJobId+attempt</x:v>
      </x:c>
      <x:c r="J101" s="17" t="str">
        <x:v>返回409 STATE_TRANSITION_INVALID；不改变状态；写安全审计（按风险级别）</x:v>
      </x:c>
      <x:c r="K101" s="17" t="str">
        <x:v>version乐观锁/唯一键/事务；受影响行数必须=1</x:v>
      </x:c>
      <x:c r="L101" s="17" t="str">
        <x:v>追加状态日志或不可变快照，禁止覆盖历史</x:v>
      </x:c>
      <x:c r="M101" s="4" t="str">
        <x:v>P0-045,P0-046,P0-072,P0-082</x:v>
      </x:c>
      <x:c r="N101" s="4" t="str">
        <x:v>DRAFT_TO_FREEZE_IN_STAGE</x:v>
      </x:c>
    </x:row>
    <x:row r="102" ht="23" customHeight="1">
      <x:c r="A102" s="4" t="str">
        <x:v>ApprovalTask</x:v>
      </x:c>
      <x:c r="B102" s="4" t="str">
        <x:v>M1</x:v>
      </x:c>
      <x:c r="C102" s="4" t="str">
        <x:v>PENDING</x:v>
      </x:c>
      <x:c r="D102" s="4" t="str">
        <x:v>CLAIM</x:v>
      </x:c>
      <x:c r="E102" s="4" t="str">
        <x:v>IN_REVIEW</x:v>
      </x:c>
      <x:c r="F102" s="4" t="str">
        <x:v>ASSIGNED_FUNCTIONAL_ACCOUNT</x:v>
      </x:c>
      <x:c r="G102" s="17" t="str">
        <x:v>账号类型、数据域、会话路由匹配</x:v>
      </x:c>
      <x:c r="H102" s="17" t="str">
        <x:v>记录审核人</x:v>
      </x:c>
      <x:c r="I102" s="17" t="str">
        <x:v>approvalTaskId+reviewerId</x:v>
      </x:c>
      <x:c r="J102" s="17" t="str">
        <x:v>返回409 STATE_TRANSITION_INVALID；不改变状态；写安全审计（按风险级别）</x:v>
      </x:c>
      <x:c r="K102" s="17" t="str">
        <x:v>version乐观锁/唯一键/事务；受影响行数必须=1</x:v>
      </x:c>
      <x:c r="L102" s="17" t="str">
        <x:v>追加状态日志或不可变快照，禁止覆盖历史</x:v>
      </x:c>
      <x:c r="M102" s="4" t="str">
        <x:v>P0-007,P0-019,P0-028,P0-045,P0-072</x:v>
      </x:c>
      <x:c r="N102" s="4" t="str">
        <x:v>FROZEN_M1_000</x:v>
      </x:c>
    </x:row>
    <x:row r="103" ht="23" customHeight="1">
      <x:c r="A103" s="4" t="str">
        <x:v>ApprovalTask</x:v>
      </x:c>
      <x:c r="B103" s="4" t="str">
        <x:v>M1</x:v>
      </x:c>
      <x:c r="C103" s="4" t="str">
        <x:v>IN_REVIEW</x:v>
      </x:c>
      <x:c r="D103" s="4" t="str">
        <x:v>APPROVE</x:v>
      </x:c>
      <x:c r="E103" s="4" t="str">
        <x:v>APPROVED</x:v>
      </x:c>
      <x:c r="F103" s="4" t="str">
        <x:v>CLAIMED_REVIEWER</x:v>
      </x:c>
      <x:c r="G103" s="17" t="str">
        <x:v>版本匹配且必要意见/二次验证完成</x:v>
      </x:c>
      <x:c r="H103" s="17" t="str">
        <x:v>调用对应领域决策命令</x:v>
      </x:c>
      <x:c r="I103" s="17" t="str">
        <x:v>approvalTaskId+decision</x:v>
      </x:c>
      <x:c r="J103" s="17" t="str">
        <x:v>返回409 STATE_TRANSITION_INVALID；不改变状态；写安全审计（按风险级别）</x:v>
      </x:c>
      <x:c r="K103" s="17" t="str">
        <x:v>version乐观锁/唯一键/事务；受影响行数必须=1</x:v>
      </x:c>
      <x:c r="L103" s="17" t="str">
        <x:v>追加状态日志或不可变快照，禁止覆盖历史</x:v>
      </x:c>
      <x:c r="M103" s="4" t="str">
        <x:v>P0-007,P0-019,P0-028,P0-045,P0-072</x:v>
      </x:c>
      <x:c r="N103" s="4" t="str">
        <x:v>FROZEN_M1_000</x:v>
      </x:c>
    </x:row>
    <x:row r="104" ht="23" customHeight="1">
      <x:c r="A104" s="4" t="str">
        <x:v>ApprovalTask</x:v>
      </x:c>
      <x:c r="B104" s="4" t="str">
        <x:v>M1</x:v>
      </x:c>
      <x:c r="C104" s="4" t="str">
        <x:v>IN_REVIEW</x:v>
      </x:c>
      <x:c r="D104" s="4" t="str">
        <x:v>REJECT</x:v>
      </x:c>
      <x:c r="E104" s="4" t="str">
        <x:v>REJECTED</x:v>
      </x:c>
      <x:c r="F104" s="4" t="str">
        <x:v>CLAIMED_REVIEWER</x:v>
      </x:c>
      <x:c r="G104" s="17" t="str">
        <x:v>拒绝理由非空</x:v>
      </x:c>
      <x:c r="H104" s="17" t="str">
        <x:v>调用领域拒绝命令</x:v>
      </x:c>
      <x:c r="I104" s="17" t="str">
        <x:v>approvalTaskId+decision</x:v>
      </x:c>
      <x:c r="J104" s="17" t="str">
        <x:v>返回409 STATE_TRANSITION_INVALID；不改变状态；写安全审计（按风险级别）</x:v>
      </x:c>
      <x:c r="K104" s="17" t="str">
        <x:v>version乐观锁/唯一键/事务；受影响行数必须=1</x:v>
      </x:c>
      <x:c r="L104" s="17" t="str">
        <x:v>追加状态日志或不可变快照，禁止覆盖历史</x:v>
      </x:c>
      <x:c r="M104" s="4" t="str">
        <x:v>P0-007,P0-019,P0-028,P0-045,P0-072</x:v>
      </x:c>
      <x:c r="N104" s="4" t="str">
        <x:v>FROZEN_M1_000</x:v>
      </x:c>
    </x:row>
    <x:row r="105" ht="23" customHeight="1">
      <x:c r="A105" s="5" t="str">
        <x:v>ApprovalTask</x:v>
      </x:c>
      <x:c r="B105" s="5" t="str">
        <x:v>M1</x:v>
      </x:c>
      <x:c r="C105" s="5" t="str">
        <x:v>PENDING</x:v>
      </x:c>
      <x:c r="D105" s="5" t="str">
        <x:v>CANCEL_OBJECT</x:v>
      </x:c>
      <x:c r="E105" s="5" t="str">
        <x:v>CANCELLED</x:v>
      </x:c>
      <x:c r="F105" s="5" t="str">
        <x:v>SYSTEM</x:v>
      </x:c>
      <x:c r="G105" s="18" t="str">
        <x:v>业务对象已合法撤销</x:v>
      </x:c>
      <x:c r="H105" s="18" t="str">
        <x:v>关闭待办</x:v>
      </x:c>
      <x:c r="I105" s="18" t="str">
        <x:v>approvalTaskId+objectVersion</x:v>
      </x:c>
      <x:c r="J105" s="18" t="str">
        <x:v>返回409 STATE_TRANSITION_INVALID；不改变状态；写安全审计（按风险级别）</x:v>
      </x:c>
      <x:c r="K105" s="18" t="str">
        <x:v>version乐观锁/唯一键/事务；受影响行数必须=1</x:v>
      </x:c>
      <x:c r="L105" s="18" t="str">
        <x:v>追加状态日志或不可变快照，禁止覆盖历史</x:v>
      </x:c>
      <x:c r="M105" s="5" t="str">
        <x:v>P0-007,P0-019,P0-028,P0-045,P0-072</x:v>
      </x:c>
      <x:c r="N105" s="5" t="str">
        <x:v>FROZEN_M1_000</x:v>
      </x:c>
    </x:row>
    <x:row r="106">
      <x:c r="A106"/>
      <x:c r="B106"/>
      <x:c r="C106"/>
      <x:c r="D106"/>
      <x:c r="E106"/>
      <x:c r="F106"/>
      <x:c r="G106"/>
      <x:c r="H106"/>
      <x:c r="I106"/>
      <x:c r="J106"/>
      <x:c r="K106"/>
      <x:c r="L106"/>
      <x:c r="M106"/>
      <x:c r="N106"/>
    </x:row>
    <x:row r="107">
      <x:c r="A107"/>
      <x:c r="B107"/>
      <x:c r="C107"/>
      <x:c r="D107"/>
      <x:c r="E107"/>
      <x:c r="F107"/>
      <x:c r="G107"/>
      <x:c r="H107"/>
      <x:c r="I107"/>
      <x:c r="J107"/>
      <x:c r="K107"/>
      <x:c r="L107"/>
      <x:c r="M107"/>
      <x:c r="N107"/>
    </x:row>
    <x:row r="108">
      <x:c r="A108"/>
      <x:c r="B108"/>
      <x:c r="C108"/>
      <x:c r="D108"/>
      <x:c r="E108"/>
      <x:c r="F108"/>
      <x:c r="G108"/>
      <x:c r="H108"/>
      <x:c r="I108"/>
      <x:c r="J108"/>
      <x:c r="K108"/>
      <x:c r="L108"/>
      <x:c r="M108"/>
      <x:c r="N108"/>
    </x:row>
  </x:sheetData>
  <x:conditionalFormatting sqref="N2:N105">
    <x:cfRule type="cellIs" dxfId="90" priority="1" operator="equal">
      <x:formula>"READY"</x:formula>
    </x:cfRule>
    <x:cfRule type="cellIs" dxfId="91" priority="2" operator="equal">
      <x:formula>"DONE"</x:formula>
    </x:cfRule>
    <x:cfRule type="cellIs" dxfId="92" priority="3" operator="equal">
      <x:formula>"LOCAL_PASS"</x:formula>
    </x:cfRule>
    <x:cfRule type="cellIs" dxfId="93" priority="4" operator="equal">
      <x:formula>"CI_PASS"</x:formula>
    </x:cfRule>
    <x:cfRule type="cellIs" dxfId="94" priority="5" operator="equal">
      <x:formula>"STAGING_PASS"</x:formula>
    </x:cfRule>
    <x:cfRule type="cellIs" dxfId="95" priority="6" operator="equal">
      <x:formula>"DEVICE_PASS"</x:formula>
    </x:cfRule>
    <x:cfRule type="cellIs" dxfId="96" priority="7" operator="equal">
      <x:formula>"PRODUCTION_PASS"</x:formula>
    </x:cfRule>
    <x:cfRule type="cellIs" dxfId="97" priority="8" operator="equal">
      <x:formula>"FAIL"</x:formula>
    </x:cfRule>
    <x:cfRule type="cellIs" dxfId="98" priority="9" operator="equal">
      <x:formula>"BLOCKED_EXTERNAL"</x:formula>
    </x:cfRule>
    <x:cfRule type="cellIs" dxfId="99" priority="10" operator="equal">
      <x:formula>"NOT_PROVIDED"</x:formula>
    </x:cfRule>
    <x:cfRule type="cellIs" dxfId="100" priority="11" operator="equal">
      <x:formula>"LOCKED"</x:formula>
    </x:cfRule>
    <x:cfRule type="cellIs" dxfId="101" priority="12" operator="equal">
      <x:formula>"NOT_STARTED"</x:formula>
    </x:cfRule>
    <x:cfRule type="cellIs" dxfId="102" priority="13" operator="equal">
      <x:formula>"NOT_EXECUTED"</x:formula>
    </x:cfRule>
    <x:cfRule type="cellIs" dxfId="103" priority="14" operator="equal">
      <x:formula>"IN_PROGRESS"</x:formula>
    </x:cfRule>
    <x:cfRule type="cellIs" dxfId="104" priority="15" operator="equal">
      <x:formula>"PLANNED"</x:formula>
    </x:cfRule>
  </x:conditionalFormatting>
  <x:dataValidations count="1">
    <x:dataValidation type="list" sqref="N2:N105">
      <x:formula1>"NOT_STARTED,READY,IN_PROGRESS,DONE,LOCKED,PLANNED,NOT_EXECUTED,LOCAL_PASS,CI_PASS,STAGING_PASS,DEVICE_PASS,PRODUCTION_PASS,BLOCKED_EXTERNAL,FAIL,NOT_PROVIDED"</x:formula1>
    </x:dataValidation>
  </x:dataValidations>
  <x:pageMargins left="0.7" right="0.7" top="0.75" bottom="0.75" header="0.3" footer="0.3"/>
  <x:tableParts count="1">
    <x:tablePart xmlns:r="http://schemas.openxmlformats.org/officeDocument/2006/relationships" r:id="Rd73a9a46a37f42c6"/>
  </x:tableParts>
</x:worksheet>
</file>

<file path=xl/worksheets/sheet7.xml><?xml version="1.0" encoding="utf-8"?>
<x:worksheet xmlns:x="http://schemas.openxmlformats.org/spreadsheetml/2006/main">
  <x:sheetViews>
    <x:sheetView showGridLines="0" workbookViewId="0"/>
  </x:sheetViews>
  <x:sheetFormatPr defaultRowHeight="15"/>
  <x:cols>
    <x:col min="1" max="1" width="14" hidden="0" customWidth="1"/>
    <x:col min="2" max="2" width="30" hidden="0" customWidth="1"/>
    <x:col min="3" max="3" width="20" hidden="0" customWidth="1"/>
    <x:col min="4" max="4" width="38" hidden="0" customWidth="1"/>
    <x:col min="5" max="5" width="42" hidden="0" customWidth="1"/>
    <x:col min="6" max="6" width="42" hidden="0" customWidth="1"/>
    <x:col min="7" max="7" width="34" hidden="0" customWidth="1"/>
    <x:col min="8" max="8" width="28" hidden="0" customWidth="1"/>
    <x:col min="9" max="9" width="32" hidden="0" customWidth="1"/>
    <x:col min="10" max="10" width="42" hidden="0" customWidth="1"/>
    <x:col min="11" max="11" width="30" hidden="0" customWidth="1"/>
    <x:col min="12" max="12" width="42" hidden="0" customWidth="1"/>
    <x:col min="13" max="13" width="10" hidden="0" customWidth="1"/>
    <x:col min="14" max="14" width="30" hidden="0" customWidth="1"/>
    <x:col min="15" max="15" width="24" hidden="0" customWidth="1"/>
  </x:cols>
  <x:sheetData>
    <x:row r="1" ht="34" customHeight="1">
      <x:c r="A1" s="14" t="str">
        <x:v>OwnerType</x:v>
      </x:c>
      <x:c r="B1" s="15" t="str">
        <x:v>角色编码</x:v>
      </x:c>
      <x:c r="C1" s="15" t="str">
        <x:v>角色名称</x:v>
      </x:c>
      <x:c r="D1" s="15" t="str">
        <x:v>独立入口</x:v>
      </x:c>
      <x:c r="E1" s="15" t="str">
        <x:v>可读范围</x:v>
      </x:c>
      <x:c r="F1" s="15" t="str">
        <x:v>可写范围</x:v>
      </x:c>
      <x:c r="G1" s="15" t="str">
        <x:v>审批权限</x:v>
      </x:c>
      <x:c r="H1" s="15" t="str">
        <x:v>供应价可见性</x:v>
      </x:c>
      <x:c r="I1" s="15" t="str">
        <x:v>数据域</x:v>
      </x:c>
      <x:c r="J1" s="15" t="str">
        <x:v>禁止操作</x:v>
      </x:c>
      <x:c r="K1" s="15" t="str">
        <x:v>二次验证</x:v>
      </x:c>
      <x:c r="L1" s="15" t="str">
        <x:v>会话边界</x:v>
      </x:c>
      <x:c r="M1" s="15" t="str">
        <x:v>阶段</x:v>
      </x:c>
      <x:c r="N1" s="15" t="str">
        <x:v>P0</x:v>
      </x:c>
      <x:c r="O1" s="16" t="str">
        <x:v>状态</x:v>
      </x:c>
    </x:row>
    <x:row r="2" ht="23" customHeight="1">
      <x:c r="A2" s="4" t="str">
        <x:v>COMPANY</x:v>
      </x:c>
      <x:c r="B2" s="17" t="str">
        <x:v>COMPANY_SUPER_ADMIN</x:v>
      </x:c>
      <x:c r="C2" s="4" t="str">
        <x:v>超级管理员</x:v>
      </x:c>
      <x:c r="D2" s="17" t="str">
        <x:v>/company-admin/workspaces/system</x:v>
      </x:c>
      <x:c r="E2" s="17" t="str">
        <x:v>公司全局配置、账号、审计摘要</x:v>
      </x:c>
      <x:c r="F2" s="17" t="str">
        <x:v>职能账号、权限策略和平台参数</x:v>
      </x:c>
      <x:c r="G2" s="17" t="str">
        <x:v>账号启停与高风险配置，不代替业务审核或第二自然人复核</x:v>
      </x:c>
      <x:c r="H2" s="17" t="str">
        <x:v>VISIBLE_WITH_AUDIT</x:v>
      </x:c>
      <x:c r="I2" s="17" t="str">
        <x:v>companyId=唯一公司</x:v>
      </x:c>
      <x:c r="J2" s="17" t="str">
        <x:v>不得绕过业务职能审批；不得查看明文秘密</x:v>
      </x:c>
      <x:c r="K2" s="17" t="str">
        <x:v>账号/权限/导出/密钥引用；双人复核按自然人identityId，不得同人跨账号完成</x:v>
      </x:c>
      <x:c r="L2" s="17" t="str">
        <x:v>登录后选择一个职能；会话固定workspaceRoute；切换职能重新签发并审计</x:v>
      </x:c>
      <x:c r="M2" s="4" t="str">
        <x:v>M1</x:v>
      </x:c>
      <x:c r="N2" s="17" t="str">
        <x:v>P0-001,P0-045,P0-066,P0-067,P0-068,P0-072</x:v>
      </x:c>
      <x:c r="O2" s="4" t="str">
        <x:v>LOCKED_BY_SCHEME</x:v>
      </x:c>
    </x:row>
    <x:row r="3" ht="23" customHeight="1">
      <x:c r="A3" s="4" t="str">
        <x:v>COMPANY</x:v>
      </x:c>
      <x:c r="B3" s="17" t="str">
        <x:v>COMPANY_SUPPLIER_OPS</x:v>
      </x:c>
      <x:c r="C3" s="4" t="str">
        <x:v>供应商运营</x:v>
      </x:c>
      <x:c r="D3" s="17" t="str">
        <x:v>/company-admin/workspaces/supplier-ops</x:v>
      </x:c>
      <x:c r="E3" s="17" t="str">
        <x:v>供应商主体、资质、状态</x:v>
      </x:c>
      <x:c r="F3" s="17" t="str">
        <x:v>审核、补正、启停、退出流程</x:v>
      </x:c>
      <x:c r="G3" s="17" t="str">
        <x:v>供应商主体审核</x:v>
      </x:c>
      <x:c r="H3" s="17" t="str">
        <x:v>HIDDEN</x:v>
      </x:c>
      <x:c r="I3" s="17" t="str">
        <x:v>唯一公司下全部供应商</x:v>
      </x:c>
      <x:c r="J3" s="17" t="str">
        <x:v>不得改商品价格、付款或其他职能账号</x:v>
      </x:c>
      <x:c r="K3" s="17" t="str">
        <x:v>启停/退出/敏感资质查看</x:v>
      </x:c>
      <x:c r="L3" s="17" t="str">
        <x:v>登录后选择一个职能；会话固定workspaceRoute；切换职能重新签发并审计</x:v>
      </x:c>
      <x:c r="M3" s="4" t="str">
        <x:v>M1</x:v>
      </x:c>
      <x:c r="N3" s="17" t="str">
        <x:v>P0-003,P0-044,P0-067,P0-068</x:v>
      </x:c>
      <x:c r="O3" s="4" t="str">
        <x:v>LOCKED_BY_SCHEME</x:v>
      </x:c>
    </x:row>
    <x:row r="4" ht="23" customHeight="1">
      <x:c r="A4" s="4" t="str">
        <x:v>COMPANY</x:v>
      </x:c>
      <x:c r="B4" s="17" t="str">
        <x:v>COMPANY_PRODUCT_OPS</x:v>
      </x:c>
      <x:c r="C4" s="4" t="str">
        <x:v>商品与分类运营</x:v>
      </x:c>
      <x:c r="D4" s="17" t="str">
        <x:v>/company-admin/workspaces/product-ops</x:v>
      </x:c>
      <x:c r="E4" s="17" t="str">
        <x:v>分类模板、商品资料、公开售价、强监管开关摘要</x:v>
      </x:c>
      <x:c r="F4" s="17" t="str">
        <x:v>分类模板、商品资料审核、上下架、强监管启停</x:v>
      </x:c>
      <x:c r="G4" s="17" t="str">
        <x:v>商品资料审核；强监管启停须二次验证</x:v>
      </x:c>
      <x:c r="H4" s="17" t="str">
        <x:v>HIDDEN</x:v>
      </x:c>
      <x:c r="I4" s="17" t="str">
        <x:v>唯一公司全商品</x:v>
      </x:c>
      <x:c r="J4" s="17" t="str">
        <x:v>不得读取供应价或批准供应价；不得返回资质对象引用</x:v>
      </x:c>
      <x:c r="K4" s="17" t="str">
        <x:v>强监管开关/批量上下架须二次验证；不替代要求不同identityId的maker-checker</x:v>
      </x:c>
      <x:c r="L4" s="17" t="str">
        <x:v>登录后选择一个职能；会话固定workspaceRoute；切换职能重新签发并审计</x:v>
      </x:c>
      <x:c r="M4" s="4" t="str">
        <x:v>M2</x:v>
      </x:c>
      <x:c r="N4" s="17" t="str">
        <x:v>P0-006,P0-007,P0-011,P0-012,P0-018,P0-067,P0-068</x:v>
      </x:c>
      <x:c r="O4" s="4" t="str">
        <x:v>IMPLEMENTED_P0_018</x:v>
      </x:c>
    </x:row>
    <x:row r="5" ht="23" customHeight="1">
      <x:c r="A5" s="4" t="str">
        <x:v>COMPANY</x:v>
      </x:c>
      <x:c r="B5" s="17" t="str">
        <x:v>COMPANY_PRICE_REVIEW</x:v>
      </x:c>
      <x:c r="C5" s="4" t="str">
        <x:v>采购/价格审核</x:v>
      </x:c>
      <x:c r="D5" s="17" t="str">
        <x:v>/company-admin/workspaces/price-review</x:v>
      </x:c>
      <x:c r="E5" s="17" t="str">
        <x:v>三类价格与价格历史</x:v>
      </x:c>
      <x:c r="F5" s="17" t="str">
        <x:v>供应价审核意见；风险标记</x:v>
      </x:c>
      <x:c r="G5" s="17" t="str">
        <x:v>初始三价与上架后供应价变更</x:v>
      </x:c>
      <x:c r="H5" s="17" t="str">
        <x:v>VISIBLE_WITH_AUDIT</x:v>
      </x:c>
      <x:c r="I5" s="17" t="str">
        <x:v>唯一公司全SKU</x:v>
      </x:c>
      <x:c r="J5" s="17" t="str">
        <x:v>不得静默代供应商改价；不得改商品资料</x:v>
      </x:c>
      <x:c r="K5" s="17" t="str">
        <x:v>批准/拒绝/批量导出；双人复核按自然人identityId，不得同人跨账号完成</x:v>
      </x:c>
      <x:c r="L5" s="17" t="str">
        <x:v>登录后选择一个职能；会话固定workspaceRoute；切换职能重新签发并审计</x:v>
      </x:c>
      <x:c r="M5" s="4" t="str">
        <x:v>M2</x:v>
      </x:c>
      <x:c r="N5" s="17" t="str">
        <x:v>P0-007,P0-019,P0-067,P0-068,P0-071</x:v>
      </x:c>
      <x:c r="O5" s="4" t="str">
        <x:v>FROZEN_M2_000</x:v>
      </x:c>
    </x:row>
    <x:row r="6" ht="23" customHeight="1">
      <x:c r="A6" s="4" t="str">
        <x:v>COMPANY</x:v>
      </x:c>
      <x:c r="B6" s="17" t="str">
        <x:v>COMPANY_ORDER_SERVICE</x:v>
      </x:c>
      <x:c r="C6" s="4" t="str">
        <x:v>订单客服</x:v>
      </x:c>
      <x:c r="D6" s="17" t="str">
        <x:v>/company-admin/workspaces/order-service</x:v>
      </x:c>
      <x:c r="E6" s="17" t="str">
        <x:v>个人/企业订单、售后必要字段</x:v>
      </x:c>
      <x:c r="F6" s="17" t="str">
        <x:v>售后受理、备注、责任协同</x:v>
      </x:c>
      <x:c r="G6" s="17" t="str">
        <x:v>售后流程权限内节点</x:v>
      </x:c>
      <x:c r="H6" s="17" t="str">
        <x:v>HIDDEN</x:v>
      </x:c>
      <x:c r="I6" s="17" t="str">
        <x:v>唯一公司全订单；敏感字段按工单</x:v>
      </x:c>
      <x:c r="J6" s="17" t="str">
        <x:v>不得登记付款、改供应价或越权解密</x:v>
      </x:c>
      <x:c r="K6" s="17" t="str">
        <x:v>退款申请/地址敏感信息</x:v>
      </x:c>
      <x:c r="L6" s="17" t="str">
        <x:v>登录后选择一个职能；会话固定workspaceRoute；切换职能重新签发并审计</x:v>
      </x:c>
      <x:c r="M6" s="4" t="str">
        <x:v>M3</x:v>
      </x:c>
      <x:c r="N6" s="17" t="str">
        <x:v>P0-025,P0-038,P0-067,P0-068</x:v>
      </x:c>
      <x:c r="O6" s="4" t="str">
        <x:v>LOCKED_BY_SCHEME</x:v>
      </x:c>
    </x:row>
    <x:row r="7" ht="23" customHeight="1">
      <x:c r="A7" s="4" t="str">
        <x:v>COMPANY</x:v>
      </x:c>
      <x:c r="B7" s="17" t="str">
        <x:v>COMPANY_WELFARE_CARD</x:v>
      </x:c>
      <x:c r="C7" s="4" t="str">
        <x:v>福利卡运营</x:v>
      </x:c>
      <x:c r="D7" s="17" t="str">
        <x:v>/company-admin/workspaces/welfare-card</x:v>
      </x:c>
      <x:c r="E7" s="17" t="str">
        <x:v>计划、批次、账户脱敏、账本</x:v>
      </x:c>
      <x:c r="F7" s="17" t="str">
        <x:v>计划/批次/冻结/解冻和企业购卡协同</x:v>
      </x:c>
      <x:c r="G7" s="17" t="str">
        <x:v>福利卡高风险操作</x:v>
      </x:c>
      <x:c r="H7" s="17" t="str">
        <x:v>HIDDEN</x:v>
      </x:c>
      <x:c r="I7" s="17" t="str">
        <x:v>唯一公司福利卡域</x:v>
      </x:c>
      <x:c r="J7" s="17" t="str">
        <x:v>不得改写账本或直接改余额</x:v>
      </x:c>
      <x:c r="K7" s="17" t="str">
        <x:v>批量发卡/冻结/导出；双人复核按自然人identityId，不得同人跨账号完成</x:v>
      </x:c>
      <x:c r="L7" s="17" t="str">
        <x:v>登录后选择一个职能；会话固定workspaceRoute；切换职能重新签发并审计</x:v>
      </x:c>
      <x:c r="M7" s="4" t="str">
        <x:v>M3</x:v>
      </x:c>
      <x:c r="N7" s="17" t="str">
        <x:v>P0-051,P0-052,P0-059,P0-067,P0-068</x:v>
      </x:c>
      <x:c r="O7" s="4" t="str">
        <x:v>LOCKED_BY_SCHEME</x:v>
      </x:c>
    </x:row>
    <x:row r="8" ht="23" customHeight="1">
      <x:c r="A8" s="4" t="str">
        <x:v>COMPANY</x:v>
      </x:c>
      <x:c r="B8" s="17" t="str">
        <x:v>COMPANY_FINANCE</x:v>
      </x:c>
      <x:c r="C8" s="4" t="str">
        <x:v>财务结算</x:v>
      </x:c>
      <x:c r="D8" s="17" t="str">
        <x:v>/company-admin/workspaces/finance</x:v>
      </x:c>
      <x:c r="E8" s="17" t="str">
        <x:v>支付退款、供应价快照、账单、凭证</x:v>
      </x:c>
      <x:c r="F8" s="17" t="str">
        <x:v>对账调整、线下付款登记、冲正</x:v>
      </x:c>
      <x:c r="G8" s="17" t="str">
        <x:v>结算与财务复核</x:v>
      </x:c>
      <x:c r="H8" s="17" t="str">
        <x:v>VISIBLE_WITH_AUDIT</x:v>
      </x:c>
      <x:c r="I8" s="17" t="str">
        <x:v>唯一公司全财务数据</x:v>
      </x:c>
      <x:c r="J8" s="17" t="str">
        <x:v>不得覆盖已确认账单或自动向供应商打款</x:v>
      </x:c>
      <x:c r="K8" s="17" t="str">
        <x:v>退款/付款/冲正/导出；双人复核按自然人identityId，不得同人跨账号完成</x:v>
      </x:c>
      <x:c r="L8" s="17" t="str">
        <x:v>登录后选择一个职能；会话固定workspaceRoute；切换职能重新签发并审计</x:v>
      </x:c>
      <x:c r="M8" s="4" t="str">
        <x:v>M5</x:v>
      </x:c>
      <x:c r="N8" s="17" t="str">
        <x:v>P0-040,P0-042,P0-043,P0-060,P0-065,P0-067,P0-068</x:v>
      </x:c>
      <x:c r="O8" s="4" t="str">
        <x:v>LOCKED_BY_SCHEME</x:v>
      </x:c>
    </x:row>
    <x:row r="9" ht="23" customHeight="1">
      <x:c r="A9" s="4" t="str">
        <x:v>COMPANY</x:v>
      </x:c>
      <x:c r="B9" s="17" t="str">
        <x:v>COMPANY_LOGISTICS</x:v>
      </x:c>
      <x:c r="C9" s="4" t="str">
        <x:v>物流运营</x:v>
      </x:c>
      <x:c r="D9" s="17" t="str">
        <x:v>/company-admin/workspaces/logistics</x:v>
      </x:c>
      <x:c r="E9" s="17" t="str">
        <x:v>个人任务、企业配送、必要联系信息</x:v>
      </x:c>
      <x:c r="F9" s="17" t="str">
        <x:v>发布/取消/转派个人任务；企业派车和节点</x:v>
      </x:c>
      <x:c r="G9" s="17" t="str">
        <x:v>物流异常与转派</x:v>
      </x:c>
      <x:c r="H9" s="17" t="str">
        <x:v>HIDDEN</x:v>
      </x:c>
      <x:c r="I9" s="17" t="str">
        <x:v>唯一公司全部配送</x:v>
      </x:c>
      <x:c r="J9" s="17" t="str">
        <x:v>不得把企业订单投放抢单大厅</x:v>
      </x:c>
      <x:c r="K9" s="17" t="str">
        <x:v>取消/转派/联系信息解密</x:v>
      </x:c>
      <x:c r="L9" s="17" t="str">
        <x:v>登录后选择一个职能；会话固定workspaceRoute；切换职能重新签发并审计</x:v>
      </x:c>
      <x:c r="M9" s="4" t="str">
        <x:v>M4</x:v>
      </x:c>
      <x:c r="N9" s="17" t="str">
        <x:v>P0-099,P0-110,P0-115,P0-116,P0-118</x:v>
      </x:c>
      <x:c r="O9" s="4" t="str">
        <x:v>LOCKED_BY_SCHEME</x:v>
      </x:c>
    </x:row>
    <x:row r="10" ht="23" customHeight="1">
      <x:c r="A10" s="4" t="str">
        <x:v>COMPANY</x:v>
      </x:c>
      <x:c r="B10" s="17" t="str">
        <x:v>COMPANY_CONTENT</x:v>
      </x:c>
      <x:c r="C10" s="4" t="str">
        <x:v>门户内容编辑</x:v>
      </x:c>
      <x:c r="D10" s="17" t="str">
        <x:v>/company-admin/workspaces/content</x:v>
      </x:c>
      <x:c r="E10" s="17" t="str">
        <x:v>门户内容、版本、素材</x:v>
      </x:c>
      <x:c r="F10" s="17" t="str">
        <x:v>草稿、预览、提交、发布权限内内容</x:v>
      </x:c>
      <x:c r="G10" s="17" t="str">
        <x:v>发布需双人复核时提交审批</x:v>
      </x:c>
      <x:c r="H10" s="17" t="str">
        <x:v>HIDDEN</x:v>
      </x:c>
      <x:c r="I10" s="17" t="str">
        <x:v>门户内容域</x:v>
      </x:c>
      <x:c r="J10" s="17" t="str">
        <x:v>不得接触交易、供应价和财务</x:v>
      </x:c>
      <x:c r="K10" s="17" t="str">
        <x:v>发布/撤回/批量素材；双人复核按自然人identityId，不得同人跨账号完成</x:v>
      </x:c>
      <x:c r="L10" s="17" t="str">
        <x:v>登录后选择一个职能；会话固定workspaceRoute；切换职能重新签发并审计</x:v>
      </x:c>
      <x:c r="M10" s="4" t="str">
        <x:v>M5</x:v>
      </x:c>
      <x:c r="N10" s="17" t="str">
        <x:v>P0-073,P0-075,P0-076,P0-082</x:v>
      </x:c>
      <x:c r="O10" s="4" t="str">
        <x:v>LOCKED_BY_SCHEME</x:v>
      </x:c>
    </x:row>
    <x:row r="11" ht="23" customHeight="1">
      <x:c r="A11" s="4" t="str">
        <x:v>COMPANY</x:v>
      </x:c>
      <x:c r="B11" s="17" t="str">
        <x:v>COMPANY_AUDIT</x:v>
      </x:c>
      <x:c r="C11" s="4" t="str">
        <x:v>审计/只读</x:v>
      </x:c>
      <x:c r="D11" s="17" t="str">
        <x:v>/company-admin/workspaces/audit</x:v>
      </x:c>
      <x:c r="E11" s="17" t="str">
        <x:v>授权范围只读审计、导出任务</x:v>
      </x:c>
      <x:c r="F11" s="17" t="str">
        <x:v>仅创建受控审计导出申请</x:v>
      </x:c>
      <x:c r="G11" s="17" t="str">
        <x:v>NONE；不得关闭涉及本人其他职能操作的风险事项</x:v>
      </x:c>
      <x:c r="H11" s="17" t="str">
        <x:v>MASKED_OR_APPROVED_EXPORT</x:v>
      </x:c>
      <x:c r="I11" s="17" t="str">
        <x:v>公司只读；字段最小化</x:v>
      </x:c>
      <x:c r="J11" s="17" t="str">
        <x:v>不得写业务状态、批准自身导出或解密秘密</x:v>
      </x:c>
      <x:c r="K11" s="17" t="str">
        <x:v>高敏审计导出；双人复核按自然人identityId，不得同人跨账号完成</x:v>
      </x:c>
      <x:c r="L11" s="17" t="str">
        <x:v>登录后选择一个职能；会话固定workspaceRoute；切换职能重新签发并审计</x:v>
      </x:c>
      <x:c r="M11" s="4" t="str">
        <x:v>M1</x:v>
      </x:c>
      <x:c r="N11" s="17" t="str">
        <x:v>P0-045,P0-046,P0-067,P0-068,P0-072</x:v>
      </x:c>
      <x:c r="O11" s="4" t="str">
        <x:v>LOCKED_BY_SCHEME</x:v>
      </x:c>
    </x:row>
    <x:row r="12" ht="23" customHeight="1">
      <x:c r="A12" s="4" t="str">
        <x:v>SUPPLIER</x:v>
      </x:c>
      <x:c r="B12" s="17" t="str">
        <x:v>SUPPLIER_ACCOUNT_ADMIN</x:v>
      </x:c>
      <x:c r="C12" s="4" t="str">
        <x:v>主体管理</x:v>
      </x:c>
      <x:c r="D12" s="17" t="str">
        <x:v>/supplier/workspaces/account-admin</x:v>
      </x:c>
      <x:c r="E12" s="17" t="str">
        <x:v>本供应商主体、资质、职能账号</x:v>
      </x:c>
      <x:c r="F12" s="17" t="str">
        <x:v>补资料、账号邀请/停用、取货点</x:v>
      </x:c>
      <x:c r="G12" s="17" t="str">
        <x:v>本主体账号管理</x:v>
      </x:c>
      <x:c r="H12" s="17" t="str">
        <x:v>HIDDEN</x:v>
      </x:c>
      <x:c r="I12" s="17" t="str">
        <x:v>supplierId=当前供应商</x:v>
      </x:c>
      <x:c r="J12" s="17" t="str">
        <x:v>不得访问其他供应商或交易价格</x:v>
      </x:c>
      <x:c r="K12" s="17" t="str">
        <x:v>账号/结算账户/取货点变更；双人复核按自然人identityId，不得同人跨账号完成</x:v>
      </x:c>
      <x:c r="L12" s="17" t="str">
        <x:v>登录后选择一个职能；会话固定workspaceRoute；切换职能重新签发并审计</x:v>
      </x:c>
      <x:c r="M12" s="4" t="str">
        <x:v>M1</x:v>
      </x:c>
      <x:c r="N12" s="17" t="str">
        <x:v>P0-004,P0-005,P0-069,P0-070</x:v>
      </x:c>
      <x:c r="O12" s="4" t="str">
        <x:v>LOCKED_BY_SCHEME</x:v>
      </x:c>
    </x:row>
    <x:row r="13" ht="23" customHeight="1">
      <x:c r="A13" s="4" t="str">
        <x:v>SUPPLIER</x:v>
      </x:c>
      <x:c r="B13" s="17" t="str">
        <x:v>SUPPLIER_PRODUCT</x:v>
      </x:c>
      <x:c r="C13" s="4" t="str">
        <x:v>商品运营</x:v>
      </x:c>
      <x:c r="D13" s="17" t="str">
        <x:v>/supplier/workspaces/products</x:v>
      </x:c>
      <x:c r="E13" s="17" t="str">
        <x:v>本供应商商品资料；不加载任何价格字段</x:v>
      </x:c>
      <x:c r="F13" s="17" t="str">
        <x:v>商品草稿、模板资料、资质、集采标识、提交审核</x:v>
      </x:c>
      <x:c r="G13" s="17" t="str">
        <x:v>NONE</x:v>
      </x:c>
      <x:c r="H13" s="17" t="str">
        <x:v>STRICTLY_HIDDEN</x:v>
      </x:c>
      <x:c r="I13" s="17" t="str">
        <x:v>supplierId=当前供应商</x:v>
      </x:c>
      <x:c r="J13" s="17" t="str">
        <x:v>不得读取/写入任何价格；不得自行上架</x:v>
      </x:c>
      <x:c r="K13" s="17" t="str">
        <x:v>批量提交/删除草稿</x:v>
      </x:c>
      <x:c r="L13" s="17" t="str">
        <x:v>登录后选择一个职能；会话固定workspaceRoute；切换职能重新签发并审计</x:v>
      </x:c>
      <x:c r="M13" s="4" t="str">
        <x:v>M2</x:v>
      </x:c>
      <x:c r="N13" s="17" t="str">
        <x:v>P0-006,P0-008,P0-061,P0-070</x:v>
      </x:c>
      <x:c r="O13" s="4" t="str">
        <x:v>FROZEN_M2_000</x:v>
      </x:c>
    </x:row>
    <x:row r="14" ht="23" customHeight="1">
      <x:c r="A14" s="4" t="str">
        <x:v>SUPPLIER</x:v>
      </x:c>
      <x:c r="B14" s="17" t="str">
        <x:v>SUPPLIER_PRICING</x:v>
      </x:c>
      <x:c r="C14" s="4" t="str">
        <x:v>价格管理</x:v>
      </x:c>
      <x:c r="D14" s="17" t="str">
        <x:v>/supplier/workspaces/pricing</x:v>
      </x:c>
      <x:c r="E14" s="17" t="str">
        <x:v>本供应商三类价格与历史</x:v>
      </x:c>
      <x:c r="F14" s="17" t="str">
        <x:v>自主定价；供应价申请审核；零售/集采价免审留痕</x:v>
      </x:c>
      <x:c r="G14" s="17" t="str">
        <x:v>提交初始三价和供应价变更</x:v>
      </x:c>
      <x:c r="H14" s="17" t="str">
        <x:v>VISIBLE_OWN_ONLY</x:v>
      </x:c>
      <x:c r="I14" s="17" t="str">
        <x:v>supplierId=当前供应商</x:v>
      </x:c>
      <x:c r="J14" s="17" t="str">
        <x:v>不得读取其他供应商或静默修改已生效供应价</x:v>
      </x:c>
      <x:c r="K14" s="17" t="str">
        <x:v>提交供应价/批量调价/导出；双人复核按自然人identityId，不得同人跨账号完成</x:v>
      </x:c>
      <x:c r="L14" s="17" t="str">
        <x:v>登录后选择一个职能；会话固定workspaceRoute；切换职能重新签发并审计</x:v>
      </x:c>
      <x:c r="M14" s="4" t="str">
        <x:v>M2</x:v>
      </x:c>
      <x:c r="N14" s="17" t="str">
        <x:v>P0-008,P0-019,P0-070,P0-071</x:v>
      </x:c>
      <x:c r="O14" s="4" t="str">
        <x:v>FROZEN_M2_000</x:v>
      </x:c>
    </x:row>
    <x:row r="15" ht="23" customHeight="1">
      <x:c r="A15" s="4" t="str">
        <x:v>SUPPLIER</x:v>
      </x:c>
      <x:c r="B15" s="17" t="str">
        <x:v>SUPPLIER_INVENTORY</x:v>
      </x:c>
      <x:c r="C15" s="4" t="str">
        <x:v>库存/仓库</x:v>
      </x:c>
      <x:c r="D15" s="17" t="str">
        <x:v>/supplier/workspaces/inventory</x:v>
      </x:c>
      <x:c r="E15" s="17" t="str">
        <x:v>本供应商SKU库存、变更记录</x:v>
      </x:c>
      <x:c r="F15" s="17" t="str">
        <x:v>入库、盘点、调整申请、备货</x:v>
      </x:c>
      <x:c r="G15" s="17" t="str">
        <x:v>库存调整规则内</x:v>
      </x:c>
      <x:c r="H15" s="17" t="str">
        <x:v>HIDDEN</x:v>
      </x:c>
      <x:c r="I15" s="17" t="str">
        <x:v>supplierId=当前供应商</x:v>
      </x:c>
      <x:c r="J15" s="17" t="str">
        <x:v>不得直接覆盖库存或访问售价审批</x:v>
      </x:c>
      <x:c r="K15" s="17" t="str">
        <x:v>盘点/批量调整</x:v>
      </x:c>
      <x:c r="L15" s="17" t="str">
        <x:v>登录后选择一个职能；会话固定workspaceRoute；切换职能重新签发并审计</x:v>
      </x:c>
      <x:c r="M15" s="4" t="str">
        <x:v>M2</x:v>
      </x:c>
      <x:c r="N15" s="17" t="str">
        <x:v>P0-023,P0-031,P0-070</x:v>
      </x:c>
      <x:c r="O15" s="4" t="str">
        <x:v>FROZEN_M2_000</x:v>
      </x:c>
    </x:row>
    <x:row r="16" ht="23" customHeight="1">
      <x:c r="A16" s="4" t="str">
        <x:v>SUPPLIER</x:v>
      </x:c>
      <x:c r="B16" s="17" t="str">
        <x:v>SUPPLIER_FULFILLMENT</x:v>
      </x:c>
      <x:c r="C16" s="4" t="str">
        <x:v>订单履约</x:v>
      </x:c>
      <x:c r="D16" s="17" t="str">
        <x:v>/supplier/workspaces/fulfillment</x:v>
      </x:c>
      <x:c r="E16" s="17" t="str">
        <x:v>本供应商履约子单及必要取货信息</x:v>
      </x:c>
      <x:c r="F16" s="17" t="str">
        <x:v>接单、备货、交接</x:v>
      </x:c>
      <x:c r="G16" s="17" t="str">
        <x:v>NONE</x:v>
      </x:c>
      <x:c r="H16" s="17" t="str">
        <x:v>HIDDEN</x:v>
      </x:c>
      <x:c r="I16" s="17" t="str">
        <x:v>supplierId=当前供应商子单</x:v>
      </x:c>
      <x:c r="J16" s="17" t="str">
        <x:v>不得查看其他供应商商品或主订单财务</x:v>
      </x:c>
      <x:c r="K16" s="17" t="str">
        <x:v>异常交接/批量出库</x:v>
      </x:c>
      <x:c r="L16" s="17" t="str">
        <x:v>登录后选择一个职能；会话固定workspaceRoute；切换职能重新签发并审计</x:v>
      </x:c>
      <x:c r="M16" s="4" t="str">
        <x:v>M3</x:v>
      </x:c>
      <x:c r="N16" s="17" t="str">
        <x:v>P0-031,P0-070</x:v>
      </x:c>
      <x:c r="O16" s="4" t="str">
        <x:v>LOCKED_BY_SCHEME</x:v>
      </x:c>
    </x:row>
    <x:row r="17" ht="23" customHeight="1">
      <x:c r="A17" s="4" t="str">
        <x:v>SUPPLIER</x:v>
      </x:c>
      <x:c r="B17" s="17" t="str">
        <x:v>SUPPLIER_AFTERSALES</x:v>
      </x:c>
      <x:c r="C17" s="4" t="str">
        <x:v>售后</x:v>
      </x:c>
      <x:c r="D17" s="17" t="str">
        <x:v>/supplier/workspaces/aftersales</x:v>
      </x:c>
      <x:c r="E17" s="17" t="str">
        <x:v>本供应商责任相关售后</x:v>
      </x:c>
      <x:c r="F17" s="17" t="str">
        <x:v>举证、处理意见、收货确认</x:v>
      </x:c>
      <x:c r="G17" s="17" t="str">
        <x:v>NONE</x:v>
      </x:c>
      <x:c r="H17" s="17" t="str">
        <x:v>HIDDEN</x:v>
      </x:c>
      <x:c r="I17" s="17" t="str">
        <x:v>supplierId=当前供应商售后项</x:v>
      </x:c>
      <x:c r="J17" s="17" t="str">
        <x:v>不得向用户直接退款或改公司责任结论</x:v>
      </x:c>
      <x:c r="K17" s="17" t="str">
        <x:v>举证上传/责任确认</x:v>
      </x:c>
      <x:c r="L17" s="17" t="str">
        <x:v>登录后选择一个职能；会话固定workspaceRoute；切换职能重新签发并审计</x:v>
      </x:c>
      <x:c r="M17" s="4" t="str">
        <x:v>M5</x:v>
      </x:c>
      <x:c r="N17" s="17" t="str">
        <x:v>P0-038,P0-039,P0-070</x:v>
      </x:c>
      <x:c r="O17" s="4" t="str">
        <x:v>LOCKED_BY_SCHEME</x:v>
      </x:c>
    </x:row>
    <x:row r="18" ht="23" customHeight="1">
      <x:c r="A18" s="4" t="str">
        <x:v>SUPPLIER</x:v>
      </x:c>
      <x:c r="B18" s="17" t="str">
        <x:v>SUPPLIER_FINANCE</x:v>
      </x:c>
      <x:c r="C18" s="4" t="str">
        <x:v>财务对账</x:v>
      </x:c>
      <x:c r="D18" s="17" t="str">
        <x:v>/supplier/workspaces/finance</x:v>
      </x:c>
      <x:c r="E18" s="17" t="str">
        <x:v>本供应商供应价快照、账单、付款凭证</x:v>
      </x:c>
      <x:c r="F18" s="17" t="str">
        <x:v>差异申诉、确认账单、确认收款</x:v>
      </x:c>
      <x:c r="G18" s="17" t="str">
        <x:v>NONE</x:v>
      </x:c>
      <x:c r="H18" s="17" t="str">
        <x:v>VISIBLE_OWN_ONLY</x:v>
      </x:c>
      <x:c r="I18" s="17" t="str">
        <x:v>supplierId=当前供应商</x:v>
      </x:c>
      <x:c r="J18" s="17" t="str">
        <x:v>不得查看平台毛利、其他供应商或触发自动打款</x:v>
      </x:c>
      <x:c r="K18" s="17" t="str">
        <x:v>账单确认/收款确认/导出；双人复核按自然人identityId，不得同人跨账号完成</x:v>
      </x:c>
      <x:c r="L18" s="17" t="str">
        <x:v>登录后选择一个职能；会话固定workspaceRoute；切换职能重新签发并审计</x:v>
      </x:c>
      <x:c r="M18" s="4" t="str">
        <x:v>M5</x:v>
      </x:c>
      <x:c r="N18" s="17" t="str">
        <x:v>P0-040,P0-041,P0-042,P0-060,P0-065,P0-070</x:v>
      </x:c>
      <x:c r="O18" s="4" t="str">
        <x:v>LOCKED_BY_SCHEME</x:v>
      </x:c>
    </x:row>
    <x:row r="19" ht="23" customHeight="1">
      <x:c r="A19" s="4" t="str">
        <x:v>SUPPLIER</x:v>
      </x:c>
      <x:c r="B19" s="17" t="str">
        <x:v>SUPPLIER_AUDIT</x:v>
      </x:c>
      <x:c r="C19" s="4" t="str">
        <x:v>只读审计</x:v>
      </x:c>
      <x:c r="D19" s="17" t="str">
        <x:v>/supplier/workspaces/audit</x:v>
      </x:c>
      <x:c r="E19" s="17" t="str">
        <x:v>本供应商审计与账号活动脱敏视图</x:v>
      </x:c>
      <x:c r="F19" s="17" t="str">
        <x:v>仅申请受控导出</x:v>
      </x:c>
      <x:c r="G19" s="17" t="str">
        <x:v>NONE</x:v>
      </x:c>
      <x:c r="H19" s="17" t="str">
        <x:v>MASKED_OWN_ONLY</x:v>
      </x:c>
      <x:c r="I19" s="17" t="str">
        <x:v>supplierId=当前供应商</x:v>
      </x:c>
      <x:c r="J19" s="17" t="str">
        <x:v>不得写业务、跨供应商或批准自身导出</x:v>
      </x:c>
      <x:c r="K19" s="17" t="str">
        <x:v>审计导出；双人复核按自然人identityId，不得同人跨账号完成</x:v>
      </x:c>
      <x:c r="L19" s="17" t="str">
        <x:v>登录后选择一个职能；会话固定workspaceRoute；切换职能重新签发并审计</x:v>
      </x:c>
      <x:c r="M19" s="4" t="str">
        <x:v>M1</x:v>
      </x:c>
      <x:c r="N19" s="17" t="str">
        <x:v>P0-004,P0-070,P0-072</x:v>
      </x:c>
      <x:c r="O19" s="4" t="str">
        <x:v>LOCKED_BY_SCHEME</x:v>
      </x:c>
    </x:row>
    <x:row r="20" ht="23" customHeight="1">
      <x:c r="A20" s="4" t="str">
        <x:v>ENTERPRISE</x:v>
      </x:c>
      <x:c r="B20" s="17" t="str">
        <x:v>ENTERPRISE_ADMIN</x:v>
      </x:c>
      <x:c r="C20" s="4" t="str">
        <x:v>企业管理员</x:v>
      </x:c>
      <x:c r="D20" s="17" t="str">
        <x:v>/enterprise/workspace</x:v>
      </x:c>
      <x:c r="E20" s="17" t="str">
        <x:v>本企业认证、成员、地址、发票、采购订单</x:v>
      </x:c>
      <x:c r="F20" s="17" t="str">
        <x:v>成员、资料、地址、发票、订单权限内操作</x:v>
      </x:c>
      <x:c r="G20" s="17" t="str">
        <x:v>企业内部审批（如配置）</x:v>
      </x:c>
      <x:c r="H20" s="17" t="str">
        <x:v>HIDDEN</x:v>
      </x:c>
      <x:c r="I20" s="17" t="str">
        <x:v>enterpriseCustomerId=当前企业</x:v>
      </x:c>
      <x:c r="J20" s="17" t="str">
        <x:v>不得访问供应价、个人福利卡或其他企业</x:v>
      </x:c>
      <x:c r="K20" s="17" t="str">
        <x:v>成员/税号/银行资料</x:v>
      </x:c>
      <x:c r="L20" s="17" t="str">
        <x:v>登录后选择一个职能；会话固定workspaceRoute；切换职能重新签发并审计</x:v>
      </x:c>
      <x:c r="M20" s="4" t="str">
        <x:v>M3</x:v>
      </x:c>
      <x:c r="N20" s="17" t="str">
        <x:v>P0-028,P0-077,P0-080</x:v>
      </x:c>
      <x:c r="O20" s="4" t="str">
        <x:v>LOCKED_BY_SCHEME</x:v>
      </x:c>
    </x:row>
    <x:row r="21" ht="23" customHeight="1">
      <x:c r="A21" s="4" t="str">
        <x:v>ENTERPRISE</x:v>
      </x:c>
      <x:c r="B21" s="17" t="str">
        <x:v>ENTERPRISE_PURCHASER</x:v>
      </x:c>
      <x:c r="C21" s="4" t="str">
        <x:v>企业采购员</x:v>
      </x:c>
      <x:c r="D21" s="17" t="str">
        <x:v>/enterprise/procurement</x:v>
      </x:c>
      <x:c r="E21" s="17" t="str">
        <x:v>集采标识商品、本企业采购车与订单</x:v>
      </x:c>
      <x:c r="F21" s="17" t="str">
        <x:v>采购车、下单、收货、售后</x:v>
      </x:c>
      <x:c r="G21" s="17" t="str">
        <x:v>NONE</x:v>
      </x:c>
      <x:c r="H21" s="17" t="str">
        <x:v>HIDDEN</x:v>
      </x:c>
      <x:c r="I21" s="17" t="str">
        <x:v>enterpriseCustomerId=当前企业</x:v>
      </x:c>
      <x:c r="J21" s="17" t="str">
        <x:v>不得访问供应价、个人福利卡或跑腿大厅</x:v>
      </x:c>
      <x:c r="K21" s="17" t="str">
        <x:v>大额订单/对公转账提交</x:v>
      </x:c>
      <x:c r="L21" s="17" t="str">
        <x:v>登录后选择一个职能；会话固定workspaceRoute；切换职能重新签发并审计</x:v>
      </x:c>
      <x:c r="M21" s="4" t="str">
        <x:v>M3</x:v>
      </x:c>
      <x:c r="N21" s="17" t="str">
        <x:v>P0-029,P0-062,P0-078,P0-079</x:v>
      </x:c>
      <x:c r="O21" s="4" t="str">
        <x:v>LOCKED_BY_SCHEME</x:v>
      </x:c>
    </x:row>
    <x:row r="22" ht="23" customHeight="1">
      <x:c r="A22" s="4" t="str">
        <x:v>CONSUMER</x:v>
      </x:c>
      <x:c r="B22" s="17" t="str">
        <x:v>CONSUMER_USER</x:v>
      </x:c>
      <x:c r="C22" s="4" t="str">
        <x:v>个人用户</x:v>
      </x:c>
      <x:c r="D22" s="17" t="str">
        <x:v>/pages/home/index</x:v>
      </x:c>
      <x:c r="E22" s="17" t="str">
        <x:v>公开商品、自身购物车/订单/福利卡/地址</x:v>
      </x:c>
      <x:c r="F22" s="17" t="str">
        <x:v>下单、支付、收货、售后、自身资料</x:v>
      </x:c>
      <x:c r="G22" s="17" t="str">
        <x:v>NONE</x:v>
      </x:c>
      <x:c r="H22" s="17" t="str">
        <x:v>HIDDEN</x:v>
      </x:c>
      <x:c r="I22" s="17" t="str">
        <x:v>consumerUserId=当前用户</x:v>
      </x:c>
      <x:c r="J22" s="17" t="str">
        <x:v>不得访问供应价、企业价未授权视图或他人数据</x:v>
      </x:c>
      <x:c r="K22" s="17" t="str">
        <x:v>支付/退款/地址</x:v>
      </x:c>
      <x:c r="L22" s="17" t="str">
        <x:v>登录后选择一个职能；会话固定workspaceRoute；切换职能重新签发并审计</x:v>
      </x:c>
      <x:c r="M22" s="4" t="str">
        <x:v>M3</x:v>
      </x:c>
      <x:c r="N22" s="17" t="str">
        <x:v>P0-020,P0-021,P0-083,P0-098</x:v>
      </x:c>
      <x:c r="O22" s="4" t="str">
        <x:v>LOCKED_BY_SCHEME</x:v>
      </x:c>
    </x:row>
    <x:row r="23" ht="23" customHeight="1">
      <x:c r="A23" s="5" t="str">
        <x:v>RUNNER</x:v>
      </x:c>
      <x:c r="B23" s="18" t="str">
        <x:v>RUNNER</x:v>
      </x:c>
      <x:c r="C23" s="5" t="str">
        <x:v>跑腿员</x:v>
      </x:c>
      <x:c r="D23" s="18" t="str">
        <x:v>/pages/home/index</x:v>
      </x:c>
      <x:c r="E23" s="18" t="str">
        <x:v>大厅隐私摘要；接单后该任务必要取送信息</x:v>
      </x:c>
      <x:c r="F23" s="18" t="str">
        <x:v>抢单、节点、异常、凭证</x:v>
      </x:c>
      <x:c r="G23" s="18" t="str">
        <x:v>NONE</x:v>
      </x:c>
      <x:c r="H23" s="18" t="str">
        <x:v>HIDDEN</x:v>
      </x:c>
      <x:c r="I23" s="18" t="str">
        <x:v>runnerId=当前跑腿员及可抢服务区</x:v>
      </x:c>
      <x:c r="J23" s="18" t="str">
        <x:v>不得访问企业配送；失权后不得查看或更新任务</x:v>
      </x:c>
      <x:c r="K23" s="18" t="str">
        <x:v>联系信息/凭证/异常</x:v>
      </x:c>
      <x:c r="L23" s="18" t="str">
        <x:v>登录后选择一个职能；会话固定workspaceRoute；切换职能重新签发并审计</x:v>
      </x:c>
      <x:c r="M23" s="5" t="str">
        <x:v>M4</x:v>
      </x:c>
      <x:c r="N23" s="18" t="str">
        <x:v>P0-101,P0-104,P0-107,P0-110,P0-114</x:v>
      </x:c>
      <x:c r="O23" s="5" t="str">
        <x:v>LOCKED_BY_SCHEME</x:v>
      </x:c>
    </x:row>
  </x:sheetData>
  <x:conditionalFormatting sqref="O2:O23">
    <x:cfRule type="cellIs" dxfId="105" priority="1" operator="equal">
      <x:formula>"READY"</x:formula>
    </x:cfRule>
    <x:cfRule type="cellIs" dxfId="106" priority="2" operator="equal">
      <x:formula>"DONE"</x:formula>
    </x:cfRule>
    <x:cfRule type="cellIs" dxfId="107" priority="3" operator="equal">
      <x:formula>"LOCAL_PASS"</x:formula>
    </x:cfRule>
    <x:cfRule type="cellIs" dxfId="108" priority="4" operator="equal">
      <x:formula>"CI_PASS"</x:formula>
    </x:cfRule>
    <x:cfRule type="cellIs" dxfId="109" priority="5" operator="equal">
      <x:formula>"STAGING_PASS"</x:formula>
    </x:cfRule>
    <x:cfRule type="cellIs" dxfId="110" priority="6" operator="equal">
      <x:formula>"DEVICE_PASS"</x:formula>
    </x:cfRule>
    <x:cfRule type="cellIs" dxfId="111" priority="7" operator="equal">
      <x:formula>"PRODUCTION_PASS"</x:formula>
    </x:cfRule>
    <x:cfRule type="cellIs" dxfId="112" priority="8" operator="equal">
      <x:formula>"FAIL"</x:formula>
    </x:cfRule>
    <x:cfRule type="cellIs" dxfId="113" priority="9" operator="equal">
      <x:formula>"BLOCKED_EXTERNAL"</x:formula>
    </x:cfRule>
    <x:cfRule type="cellIs" dxfId="114" priority="10" operator="equal">
      <x:formula>"NOT_PROVIDED"</x:formula>
    </x:cfRule>
    <x:cfRule type="cellIs" dxfId="115" priority="11" operator="equal">
      <x:formula>"LOCKED"</x:formula>
    </x:cfRule>
    <x:cfRule type="cellIs" dxfId="116" priority="12" operator="equal">
      <x:formula>"NOT_STARTED"</x:formula>
    </x:cfRule>
    <x:cfRule type="cellIs" dxfId="117" priority="13" operator="equal">
      <x:formula>"NOT_EXECUTED"</x:formula>
    </x:cfRule>
    <x:cfRule type="cellIs" dxfId="118" priority="14" operator="equal">
      <x:formula>"IN_PROGRESS"</x:formula>
    </x:cfRule>
    <x:cfRule type="cellIs" dxfId="119" priority="15" operator="equal">
      <x:formula>"PLANNED"</x:formula>
    </x:cfRule>
  </x:conditionalFormatting>
  <x:dataValidations count="1">
    <x:dataValidation type="list" sqref="O2:O23">
      <x:formula1>"NOT_STARTED,READY,IN_PROGRESS,DONE,LOCKED,PLANNED,NOT_EXECUTED,LOCAL_PASS,CI_PASS,STAGING_PASS,DEVICE_PASS,PRODUCTION_PASS,BLOCKED_EXTERNAL,FAIL,NOT_PROVIDED"</x:formula1>
    </x:dataValidation>
  </x:dataValidations>
  <x:pageMargins left="0.7" right="0.7" top="0.75" bottom="0.75" header="0.3" footer="0.3"/>
  <x:tableParts count="1">
    <x:tablePart xmlns:r="http://schemas.openxmlformats.org/officeDocument/2006/relationships" r:id="R413f784d3bfb401c"/>
  </x:tableParts>
</x:worksheet>
</file>

<file path=xl/worksheets/sheet8.xml><?xml version="1.0" encoding="utf-8"?>
<x:worksheet xmlns:x="http://schemas.openxmlformats.org/spreadsheetml/2006/main">
  <x:sheetViews>
    <x:sheetView showGridLines="0" workbookViewId="0"/>
  </x:sheetViews>
  <x:sheetFormatPr defaultRowHeight="15"/>
  <x:cols>
    <x:col min="1" max="1" width="13" hidden="0" customWidth="1"/>
    <x:col min="2" max="2" width="26" hidden="0" customWidth="1"/>
    <x:col min="3" max="3" width="24" hidden="0" customWidth="1"/>
    <x:col min="4" max="4" width="42" hidden="0" customWidth="1"/>
    <x:col min="5" max="5" width="56" hidden="0" customWidth="1"/>
    <x:col min="6" max="6" width="10" hidden="0" customWidth="1"/>
    <x:col min="7" max="7" width="22" hidden="0" customWidth="1"/>
    <x:col min="8" max="8" width="28" hidden="0" customWidth="1"/>
    <x:col min="9" max="9" width="27" hidden="0" customWidth="1"/>
    <x:col min="10" max="10" width="30" hidden="0" customWidth="1"/>
    <x:col min="11" max="11" width="22" hidden="0" customWidth="1"/>
    <x:col min="12" max="12" width="52" hidden="0" customWidth="1"/>
    <x:col min="13" max="13" width="24" hidden="0" customWidth="1"/>
    <x:col min="14" max="14" width="24" hidden="0" customWidth="1"/>
    <x:col min="15" max="15" width="20" hidden="0" customWidth="1"/>
    <x:col min="16" max="16" width="20" hidden="0" customWidth="1"/>
    <x:col min="17" max="17" width="30" hidden="0" customWidth="1"/>
  </x:cols>
  <x:sheetData>
    <x:row r="1" ht="34" customHeight="1">
      <x:c r="A1" s="14" t="str">
        <x:v>PageID</x:v>
      </x:c>
      <x:c r="B1" s="15" t="str">
        <x:v>Platform</x:v>
      </x:c>
      <x:c r="C1" s="15" t="str">
        <x:v>PageName</x:v>
      </x:c>
      <x:c r="D1" s="15" t="str">
        <x:v>Route</x:v>
      </x:c>
      <x:c r="E1" s="15" t="str">
        <x:v>SourceAsset</x:v>
      </x:c>
      <x:c r="F1" s="15" t="str">
        <x:v>Stage</x:v>
      </x:c>
      <x:c r="G1" s="15" t="str">
        <x:v>Actor</x:v>
      </x:c>
      <x:c r="H1" s="15" t="str">
        <x:v>P0</x:v>
      </x:c>
      <x:c r="I1" s="15" t="str">
        <x:v>AuthPolicy</x:v>
      </x:c>
      <x:c r="J1" s="15" t="str">
        <x:v>SupplyPricePolicy</x:v>
      </x:c>
      <x:c r="K1" s="15" t="str">
        <x:v>APIGroup</x:v>
      </x:c>
      <x:c r="L1" s="15" t="str">
        <x:v>RequiredUIStates</x:v>
      </x:c>
      <x:c r="M1" s="15" t="str">
        <x:v>ResponsiveOrDevice</x:v>
      </x:c>
      <x:c r="N1" s="15" t="str">
        <x:v>ImplementationStatus</x:v>
      </x:c>
      <x:c r="O1" s="15" t="str">
        <x:v>AcceptanceStatus</x:v>
      </x:c>
      <x:c r="P1" s="15" t="str">
        <x:v>RouteTest</x:v>
      </x:c>
      <x:c r="Q1" s="16" t="str">
        <x:v>Notes</x:v>
      </x:c>
    </x:row>
    <x:row r="2" ht="23" customHeight="1">
      <x:c r="A2" s="17" t="str">
        <x:v>PAGE-001</x:v>
      </x:c>
      <x:c r="B2" s="17" t="str">
        <x:v>COMPANY_ADMIN</x:v>
      </x:c>
      <x:c r="C2" s="17" t="str">
        <x:v>公司后台登录</x:v>
      </x:c>
      <x:c r="D2" s="17" t="str">
        <x:v>/company-admin/login</x:v>
      </x:c>
      <x:c r="E2" s="17" t="str">
        <x:v>福礼社UI设计资产/蓝绿供应链暖红福利统一版/公司Admin后台/01-公司后台登录.png</x:v>
      </x:c>
      <x:c r="F2" s="17" t="str">
        <x:v>M1</x:v>
      </x:c>
      <x:c r="G2" s="17" t="str">
        <x:v>公司职能账号</x:v>
      </x:c>
      <x:c r="H2" s="17" t="str">
        <x:v>P0-066</x:v>
      </x:c>
      <x:c r="I2" s="17" t="str">
        <x:v>PUBLIC_NOINDEX_NO_STORE</x:v>
      </x:c>
      <x:c r="J2" s="17" t="str">
        <x:v>NEVER_RETURN</x:v>
      </x:c>
      <x:c r="K2" s="17" t="str">
        <x:v>company-admin</x:v>
      </x:c>
      <x:c r="L2" s="17" t="str">
        <x:v>loading,empty,error,permission-denied,offline-or-timeout,success；交易页增加duplicate/unknown-result</x:v>
      </x:c>
      <x:c r="M2" s="17" t="str">
        <x:v>PC admin</x:v>
      </x:c>
      <x:c r="N2" s="17" t="str">
        <x:v>IMPLEMENTED</x:v>
      </x:c>
      <x:c r="O2" s="17" t="str">
        <x:v>LOCAL_PASS</x:v>
      </x:c>
      <x:c r="P2" s="17" t="str">
        <x:v>tests/e2e/p0/p0-066-company-auth.spec.ts</x:v>
      </x:c>
      <x:c r="Q2" s="17" t="str">
        <x:v>登录入口禁止公共缓存和索引；认证前不得签发functionalAccountId会话；参考资产正文实际为供应商入驻且与PAGE-001合同不一致，实现以V1.1综合方案为准</x:v>
      </x:c>
    </x:row>
    <x:row r="3" ht="23" customHeight="1">
      <x:c r="A3" s="17" t="str">
        <x:v>PAGE-002</x:v>
      </x:c>
      <x:c r="B3" s="17" t="str">
        <x:v>COMPANY_ADMIN</x:v>
      </x:c>
      <x:c r="C3" s="17" t="str">
        <x:v>职能账号选择</x:v>
      </x:c>
      <x:c r="D3" s="17" t="str">
        <x:v>/company-admin/account-select</x:v>
      </x:c>
      <x:c r="E3" s="17" t="str">
        <x:v>福礼社UI设计资产/蓝绿供应链暖红福利统一版/公司Admin后台/02-职能账号选择.png</x:v>
      </x:c>
      <x:c r="F3" s="17" t="str">
        <x:v>M1</x:v>
      </x:c>
      <x:c r="G3" s="17" t="str">
        <x:v>公司职能账号</x:v>
      </x:c>
      <x:c r="H3" s="17" t="str">
        <x:v>P0-066</x:v>
      </x:c>
      <x:c r="I3" s="17" t="str">
        <x:v>AUTHENTICATED_IDENTITY_PENDING_FUNCTIONAL_SESSION</x:v>
      </x:c>
      <x:c r="J3" s="17" t="str">
        <x:v>NEVER_RETURN</x:v>
      </x:c>
      <x:c r="K3" s="17" t="str">
        <x:v>company-admin</x:v>
      </x:c>
      <x:c r="L3" s="17" t="str">
        <x:v>loading,empty,error,permission-denied,offline-or-timeout,success；交易页增加duplicate/unknown-result</x:v>
      </x:c>
      <x:c r="M3" s="17" t="str">
        <x:v>PC admin</x:v>
      </x:c>
      <x:c r="N3" s="17" t="str">
        <x:v>IMPLEMENTED</x:v>
      </x:c>
      <x:c r="O3" s="17" t="str">
        <x:v>LOCAL_PASS</x:v>
      </x:c>
      <x:c r="P3" s="17" t="str">
        <x:v>tests/e2e/p0/p0-066-company-auth.spec.ts</x:v>
      </x:c>
      <x:c r="Q3" s="17" t="str">
        <x:v>只列出已认证自然人有权使用的服务端账号；缺少待选择上下文时失败关闭；选中前不建立业务职能会话；private/no-store且noindex</x:v>
      </x:c>
    </x:row>
    <x:row r="4" ht="23" customHeight="1">
      <x:c r="A4" s="17" t="str">
        <x:v>PAGE-003</x:v>
      </x:c>
      <x:c r="B4" s="17" t="str">
        <x:v>COMPANY_ADMIN</x:v>
      </x:c>
      <x:c r="C4" s="17" t="str">
        <x:v>超级管理员</x:v>
      </x:c>
      <x:c r="D4" s="17" t="str">
        <x:v>/company-admin/workspaces/system</x:v>
      </x:c>
      <x:c r="E4" s="17" t="str">
        <x:v>福礼社UI设计资产/蓝绿供应链暖红福利统一版/公司Admin后台/03-超级管理员.png</x:v>
      </x:c>
      <x:c r="F4" s="17" t="str">
        <x:v>M1</x:v>
      </x:c>
      <x:c r="G4" s="17" t="str">
        <x:v>公司职能账号</x:v>
      </x:c>
      <x:c r="H4" s="17" t="str">
        <x:v>P0-067,P0-068</x:v>
      </x:c>
      <x:c r="I4" s="17" t="str">
        <x:v>REQUIRED_FIXED_FUNCTIONAL_SESSION</x:v>
      </x:c>
      <x:c r="J4" s="17" t="str">
        <x:v>NEVER_RETURN</x:v>
      </x:c>
      <x:c r="K4" s="17" t="str">
        <x:v>company-admin</x:v>
      </x:c>
      <x:c r="L4" s="17" t="str">
        <x:v>loading,empty,error,permission-denied,offline-or-timeout,success；交易页增加duplicate/unknown-result</x:v>
      </x:c>
      <x:c r="M4" s="17" t="str">
        <x:v>PC admin</x:v>
      </x:c>
      <x:c r="N4" s="17" t="str">
        <x:v>IMPLEMENTED</x:v>
      </x:c>
      <x:c r="O4" s="17" t="str">
        <x:v>P0-067_CI_PASS;P0-068_CI_PASS</x:v>
      </x:c>
      <x:c r="P4" s="17" t="str">
        <x:v>tests/e2e/p0/p0-067-company-workspaces.spec.ts;tests/e2e/p0/p0-068-company-workspace-completeness.spec.ts</x:v>
      </x:c>
      <x:c r="Q4" s="17" t="str">
        <x:v>M1-P068已实现当前超级管理员会话绑定的账号与系统模块目录、筛选、详情和交付时间线；后续真实系统配置业务仍按阶段进入</x:v>
      </x:c>
    </x:row>
    <x:row r="5" ht="23" customHeight="1">
      <x:c r="A5" s="17" t="str">
        <x:v>PAGE-004</x:v>
      </x:c>
      <x:c r="B5" s="17" t="str">
        <x:v>COMPANY_ADMIN</x:v>
      </x:c>
      <x:c r="C5" s="17" t="str">
        <x:v>供应商运营</x:v>
      </x:c>
      <x:c r="D5" s="17" t="str">
        <x:v>/company-admin/workspaces/supplier-ops</x:v>
      </x:c>
      <x:c r="E5" s="17" t="str">
        <x:v>福礼社UI设计资产/蓝绿供应链暖红福利统一版/公司Admin后台/04-供应商运营.png</x:v>
      </x:c>
      <x:c r="F5" s="17" t="str">
        <x:v>M1</x:v>
      </x:c>
      <x:c r="G5" s="17" t="str">
        <x:v>公司职能账号</x:v>
      </x:c>
      <x:c r="H5" s="17" t="str">
        <x:v>P0-003,P0-067,P0-068</x:v>
      </x:c>
      <x:c r="I5" s="17" t="str">
        <x:v>REQUIRED_FIXED_FUNCTIONAL_SESSION</x:v>
      </x:c>
      <x:c r="J5" s="17" t="str">
        <x:v>NEVER_RETURN</x:v>
      </x:c>
      <x:c r="K5" s="17" t="str">
        <x:v>company-admin</x:v>
      </x:c>
      <x:c r="L5" s="17" t="str">
        <x:v>loading,empty,error,permission-denied,offline-or-timeout,success；交易页增加duplicate/unknown-result</x:v>
      </x:c>
      <x:c r="M5" s="17" t="str">
        <x:v>PC admin</x:v>
      </x:c>
      <x:c r="N5" s="17" t="str">
        <x:v>IMPLEMENTED</x:v>
      </x:c>
      <x:c r="O5" s="17" t="str">
        <x:v>P0-003_LOCAL_PASS;P0-067_CI_PASS;P0-068_CI_PASS</x:v>
      </x:c>
      <x:c r="P5" s="17" t="str">
        <x:v>tests/e2e/p0/p0-003-supplier-onboarding.spec.ts;tests/e2e/p0/p0-067-company-workspaces.spec.ts;tests/e2e/p0/p0-068-company-workspace-completeness.spec.ts</x:v>
      </x:c>
      <x:c r="Q5" s="17" t="str">
        <x:v>M1-P003真实供应商准入页与P068当前供应商运营模块目录并存；共用组件不共享跨职能查询或详情状态</x:v>
      </x:c>
    </x:row>
    <x:row r="6" ht="23" customHeight="1">
      <x:c r="A6" s="17" t="str">
        <x:v>PAGE-005</x:v>
      </x:c>
      <x:c r="B6" s="17" t="str">
        <x:v>COMPANY_ADMIN</x:v>
      </x:c>
      <x:c r="C6" s="17" t="str">
        <x:v>商品与分类运营</x:v>
      </x:c>
      <x:c r="D6" s="17" t="str">
        <x:v>/company-admin/workspaces/product-ops</x:v>
      </x:c>
      <x:c r="E6" s="17" t="str">
        <x:v>福礼社UI设计资产/蓝绿供应链暖红福利统一版/公司Admin后台/05-商品与分类运营.png</x:v>
      </x:c>
      <x:c r="F6" s="17" t="str">
        <x:v>M2</x:v>
      </x:c>
      <x:c r="G6" s="17" t="str">
        <x:v>公司职能账号</x:v>
      </x:c>
      <x:c r="H6" s="17" t="str">
        <x:v>P0-007,P0-011,P0-012,P0-013,P0-014,P0-015,P0-016,P0-017,P0-018,P0-067,P0-068</x:v>
      </x:c>
      <x:c r="I6" s="17" t="str">
        <x:v>REQUIRED_FIXED_FUNCTIONAL_SESSION</x:v>
      </x:c>
      <x:c r="J6" s="17" t="str">
        <x:v>NEVER_RETURN</x:v>
      </x:c>
      <x:c r="K6" s="17" t="str">
        <x:v>company-admin</x:v>
      </x:c>
      <x:c r="L6" s="17" t="str">
        <x:v>loading,empty,error,permission-denied,offline-or-timeout,success；启停增加duplicate/unknown-result</x:v>
      </x:c>
      <x:c r="M6" s="17" t="str">
        <x:v>PC admin</x:v>
      </x:c>
      <x:c r="N6" s="17" t="str">
        <x:v>IMPLEMENTED</x:v>
      </x:c>
      <x:c r="O6" s="17" t="str">
        <x:v>P0-007_CI_PASS;P0-011_CI_PASS;P0-012_CI_PASS;P0-013_CI_PASS;P0-014_CI_PASS;P0-015_CI_PASS;P0-016_CI_PASS;P0-017_CI_PASS;P0-018_LOCAL_PASS;P0-067_CI_PASS;P0-068_CI_PASS</x:v>
      </x:c>
      <x:c r="P6" s="17" t="str">
        <x:v>tests/e2e/p0/p0-007-company-product-approvals.spec.ts|tests/e2e/p0/p0-011-category-tree.spec.ts|tests/e2e/p0/p0-012-category-template.spec.ts|tests/e2e/p0/p0-013-food-detail.spec.ts|tests/e2e/p0/p0-014-fresh-detail.spec.ts|tests/e2e/p0/p0-015-apparel-detail.spec.ts|tests/e2e/p0/p0-016-digital-detail.spec.ts|tests/e2e/p0/p0-017-gift-box-detail.spec.ts|tests/e2e/p0/p0-018-regulated-category.spec.ts|tests/e2e/p0/p0-067-company-workspaces.spec.ts|tests/e2e/p0/p0-068-company-workspace-completeness.spec.ts</x:v>
      </x:c>
      <x:c r="Q6" s="17" t="str">
        <x:v>商品资料审核、分类树、版本化模板和PAGE-M2-018强监管开关位于固定商品运营职能页的独立区块；P017已合并main且CI通过；P018加载/空态/权限/离线/未知结果和二次验证已有本地行为证据；供应价与资质对象引用NEVER_RETURN，EXT-007正式数据未执行。</x:v>
      </x:c>
    </x:row>
    <x:row r="7" ht="23" customHeight="1">
      <x:c r="A7" s="17" t="str">
        <x:v>PAGE-006</x:v>
      </x:c>
      <x:c r="B7" s="17" t="str">
        <x:v>COMPANY_ADMIN</x:v>
      </x:c>
      <x:c r="C7" s="17" t="str">
        <x:v>价格审核</x:v>
      </x:c>
      <x:c r="D7" s="17" t="str">
        <x:v>/company-admin/workspaces/price-review</x:v>
      </x:c>
      <x:c r="E7" s="17" t="str">
        <x:v>福礼社UI设计资产/蓝绿供应链暖红福利统一版/公司Admin后台/06-价格审核.png</x:v>
      </x:c>
      <x:c r="F7" s="17" t="str">
        <x:v>M2</x:v>
      </x:c>
      <x:c r="G7" s="17" t="str">
        <x:v>公司职能账号</x:v>
      </x:c>
      <x:c r="H7" s="17" t="str">
        <x:v>P0-007,P0-019,P0-067,P0-068,P0-071</x:v>
      </x:c>
      <x:c r="I7" s="17" t="str">
        <x:v>REQUIRED_FIXED_FUNCTIONAL_SESSION</x:v>
      </x:c>
      <x:c r="J7" s="17" t="str">
        <x:v>AUTHORIZED_COMPANY_ONLY</x:v>
      </x:c>
      <x:c r="K7" s="17" t="str">
        <x:v>company-admin</x:v>
      </x:c>
      <x:c r="L7" s="17" t="str">
        <x:v>loading,empty,error,permission-denied,offline-or-timeout,success；交易页增加duplicate/unknown-result</x:v>
      </x:c>
      <x:c r="M7" s="17" t="str">
        <x:v>PC admin</x:v>
      </x:c>
      <x:c r="N7" s="17" t="str">
        <x:v>IMPLEMENTED</x:v>
      </x:c>
      <x:c r="O7" s="17" t="str">
        <x:v>P0-007_CI_PASS;P0-067_CI_PASS;P0-068_CI_PASS;P0-019_LOCAL_PASS;P0-071_NOT_EXECUTED</x:v>
      </x:c>
      <x:c r="P7" s="17" t="str">
        <x:v>tests/e2e/p0/p0-007-company-product-approvals.spec.ts|tests/e2e/p0/p0-019-tiered-price-change.spec.ts|tests/e2e/p0/p0-067-company-workspaces.spec.ts|tests/e2e/p0/p0-068-company-workspace-completeness.spec.ts</x:v>
      </x:c>
      <x:c r="Q7" s="17" t="str">
        <x:v>独立初始三价审核及上架后供应价变更队列均已实现；后者显示旧价/申请价/涨跌比例/生效时间，强制异人审核与二次验证；销售价不进入审核；P019本地E2E通过，CI待执行。</x:v>
      </x:c>
    </x:row>
    <x:row r="8" ht="23" customHeight="1">
      <x:c r="A8" s="17" t="str">
        <x:v>PAGE-007</x:v>
      </x:c>
      <x:c r="B8" s="17" t="str">
        <x:v>COMPANY_ADMIN</x:v>
      </x:c>
      <x:c r="C8" s="17" t="str">
        <x:v>订单客服</x:v>
      </x:c>
      <x:c r="D8" s="17" t="str">
        <x:v>/company-admin/workspaces/order-service</x:v>
      </x:c>
      <x:c r="E8" s="17" t="str">
        <x:v>福礼社UI设计资产/蓝绿供应链暖红福利统一版/公司Admin后台/07-订单客服.png</x:v>
      </x:c>
      <x:c r="F8" s="17" t="str">
        <x:v>M3</x:v>
      </x:c>
      <x:c r="G8" s="17" t="str">
        <x:v>公司职能账号</x:v>
      </x:c>
      <x:c r="H8" s="17" t="str">
        <x:v>P0-038,P0-067,P0-068</x:v>
      </x:c>
      <x:c r="I8" s="17" t="str">
        <x:v>REQUIRED_FIXED_FUNCTIONAL_SESSION</x:v>
      </x:c>
      <x:c r="J8" s="17" t="str">
        <x:v>NEVER_RETURN</x:v>
      </x:c>
      <x:c r="K8" s="17" t="str">
        <x:v>company-admin</x:v>
      </x:c>
      <x:c r="L8" s="17" t="str">
        <x:v>loading,empty,error,permission-denied,offline-or-timeout,success；交易页增加duplicate/unknown-result</x:v>
      </x:c>
      <x:c r="M8" s="17" t="str">
        <x:v>PC admin</x:v>
      </x:c>
      <x:c r="N8" s="17" t="str">
        <x:v>IMPLEMENTED</x:v>
      </x:c>
      <x:c r="O8" s="17" t="str">
        <x:v>P0-067_CI_PASS;P0-068_CI_PASS;P0-038_NOT_EXECUTED</x:v>
      </x:c>
      <x:c r="P8" s="17" t="str">
        <x:v>tests/e2e/p0/p0-067-company-workspaces.spec.ts;tests/e2e/p0/p0-068-company-workspace-completeness.spec.ts</x:v>
      </x:c>
      <x:c r="Q8" s="17" t="str">
        <x:v>P068仅交付当前订单客服职能目录与完整页面状态；M3订单和M5售后业务明确DEFERRED</x:v>
      </x:c>
    </x:row>
    <x:row r="9" ht="23" customHeight="1">
      <x:c r="A9" s="17" t="str">
        <x:v>PAGE-008</x:v>
      </x:c>
      <x:c r="B9" s="17" t="str">
        <x:v>COMPANY_ADMIN</x:v>
      </x:c>
      <x:c r="C9" s="17" t="str">
        <x:v>福利卡运营</x:v>
      </x:c>
      <x:c r="D9" s="17" t="str">
        <x:v>/company-admin/workspaces/welfare-card</x:v>
      </x:c>
      <x:c r="E9" s="17" t="str">
        <x:v>福礼社UI设计资产/蓝绿供应链暖红福利统一版/公司Admin后台/08-福利卡运营.png</x:v>
      </x:c>
      <x:c r="F9" s="17" t="str">
        <x:v>M3</x:v>
      </x:c>
      <x:c r="G9" s="17" t="str">
        <x:v>公司职能账号</x:v>
      </x:c>
      <x:c r="H9" s="17" t="str">
        <x:v>P0-051,P0-059,P0-067,P0-068</x:v>
      </x:c>
      <x:c r="I9" s="17" t="str">
        <x:v>REQUIRED_FIXED_FUNCTIONAL_SESSION</x:v>
      </x:c>
      <x:c r="J9" s="17" t="str">
        <x:v>NEVER_RETURN</x:v>
      </x:c>
      <x:c r="K9" s="17" t="str">
        <x:v>company-admin</x:v>
      </x:c>
      <x:c r="L9" s="17" t="str">
        <x:v>loading,empty,error,permission-denied,offline-or-timeout,success；交易页增加duplicate/unknown-result</x:v>
      </x:c>
      <x:c r="M9" s="17" t="str">
        <x:v>PC admin</x:v>
      </x:c>
      <x:c r="N9" s="17" t="str">
        <x:v>IMPLEMENTED</x:v>
      </x:c>
      <x:c r="O9" s="17" t="str">
        <x:v>P0-067_CI_PASS;P0-068_CI_PASS;P0-051_P0-059_NOT_EXECUTED</x:v>
      </x:c>
      <x:c r="P9" s="17" t="str">
        <x:v>tests/e2e/p0/p0-067-company-workspaces.spec.ts;tests/e2e/p0/p0-068-company-workspace-completeness.spec.ts</x:v>
      </x:c>
      <x:c r="Q9" s="17" t="str">
        <x:v>P068仅交付当前福利卡职能目录与完整页面状态；M3福利卡计划、批次和账本业务明确DEFERRED</x:v>
      </x:c>
    </x:row>
    <x:row r="10" ht="23" customHeight="1">
      <x:c r="A10" s="17" t="str">
        <x:v>PAGE-009</x:v>
      </x:c>
      <x:c r="B10" s="17" t="str">
        <x:v>COMPANY_ADMIN</x:v>
      </x:c>
      <x:c r="C10" s="17" t="str">
        <x:v>财务结算</x:v>
      </x:c>
      <x:c r="D10" s="17" t="str">
        <x:v>/company-admin/workspaces/finance</x:v>
      </x:c>
      <x:c r="E10" s="17" t="str">
        <x:v>福礼社UI设计资产/蓝绿供应链暖红福利统一版/公司Admin后台/09-财务结算.png</x:v>
      </x:c>
      <x:c r="F10" s="17" t="str">
        <x:v>M5</x:v>
      </x:c>
      <x:c r="G10" s="17" t="str">
        <x:v>公司职能账号</x:v>
      </x:c>
      <x:c r="H10" s="17" t="str">
        <x:v>P0-040,P0-042,P0-060,P0-065,P0-067,P0-068</x:v>
      </x:c>
      <x:c r="I10" s="17" t="str">
        <x:v>REQUIRED_FIXED_FUNCTIONAL_SESSION</x:v>
      </x:c>
      <x:c r="J10" s="17" t="str">
        <x:v>AUTHORIZED_COMPANY_ONLY</x:v>
      </x:c>
      <x:c r="K10" s="17" t="str">
        <x:v>company-admin</x:v>
      </x:c>
      <x:c r="L10" s="17" t="str">
        <x:v>loading,empty,error,permission-denied,offline-or-timeout,success；交易页增加duplicate/unknown-result</x:v>
      </x:c>
      <x:c r="M10" s="17" t="str">
        <x:v>PC admin</x:v>
      </x:c>
      <x:c r="N10" s="17" t="str">
        <x:v>IMPLEMENTED</x:v>
      </x:c>
      <x:c r="O10" s="17" t="str">
        <x:v>P0-067_CI_PASS;P0-068_CI_PASS;P0-040_P0-042_P0-060_P0-065_NOT_EXECUTED</x:v>
      </x:c>
      <x:c r="P10" s="17" t="str">
        <x:v>tests/e2e/p0/p0-067-company-workspaces.spec.ts;tests/e2e/p0/p0-068-company-workspace-completeness.spec.ts</x:v>
      </x:c>
      <x:c r="Q10" s="17" t="str">
        <x:v>P068仅交付当前财务职能目录与完整页面状态且不返回供应商结算敏感字段；M5业务明确DEFERRED</x:v>
      </x:c>
    </x:row>
    <x:row r="11" ht="23" customHeight="1">
      <x:c r="A11" s="17" t="str">
        <x:v>PAGE-010</x:v>
      </x:c>
      <x:c r="B11" s="17" t="str">
        <x:v>COMPANY_ADMIN</x:v>
      </x:c>
      <x:c r="C11" s="17" t="str">
        <x:v>物流中心</x:v>
      </x:c>
      <x:c r="D11" s="17" t="str">
        <x:v>/company-admin/workspaces/logistics</x:v>
      </x:c>
      <x:c r="E11" s="17" t="str">
        <x:v>福礼社UI设计资产/蓝绿供应链暖红福利统一版/公司Admin后台/10-物流中心.png</x:v>
      </x:c>
      <x:c r="F11" s="17" t="str">
        <x:v>M4</x:v>
      </x:c>
      <x:c r="G11" s="17" t="str">
        <x:v>公司职能账号</x:v>
      </x:c>
      <x:c r="H11" s="17" t="str">
        <x:v>P0-067,P0-068,P0-116,P0-118</x:v>
      </x:c>
      <x:c r="I11" s="17" t="str">
        <x:v>REQUIRED_FIXED_FUNCTIONAL_SESSION</x:v>
      </x:c>
      <x:c r="J11" s="17" t="str">
        <x:v>NEVER_RETURN</x:v>
      </x:c>
      <x:c r="K11" s="17" t="str">
        <x:v>company-admin</x:v>
      </x:c>
      <x:c r="L11" s="17" t="str">
        <x:v>loading,empty,error,permission-denied,offline-or-timeout,success；交易页增加duplicate/unknown-result</x:v>
      </x:c>
      <x:c r="M11" s="17" t="str">
        <x:v>PC admin</x:v>
      </x:c>
      <x:c r="N11" s="17" t="str">
        <x:v>IMPLEMENTED</x:v>
      </x:c>
      <x:c r="O11" s="17" t="str">
        <x:v>P0-067_CI_PASS;P0-068_CI_PASS;P0-116_P0-118_NOT_EXECUTED</x:v>
      </x:c>
      <x:c r="P11" s="17" t="str">
        <x:v>tests/e2e/p0/p0-067-company-workspaces.spec.ts;tests/e2e/p0/p0-068-company-workspace-completeness.spec.ts</x:v>
      </x:c>
      <x:c r="Q11" s="17" t="str">
        <x:v>P068仅交付当前物流职能目录与完整页面状态；M4个人与企业配送业务明确DEFERRED且未进入大厅</x:v>
      </x:c>
    </x:row>
    <x:row r="12" ht="23" customHeight="1">
      <x:c r="A12" s="17" t="str">
        <x:v>PAGE-011</x:v>
      </x:c>
      <x:c r="B12" s="17" t="str">
        <x:v>COMPANY_ADMIN</x:v>
      </x:c>
      <x:c r="C12" s="17" t="str">
        <x:v>门户内容</x:v>
      </x:c>
      <x:c r="D12" s="17" t="str">
        <x:v>/company-admin/workspaces/content</x:v>
      </x:c>
      <x:c r="E12" s="17" t="str">
        <x:v>福礼社UI设计资产/蓝绿供应链暖红福利统一版/公司Admin后台/11-门户内容.png</x:v>
      </x:c>
      <x:c r="F12" s="17" t="str">
        <x:v>M5</x:v>
      </x:c>
      <x:c r="G12" s="17" t="str">
        <x:v>公司职能账号</x:v>
      </x:c>
      <x:c r="H12" s="17" t="str">
        <x:v>P0-067,P0-068,P0-073,P0-082</x:v>
      </x:c>
      <x:c r="I12" s="17" t="str">
        <x:v>REQUIRED_FIXED_FUNCTIONAL_SESSION</x:v>
      </x:c>
      <x:c r="J12" s="17" t="str">
        <x:v>NEVER_RETURN</x:v>
      </x:c>
      <x:c r="K12" s="17" t="str">
        <x:v>company-admin</x:v>
      </x:c>
      <x:c r="L12" s="17" t="str">
        <x:v>loading,empty,error,permission-denied,offline-or-timeout,success；交易页增加duplicate/unknown-result</x:v>
      </x:c>
      <x:c r="M12" s="17" t="str">
        <x:v>PC admin</x:v>
      </x:c>
      <x:c r="N12" s="17" t="str">
        <x:v>IMPLEMENTED</x:v>
      </x:c>
      <x:c r="O12" s="17" t="str">
        <x:v>P0-067_CI_PASS;P0-068_CI_PASS;P0-073_P0-082_NOT_EXECUTED</x:v>
      </x:c>
      <x:c r="P12" s="17" t="str">
        <x:v>tests/e2e/p0/p0-067-company-workspaces.spec.ts;tests/e2e/p0/p0-068-company-workspace-completeness.spec.ts</x:v>
      </x:c>
      <x:c r="Q12" s="17" t="str">
        <x:v>P068仅交付当前门户内容职能目录与完整页面状态；M5 CMS与ISR业务明确DEFERRED</x:v>
      </x:c>
    </x:row>
    <x:row r="13" ht="23" customHeight="1">
      <x:c r="A13" s="17" t="str">
        <x:v>PAGE-012</x:v>
      </x:c>
      <x:c r="B13" s="17" t="str">
        <x:v>COMPANY_ADMIN</x:v>
      </x:c>
      <x:c r="C13" s="17" t="str">
        <x:v>审计风控</x:v>
      </x:c>
      <x:c r="D13" s="17" t="str">
        <x:v>/company-admin/workspaces/audit</x:v>
      </x:c>
      <x:c r="E13" s="17" t="str">
        <x:v>福礼社UI设计资产/蓝绿供应链暖红福利统一版/公司Admin后台/12-审计风控.png</x:v>
      </x:c>
      <x:c r="F13" s="17" t="str">
        <x:v>M1</x:v>
      </x:c>
      <x:c r="G13" s="17" t="str">
        <x:v>公司职能账号</x:v>
      </x:c>
      <x:c r="H13" s="17" t="str">
        <x:v>P0-045,P0-067,P0-068,P0-072</x:v>
      </x:c>
      <x:c r="I13" s="17" t="str">
        <x:v>REQUIRED_FIXED_FUNCTIONAL_SESSION</x:v>
      </x:c>
      <x:c r="J13" s="17" t="str">
        <x:v>NEVER_RETURN</x:v>
      </x:c>
      <x:c r="K13" s="17" t="str">
        <x:v>company-admin</x:v>
      </x:c>
      <x:c r="L13" s="17" t="str">
        <x:v>loading,empty,error,permission-denied,offline-or-timeout,success；交易页增加duplicate/unknown-result</x:v>
      </x:c>
      <x:c r="M13" s="17" t="str">
        <x:v>PC admin</x:v>
      </x:c>
      <x:c r="N13" s="17" t="str">
        <x:v>IMPLEMENTED</x:v>
      </x:c>
      <x:c r="O13" s="17" t="str">
        <x:v>P0-045_LOCAL_PASS;P0-067_CI_PASS;P0-068_CI_PASS;P0-072_LOCAL_PASS</x:v>
      </x:c>
      <x:c r="P13" s="17" t="str">
        <x:v>tests/e2e/p0/p0-045-audit-log.spec.ts;tests/e2e/p0/p0-067-company-workspaces.spec.ts;tests/e2e/p0/p0-068-company-workspace-completeness.spec.ts;tests/e2e/p0/p0-072-sensitive-operations-audit.spec.ts</x:v>
      </x:c>
      <x:c r="Q13" s="17" t="str">
        <x:v>公司审计职能真实读取脱敏事件并可申请、独立认领和复核敏感操作；不生成实际导出文件</x:v>
      </x:c>
    </x:row>
    <x:row r="14" ht="23" customHeight="1">
      <x:c r="A14" s="17" t="str">
        <x:v>PAGE-013</x:v>
      </x:c>
      <x:c r="B14" s="17" t="str">
        <x:v>SUPPLIER_ADMIN</x:v>
      </x:c>
      <x:c r="C14" s="17" t="str">
        <x:v>供应商注册</x:v>
      </x:c>
      <x:c r="D14" s="17" t="str">
        <x:v>/supplier/register</x:v>
      </x:c>
      <x:c r="E14" s="17" t="str">
        <x:v>福礼社UI设计资产/蓝绿供应链暖红福利统一版/供应商后台/01-供应商注册.png</x:v>
      </x:c>
      <x:c r="F14" s="17" t="str">
        <x:v>M1</x:v>
      </x:c>
      <x:c r="G14" s="17" t="str">
        <x:v>供应商职能账号</x:v>
      </x:c>
      <x:c r="H14" s="17" t="str">
        <x:v>P0-003,P0-069</x:v>
      </x:c>
      <x:c r="I14" s="17" t="str">
        <x:v>PUBLIC_NOINDEX_NO_STORE</x:v>
      </x:c>
      <x:c r="J14" s="17" t="str">
        <x:v>NEVER_RETURN</x:v>
      </x:c>
      <x:c r="K14" s="17" t="str">
        <x:v>supplier</x:v>
      </x:c>
      <x:c r="L14" s="17" t="str">
        <x:v>loading,empty,error,permission-denied,offline-or-timeout,success；交易页增加duplicate/unknown-result</x:v>
      </x:c>
      <x:c r="M14" s="17" t="str">
        <x:v>PC admin</x:v>
      </x:c>
      <x:c r="N14" s="17" t="str">
        <x:v>IMPLEMENTED</x:v>
      </x:c>
      <x:c r="O14" s="17" t="str">
        <x:v>P0-003_LOCAL_PASS;P0-069_LOCAL_PASS</x:v>
      </x:c>
      <x:c r="P14" s="17" t="str">
        <x:v>tests/e2e/p0/p0-003-supplier-onboarding.spec.ts;tests/e2e/p0/p0-069-supplier-auth.spec.ts</x:v>
      </x:c>
      <x:c r="Q14" s="17" t="str">
        <x:v>M1-P069保留独立公开注册并增加明确的已有账号登录入口；注册不签发业务会话；noindex/no-store</x:v>
      </x:c>
    </x:row>
    <x:row r="15" ht="23" customHeight="1">
      <x:c r="A15" s="17" t="str">
        <x:v>PAGE-014</x:v>
      </x:c>
      <x:c r="B15" s="17" t="str">
        <x:v>SUPPLIER_ADMIN</x:v>
      </x:c>
      <x:c r="C15" s="17" t="str">
        <x:v>供应商登录</x:v>
      </x:c>
      <x:c r="D15" s="17" t="str">
        <x:v>/supplier/login</x:v>
      </x:c>
      <x:c r="E15" s="17" t="str">
        <x:v>福礼社UI设计资产/蓝绿供应链暖红福利统一版/供应商后台/02-供应商登录.png</x:v>
      </x:c>
      <x:c r="F15" s="17" t="str">
        <x:v>M1</x:v>
      </x:c>
      <x:c r="G15" s="17" t="str">
        <x:v>供应商职能账号</x:v>
      </x:c>
      <x:c r="H15" s="17" t="str">
        <x:v>P0-069</x:v>
      </x:c>
      <x:c r="I15" s="17" t="str">
        <x:v>PUBLIC_NOINDEX_NO_STORE</x:v>
      </x:c>
      <x:c r="J15" s="17" t="str">
        <x:v>NEVER_RETURN</x:v>
      </x:c>
      <x:c r="K15" s="17" t="str">
        <x:v>supplier</x:v>
      </x:c>
      <x:c r="L15" s="17" t="str">
        <x:v>loading,empty,error,permission-denied,offline-or-timeout,success；交易页增加duplicate/unknown-result</x:v>
      </x:c>
      <x:c r="M15" s="17" t="str">
        <x:v>PC admin</x:v>
      </x:c>
      <x:c r="N15" s="17" t="str">
        <x:v>IMPLEMENTED</x:v>
      </x:c>
      <x:c r="O15" s="17" t="str">
        <x:v>LOCAL_PASS</x:v>
      </x:c>
      <x:c r="P15" s="17" t="str">
        <x:v>tests/e2e/p0/p0-069-supplier-auth.spec.ts</x:v>
      </x:c>
      <x:c r="Q15" s="17" t="str">
        <x:v>独立登录；未知账号与错误凭证不枚举；客户端supplierId等归属字段先拒绝；单账号直达同requestId并发重试复用服务端隐藏授权和同一有效Cookie；可选验证码仅允许最多16字符字符串且非法值不进入Adapter；生产凭证适配器默认拒绝</x:v>
      </x:c>
    </x:row>
    <x:row r="16" ht="23" customHeight="1">
      <x:c r="A16" s="17" t="str">
        <x:v>PAGE-015</x:v>
      </x:c>
      <x:c r="B16" s="17" t="str">
        <x:v>SUPPLIER_ADMIN</x:v>
      </x:c>
      <x:c r="C16" s="17" t="str">
        <x:v>职能账号选择</x:v>
      </x:c>
      <x:c r="D16" s="17" t="str">
        <x:v>/supplier/account-select</x:v>
      </x:c>
      <x:c r="E16" s="17" t="str">
        <x:v>福礼社UI设计资产/蓝绿供应链暖红福利统一版/供应商后台/03-职能账号选择.png</x:v>
      </x:c>
      <x:c r="F16" s="17" t="str">
        <x:v>M1</x:v>
      </x:c>
      <x:c r="G16" s="17" t="str">
        <x:v>供应商职能账号</x:v>
      </x:c>
      <x:c r="H16" s="17" t="str">
        <x:v>P0-069</x:v>
      </x:c>
      <x:c r="I16" s="17" t="str">
        <x:v>AUTHENTICATED_IDENTITY_PENDING_FUNCTIONAL_SESSION</x:v>
      </x:c>
      <x:c r="J16" s="17" t="str">
        <x:v>NEVER_RETURN</x:v>
      </x:c>
      <x:c r="K16" s="17" t="str">
        <x:v>supplier</x:v>
      </x:c>
      <x:c r="L16" s="17" t="str">
        <x:v>loading,empty,error,permission-denied,offline-or-timeout,success；交易页增加duplicate/unknown-result</x:v>
      </x:c>
      <x:c r="M16" s="17" t="str">
        <x:v>PC admin</x:v>
      </x:c>
      <x:c r="N16" s="17" t="str">
        <x:v>IMPLEMENTED</x:v>
      </x:c>
      <x:c r="O16" s="17" t="str">
        <x:v>LOCAL_PASS</x:v>
      </x:c>
      <x:c r="P16" s="17" t="str">
        <x:v>tests/e2e/p0/p0-069-supplier-auth.spec.ts</x:v>
      </x:c>
      <x:c r="Q16" s="17" t="str">
        <x:v>仅使用认证后服务端账号列表；选择nonce由服务端密钥独立域HMAC派生且只存哈希并一次绑定；停用账号不可选；同账号并发重放返回同一有效Secure HttpOnly Cookie且响应乱序可恢复；已完成二次验证的同账号未知结果重放不再次消费一次性验证码；无效/过期选择、不可用账号和跨账号冲突追加脱敏LoginAudit；非法二次验证码先422且不消耗授权或调用Adapter；页面不接收会话令牌；private/no-store且noindex</x:v>
      </x:c>
    </x:row>
    <x:row r="17" ht="23" customHeight="1">
      <x:c r="A17" s="17" t="str">
        <x:v>PAGE-016</x:v>
      </x:c>
      <x:c r="B17" s="17" t="str">
        <x:v>SUPPLIER_ADMIN</x:v>
      </x:c>
      <x:c r="C17" s="17" t="str">
        <x:v>主体管理</x:v>
      </x:c>
      <x:c r="D17" s="17" t="str">
        <x:v>/supplier/workspaces/account-admin</x:v>
      </x:c>
      <x:c r="E17" s="17" t="str">
        <x:v>福礼社UI设计资产/蓝绿供应链暖红福利统一版/供应商后台/04-主体管理.png</x:v>
      </x:c>
      <x:c r="F17" s="17" t="str">
        <x:v>M1</x:v>
      </x:c>
      <x:c r="G17" s="17" t="str">
        <x:v>供应商职能账号</x:v>
      </x:c>
      <x:c r="H17" s="17" t="str">
        <x:v>P0-005,P0-070</x:v>
      </x:c>
      <x:c r="I17" s="17" t="str">
        <x:v>REQUIRED_FIXED_FUNCTIONAL_SESSION</x:v>
      </x:c>
      <x:c r="J17" s="17" t="str">
        <x:v>NEVER_RETURN</x:v>
      </x:c>
      <x:c r="K17" s="17" t="str">
        <x:v>supplier</x:v>
      </x:c>
      <x:c r="L17" s="17" t="str">
        <x:v>loading,empty,error,permission-denied,offline-or-timeout,success；交易页增加duplicate/unknown-result</x:v>
      </x:c>
      <x:c r="M17" s="17" t="str">
        <x:v>PC admin</x:v>
      </x:c>
      <x:c r="N17" s="17" t="str">
        <x:v>IMPLEMENTED</x:v>
      </x:c>
      <x:c r="O17" s="17" t="str">
        <x:v>LOCAL_PASS</x:v>
      </x:c>
      <x:c r="P17" s="17" t="str">
        <x:v>tests/e2e/p0/p0-005-functional-accounts.spec.ts;tests/e2e/p0/p0-070-supplier-workspaces.spec.ts</x:v>
      </x:c>
      <x:c r="Q17" s="17" t="str">
        <x:v>M1-P005账号管理能力保留；M1-P070增加主体管理固定会话门禁、单一菜单和六态页面；真实主体业务仍按后续任务边界</x:v>
      </x:c>
    </x:row>
    <x:row r="18" ht="23" customHeight="1">
      <x:c r="A18" s="17" t="str">
        <x:v>PAGE-017</x:v>
      </x:c>
      <x:c r="B18" s="17" t="str">
        <x:v>SUPPLIER_ADMIN</x:v>
      </x:c>
      <x:c r="C18" s="17" t="str">
        <x:v>商品管理</x:v>
      </x:c>
      <x:c r="D18" s="17" t="str">
        <x:v>/supplier/workspaces/products</x:v>
      </x:c>
      <x:c r="E18" s="17" t="str">
        <x:v>福礼社UI设计资产/蓝绿供应链暖红福利统一版/供应商后台/05-商品管理.png</x:v>
      </x:c>
      <x:c r="F18" s="17" t="str">
        <x:v>M2</x:v>
      </x:c>
      <x:c r="G18" s="17" t="str">
        <x:v>供应商职能账号</x:v>
      </x:c>
      <x:c r="H18" s="17" t="str">
        <x:v>P0-006,P0-008,P0-061,P0-070</x:v>
      </x:c>
      <x:c r="I18" s="17" t="str">
        <x:v>REQUIRED_FIXED_FUNCTIONAL_SESSION</x:v>
      </x:c>
      <x:c r="J18" s="17" t="str">
        <x:v>NEVER_RETURN</x:v>
      </x:c>
      <x:c r="K18" s="17" t="str">
        <x:v>supplier</x:v>
      </x:c>
      <x:c r="L18" s="17" t="str">
        <x:v>loading,empty,error,permission-denied,offline-or-timeout,success；交易页增加duplicate/unknown-result</x:v>
      </x:c>
      <x:c r="M18" s="17" t="str">
        <x:v>PC admin</x:v>
      </x:c>
      <x:c r="N18" s="17" t="str">
        <x:v>IMPLEMENTED</x:v>
      </x:c>
      <x:c r="O18" s="17" t="str">
        <x:v>LOCAL_PASS</x:v>
      </x:c>
      <x:c r="P18" s="17" t="str">
        <x:v>tests/e2e/p0/p0-006-product-two-layer.spec.ts|tests/e2e/p0/p0-070-supplier-workspaces.spec.ts</x:v>
      </x:c>
      <x:c r="Q18" s="17" t="str">
        <x:v>供应商商品资料草稿页与固定职能壳已实现；归属由会话派生；请求与页面均不含供应价。P0-008/P0-061后续业务仍未实现。</x:v>
      </x:c>
    </x:row>
    <x:row r="19" ht="23" customHeight="1">
      <x:c r="A19" s="17" t="str">
        <x:v>PAGE-018</x:v>
      </x:c>
      <x:c r="B19" s="17" t="str">
        <x:v>SUPPLIER_ADMIN</x:v>
      </x:c>
      <x:c r="C19" s="17" t="str">
        <x:v>价格管理</x:v>
      </x:c>
      <x:c r="D19" s="17" t="str">
        <x:v>/supplier/workspaces/pricing</x:v>
      </x:c>
      <x:c r="E19" s="17" t="str">
        <x:v>福礼社UI设计资产/蓝绿供应链暖红福利统一版/供应商后台/06-价格管理.png</x:v>
      </x:c>
      <x:c r="F19" s="17" t="str">
        <x:v>M2</x:v>
      </x:c>
      <x:c r="G19" s="17" t="str">
        <x:v>供应商职能账号</x:v>
      </x:c>
      <x:c r="H19" s="17" t="str">
        <x:v>P0-008,P0-019,P0-070,P0-071</x:v>
      </x:c>
      <x:c r="I19" s="17" t="str">
        <x:v>REQUIRED_FIXED_FUNCTIONAL_SESSION</x:v>
      </x:c>
      <x:c r="J19" s="17" t="str">
        <x:v>OWN_SUPPLIER_ONLY</x:v>
      </x:c>
      <x:c r="K19" s="17" t="str">
        <x:v>supplier</x:v>
      </x:c>
      <x:c r="L19" s="17" t="str">
        <x:v>loading,empty,error,permission-denied,offline-or-timeout,success；交易页增加duplicate/unknown-result</x:v>
      </x:c>
      <x:c r="M19" s="17" t="str">
        <x:v>PC admin</x:v>
      </x:c>
      <x:c r="N19" s="17" t="str">
        <x:v>IMPLEMENTED</x:v>
      </x:c>
      <x:c r="O19" s="17" t="str">
        <x:v>P0-008_CI_PASS;P0-019_LOCAL_PASS;P0-070_CI_PASS;P0-071_NOT_EXECUTED</x:v>
      </x:c>
      <x:c r="P19" s="17" t="str">
        <x:v>tests/e2e/p0/p0-008-supplier-pricing.spec.ts|tests/e2e/p0/p0-019-tiered-price-change.spec.ts|tests/e2e/p0/p0-070-supplier-workspaces.spec.ts</x:v>
      </x:c>
      <x:c r="Q19" s="17" t="str">
        <x:v>M2-P019在既有固定价格职能页新增上架后分级调价：供应价送审且旧价保留，零售/集采价免审版本化，预约时间与未知结果同幂等键恢复；本供应商归属由会话派生；CI待执行。</x:v>
      </x:c>
    </x:row>
    <x:row r="20" ht="23" customHeight="1">
      <x:c r="A20" s="17" t="str">
        <x:v>PAGE-019</x:v>
      </x:c>
      <x:c r="B20" s="17" t="str">
        <x:v>SUPPLIER_ADMIN</x:v>
      </x:c>
      <x:c r="C20" s="17" t="str">
        <x:v>库存管理</x:v>
      </x:c>
      <x:c r="D20" s="17" t="str">
        <x:v>/supplier/workspaces/inventory</x:v>
      </x:c>
      <x:c r="E20" s="17" t="str">
        <x:v>福礼社UI设计资产/蓝绿供应链暖红福利统一版/供应商后台/07-库存管理.png</x:v>
      </x:c>
      <x:c r="F20" s="17" t="str">
        <x:v>M2</x:v>
      </x:c>
      <x:c r="G20" s="17" t="str">
        <x:v>供应商职能账号</x:v>
      </x:c>
      <x:c r="H20" s="17" t="str">
        <x:v>P0-023,P0-070</x:v>
      </x:c>
      <x:c r="I20" s="17" t="str">
        <x:v>REQUIRED_FIXED_FUNCTIONAL_SESSION</x:v>
      </x:c>
      <x:c r="J20" s="17" t="str">
        <x:v>NEVER_RETURN</x:v>
      </x:c>
      <x:c r="K20" s="17" t="str">
        <x:v>supplier</x:v>
      </x:c>
      <x:c r="L20" s="17" t="str">
        <x:v>loading,empty,error,permission-denied,offline-or-timeout,success；交易页增加duplicate/unknown-result</x:v>
      </x:c>
      <x:c r="M20" s="17" t="str">
        <x:v>PC admin</x:v>
      </x:c>
      <x:c r="N20" s="17" t="str">
        <x:v>IMPLEMENTED</x:v>
      </x:c>
      <x:c r="O20" s="17" t="str">
        <x:v>LOCAL_PASS</x:v>
      </x:c>
      <x:c r="P20" s="17" t="str">
        <x:v>tests/e2e/p0/p0-070-supplier-workspaces.spec.ts</x:v>
      </x:c>
      <x:c r="Q20" s="17" t="str">
        <x:v>M1-P070固定页面壳、单一菜单和六态已实现；M2库存业务数据仍DEFERRED且NOT_EXECUTED；M2-000仅冻结业务契约，页面壳沿用M1证据，M2业务仍NOT_IMPLEMENTED/NOT_EXECUTED</x:v>
      </x:c>
    </x:row>
    <x:row r="21" ht="23" customHeight="1">
      <x:c r="A21" s="17" t="str">
        <x:v>PAGE-020</x:v>
      </x:c>
      <x:c r="B21" s="17" t="str">
        <x:v>SUPPLIER_ADMIN</x:v>
      </x:c>
      <x:c r="C21" s="17" t="str">
        <x:v>履约管理</x:v>
      </x:c>
      <x:c r="D21" s="17" t="str">
        <x:v>/supplier/workspaces/fulfillment</x:v>
      </x:c>
      <x:c r="E21" s="17" t="str">
        <x:v>福礼社UI设计资产/蓝绿供应链暖红福利统一版/供应商后台/08-履约管理.png</x:v>
      </x:c>
      <x:c r="F21" s="17" t="str">
        <x:v>M3</x:v>
      </x:c>
      <x:c r="G21" s="17" t="str">
        <x:v>供应商职能账号</x:v>
      </x:c>
      <x:c r="H21" s="17" t="str">
        <x:v>P0-031,P0-070</x:v>
      </x:c>
      <x:c r="I21" s="17" t="str">
        <x:v>REQUIRED_FIXED_FUNCTIONAL_SESSION</x:v>
      </x:c>
      <x:c r="J21" s="17" t="str">
        <x:v>NEVER_RETURN</x:v>
      </x:c>
      <x:c r="K21" s="17" t="str">
        <x:v>supplier</x:v>
      </x:c>
      <x:c r="L21" s="17" t="str">
        <x:v>loading,empty,error,permission-denied,offline-or-timeout,success；交易页增加duplicate/unknown-result</x:v>
      </x:c>
      <x:c r="M21" s="17" t="str">
        <x:v>PC admin</x:v>
      </x:c>
      <x:c r="N21" s="17" t="str">
        <x:v>IMPLEMENTED</x:v>
      </x:c>
      <x:c r="O21" s="17" t="str">
        <x:v>LOCAL_PASS</x:v>
      </x:c>
      <x:c r="P21" s="17" t="str">
        <x:v>tests/e2e/p0/p0-070-supplier-workspaces.spec.ts</x:v>
      </x:c>
      <x:c r="Q21" s="17" t="str">
        <x:v>M1-P070固定页面壳、单一菜单和六态已实现；M3履约业务数据仍DEFERRED且NOT_EXECUTED</x:v>
      </x:c>
    </x:row>
    <x:row r="22" ht="23" customHeight="1">
      <x:c r="A22" s="17" t="str">
        <x:v>PAGE-021</x:v>
      </x:c>
      <x:c r="B22" s="17" t="str">
        <x:v>SUPPLIER_ADMIN</x:v>
      </x:c>
      <x:c r="C22" s="17" t="str">
        <x:v>售后协同</x:v>
      </x:c>
      <x:c r="D22" s="17" t="str">
        <x:v>/supplier/workspaces/aftersales</x:v>
      </x:c>
      <x:c r="E22" s="17" t="str">
        <x:v>福礼社UI设计资产/蓝绿供应链暖红福利统一版/供应商后台/09-售后协同.png</x:v>
      </x:c>
      <x:c r="F22" s="17" t="str">
        <x:v>M5</x:v>
      </x:c>
      <x:c r="G22" s="17" t="str">
        <x:v>供应商职能账号</x:v>
      </x:c>
      <x:c r="H22" s="17" t="str">
        <x:v>P0-038,P0-039,P0-070</x:v>
      </x:c>
      <x:c r="I22" s="17" t="str">
        <x:v>REQUIRED_FIXED_FUNCTIONAL_SESSION</x:v>
      </x:c>
      <x:c r="J22" s="17" t="str">
        <x:v>NEVER_RETURN</x:v>
      </x:c>
      <x:c r="K22" s="17" t="str">
        <x:v>supplier</x:v>
      </x:c>
      <x:c r="L22" s="17" t="str">
        <x:v>loading,empty,error,permission-denied,offline-or-timeout,success；交易页增加duplicate/unknown-result</x:v>
      </x:c>
      <x:c r="M22" s="17" t="str">
        <x:v>PC admin</x:v>
      </x:c>
      <x:c r="N22" s="17" t="str">
        <x:v>IMPLEMENTED</x:v>
      </x:c>
      <x:c r="O22" s="17" t="str">
        <x:v>LOCAL_PASS</x:v>
      </x:c>
      <x:c r="P22" s="17" t="str">
        <x:v>tests/e2e/p0/p0-070-supplier-workspaces.spec.ts</x:v>
      </x:c>
      <x:c r="Q22" s="17" t="str">
        <x:v>M1-P070固定页面壳、单一菜单和六态已实现；M5售后业务数据仍DEFERRED且NOT_EXECUTED</x:v>
      </x:c>
    </x:row>
    <x:row r="23" ht="23" customHeight="1">
      <x:c r="A23" s="17" t="str">
        <x:v>PAGE-022</x:v>
      </x:c>
      <x:c r="B23" s="17" t="str">
        <x:v>SUPPLIER_ADMIN</x:v>
      </x:c>
      <x:c r="C23" s="17" t="str">
        <x:v>财务对账</x:v>
      </x:c>
      <x:c r="D23" s="17" t="str">
        <x:v>/supplier/workspaces/finance</x:v>
      </x:c>
      <x:c r="E23" s="17" t="str">
        <x:v>福礼社UI设计资产/蓝绿供应链暖红福利统一版/供应商后台/10-财务对账.png</x:v>
      </x:c>
      <x:c r="F23" s="17" t="str">
        <x:v>M5</x:v>
      </x:c>
      <x:c r="G23" s="17" t="str">
        <x:v>供应商职能账号</x:v>
      </x:c>
      <x:c r="H23" s="17" t="str">
        <x:v>P0-040,P0-041,P0-042,P0-060,P0-065,P0-070</x:v>
      </x:c>
      <x:c r="I23" s="17" t="str">
        <x:v>REQUIRED_FIXED_FUNCTIONAL_SESSION</x:v>
      </x:c>
      <x:c r="J23" s="17" t="str">
        <x:v>OWN_SUPPLIER_ONLY</x:v>
      </x:c>
      <x:c r="K23" s="17" t="str">
        <x:v>supplier</x:v>
      </x:c>
      <x:c r="L23" s="17" t="str">
        <x:v>loading,empty,error,permission-denied,offline-or-timeout,success；交易页增加duplicate/unknown-result</x:v>
      </x:c>
      <x:c r="M23" s="17" t="str">
        <x:v>PC admin</x:v>
      </x:c>
      <x:c r="N23" s="17" t="str">
        <x:v>IMPLEMENTED</x:v>
      </x:c>
      <x:c r="O23" s="17" t="str">
        <x:v>LOCAL_PASS</x:v>
      </x:c>
      <x:c r="P23" s="17" t="str">
        <x:v>tests/e2e/p0/p0-070-supplier-workspaces.spec.ts</x:v>
      </x:c>
      <x:c r="Q23" s="17" t="str">
        <x:v>M1-P070固定页面壳、单一菜单和六态已实现；M5财务对账业务数据仍DEFERRED且NOT_EXECUTED</x:v>
      </x:c>
    </x:row>
    <x:row r="24" ht="23" customHeight="1">
      <x:c r="A24" s="17" t="str">
        <x:v>PAGE-023</x:v>
      </x:c>
      <x:c r="B24" s="17" t="str">
        <x:v>SUPPLIER_ADMIN</x:v>
      </x:c>
      <x:c r="C24" s="17" t="str">
        <x:v>审计记录</x:v>
      </x:c>
      <x:c r="D24" s="17" t="str">
        <x:v>/supplier/workspaces/audit</x:v>
      </x:c>
      <x:c r="E24" s="17" t="str">
        <x:v>福礼社UI设计资产/蓝绿供应链暖红福利统一版/供应商后台/11-审计记录.png</x:v>
      </x:c>
      <x:c r="F24" s="17" t="str">
        <x:v>M1</x:v>
      </x:c>
      <x:c r="G24" s="17" t="str">
        <x:v>供应商职能账号</x:v>
      </x:c>
      <x:c r="H24" s="17" t="str">
        <x:v>P0-070,P0-072</x:v>
      </x:c>
      <x:c r="I24" s="17" t="str">
        <x:v>REQUIRED_FIXED_FUNCTIONAL_SESSION</x:v>
      </x:c>
      <x:c r="J24" s="17" t="str">
        <x:v>NEVER_RETURN</x:v>
      </x:c>
      <x:c r="K24" s="17" t="str">
        <x:v>supplier</x:v>
      </x:c>
      <x:c r="L24" s="17" t="str">
        <x:v>loading,empty,error,permission-denied,offline-or-timeout,success；交易页增加duplicate/unknown-result</x:v>
      </x:c>
      <x:c r="M24" s="17" t="str">
        <x:v>PC admin</x:v>
      </x:c>
      <x:c r="N24" s="17" t="str">
        <x:v>IMPLEMENTED</x:v>
      </x:c>
      <x:c r="O24" s="17" t="str">
        <x:v>P0-070_CI_PASS;P0-072_LOCAL_PASS</x:v>
      </x:c>
      <x:c r="P24" s="17" t="str">
        <x:v>tests/e2e/p0/p0-070-supplier-workspaces.spec.ts;tests/e2e/p0/p0-072-sensitive-operations-audit.spec.ts</x:v>
      </x:c>
      <x:c r="Q24" s="17" t="str">
        <x:v>供应商审计职能只读本supplierId脱敏事件和本方申请；只能申请公司复核且不能认领</x:v>
      </x:c>
    </x:row>
    <x:row r="25" ht="23" customHeight="1">
      <x:c r="A25" s="17" t="str">
        <x:v>PAGE-024</x:v>
      </x:c>
      <x:c r="B25" s="17" t="str">
        <x:v>SUPPLIER_ADMIN</x:v>
      </x:c>
      <x:c r="C25" s="17" t="str">
        <x:v>职能账号管理</x:v>
      </x:c>
      <x:c r="D25" s="17" t="str">
        <x:v>/supplier/workspaces/account-admin/accounts</x:v>
      </x:c>
      <x:c r="E25" s="17" t="str">
        <x:v>福礼社UI设计资产/蓝绿供应链暖红福利统一版/供应商后台/12-职能账号管理.png</x:v>
      </x:c>
      <x:c r="F25" s="17" t="str">
        <x:v>M1</x:v>
      </x:c>
      <x:c r="G25" s="17" t="str">
        <x:v>供应商职能账号</x:v>
      </x:c>
      <x:c r="H25" s="17" t="str">
        <x:v>P0-005,P0-070</x:v>
      </x:c>
      <x:c r="I25" s="17" t="str">
        <x:v>REQUIRED_FIXED_FUNCTIONAL_SESSION</x:v>
      </x:c>
      <x:c r="J25" s="17" t="str">
        <x:v>NEVER_RETURN</x:v>
      </x:c>
      <x:c r="K25" s="17" t="str">
        <x:v>supplier</x:v>
      </x:c>
      <x:c r="L25" s="17" t="str">
        <x:v>loading,empty,error,permission-denied,offline-or-timeout,success；交易页增加duplicate/unknown-result</x:v>
      </x:c>
      <x:c r="M25" s="17" t="str">
        <x:v>PC admin</x:v>
      </x:c>
      <x:c r="N25" s="17" t="str">
        <x:v>IMPLEMENTED</x:v>
      </x:c>
      <x:c r="O25" s="17" t="str">
        <x:v>LOCAL_PASS</x:v>
      </x:c>
      <x:c r="P25" s="17" t="str">
        <x:v>tests/e2e/p0/p0-005-functional-accounts.spec.ts;tests/e2e/p0/p0-070-supplier-workspaces.spec.ts</x:v>
      </x:c>
      <x:c r="Q25" s="17" t="str">
        <x:v>M1-P005查询邀请与六态保留；P069职能选择和P070主体管理固定门禁均已LOCAL_PASS</x:v>
      </x:c>
    </x:row>
    <x:row r="26" ht="23" customHeight="1">
      <x:c r="A26" s="17" t="str">
        <x:v>PAGE-025</x:v>
      </x:c>
      <x:c r="B26" s="17" t="str">
        <x:v>PORTAL_ENTERPRISE</x:v>
      </x:c>
      <x:c r="C26" s="17" t="str">
        <x:v>门户首页</x:v>
      </x:c>
      <x:c r="D26" s="17" t="str">
        <x:v>/</x:v>
      </x:c>
      <x:c r="E26" s="17" t="str">
        <x:v>福礼社UI设计资产/蓝绿供应链暖红福利统一版/企业门户网站/01-门户首页.png</x:v>
      </x:c>
      <x:c r="F26" s="17" t="str">
        <x:v>M3</x:v>
      </x:c>
      <x:c r="G26" s="17" t="str">
        <x:v>公开访客/企业用户</x:v>
      </x:c>
      <x:c r="H26" s="17" t="str">
        <x:v>P0-001,P0-009,P0-027,P0-074</x:v>
      </x:c>
      <x:c r="I26" s="17" t="str">
        <x:v>PUBLIC_SSG_ISR</x:v>
      </x:c>
      <x:c r="J26" s="17" t="str">
        <x:v>NEVER_RETURN</x:v>
      </x:c>
      <x:c r="K26" s="17" t="str">
        <x:v>portal/enterprise</x:v>
      </x:c>
      <x:c r="L26" s="17" t="str">
        <x:v>loading,empty,error,permission-denied,offline-or-timeout,success；交易页增加duplicate/unknown-result</x:v>
      </x:c>
      <x:c r="M26" s="17" t="str">
        <x:v>PC+mobile responsive</x:v>
      </x:c>
      <x:c r="N26" s="17" t="str">
        <x:v>PARTIAL_LOCAL_PASS</x:v>
      </x:c>
      <x:c r="O26" s="17" t="str">
        <x:v>P0-001_LOCAL_PASS;P0-009_LOCAL_PASS;M3_NOT_EXECUTED</x:v>
      </x:c>
      <x:c r="P26" s="17" t="str">
        <x:v>tests/e2e/p0/p0-001-single-merchant.spec.ts|tests/e2e/p0/p0-009-no-supplier-storefront.spec.ts</x:v>
      </x:c>
      <x:c r="Q26" s="17" t="str">
        <x:v>Next.js App Router；P0-001主体与P0-009无供应商店铺责任边界已实现并保持SSG/ISR；pnpm verify 17/17通过，页面其余M3采购能力、P0-027与P0-074仍未实现。</x:v>
      </x:c>
    </x:row>
    <x:row r="27" ht="23" customHeight="1">
      <x:c r="A27" s="17" t="str">
        <x:v>PAGE-026</x:v>
      </x:c>
      <x:c r="B27" s="17" t="str">
        <x:v>PORTAL_ENTERPRISE</x:v>
      </x:c>
      <x:c r="C27" s="17" t="str">
        <x:v>关于福礼社</x:v>
      </x:c>
      <x:c r="D27" s="17" t="str">
        <x:v>/about</x:v>
      </x:c>
      <x:c r="E27" s="17" t="str">
        <x:v>福礼社UI设计资产/蓝绿供应链暖红福利统一版/企业门户网站/02-关于福礼社.png</x:v>
      </x:c>
      <x:c r="F27" s="17" t="str">
        <x:v>M5</x:v>
      </x:c>
      <x:c r="G27" s="17" t="str">
        <x:v>公开访客/企业用户</x:v>
      </x:c>
      <x:c r="H27" s="17" t="str">
        <x:v>P0-075</x:v>
      </x:c>
      <x:c r="I27" s="17" t="str">
        <x:v>PUBLIC_SSG_ISR</x:v>
      </x:c>
      <x:c r="J27" s="17" t="str">
        <x:v>NEVER_RETURN</x:v>
      </x:c>
      <x:c r="K27" s="17" t="str">
        <x:v>portal/enterprise</x:v>
      </x:c>
      <x:c r="L27" s="17" t="str">
        <x:v>loading,empty,error,permission-denied,offline-or-timeout,success；交易页增加duplicate/unknown-result</x:v>
      </x:c>
      <x:c r="M27" s="17" t="str">
        <x:v>PC+mobile responsive</x:v>
      </x:c>
      <x:c r="N27" s="17" t="str">
        <x:v>REFERENCE_ASSET_ONLY</x:v>
      </x:c>
      <x:c r="O27" s="17" t="str">
        <x:v>NOT_EXECUTED</x:v>
      </x:c>
      <x:c r="P27" s="17" t="str">
        <x:v>TO_BE_CREATED</x:v>
      </x:c>
      <x:c r="Q27" s="17" t="str">
        <x:v>Next.js App Router；可抓取服务端HTML；唯一metadata/canonical/structured data；进入sitemap；CMS按slug触发ISR失效</x:v>
      </x:c>
    </x:row>
    <x:row r="28" ht="23" customHeight="1">
      <x:c r="A28" s="17" t="str">
        <x:v>PAGE-027</x:v>
      </x:c>
      <x:c r="B28" s="17" t="str">
        <x:v>PORTAL_ENTERPRISE</x:v>
      </x:c>
      <x:c r="C28" s="17" t="str">
        <x:v>供应链能力</x:v>
      </x:c>
      <x:c r="D28" s="17" t="str">
        <x:v>/capabilities</x:v>
      </x:c>
      <x:c r="E28" s="17" t="str">
        <x:v>福礼社UI设计资产/蓝绿供应链暖红福利统一版/企业门户网站/03-供应链能力.png</x:v>
      </x:c>
      <x:c r="F28" s="17" t="str">
        <x:v>M5</x:v>
      </x:c>
      <x:c r="G28" s="17" t="str">
        <x:v>公开访客/企业用户</x:v>
      </x:c>
      <x:c r="H28" s="17" t="str">
        <x:v>P0-075</x:v>
      </x:c>
      <x:c r="I28" s="17" t="str">
        <x:v>PUBLIC_SSG_ISR</x:v>
      </x:c>
      <x:c r="J28" s="17" t="str">
        <x:v>NEVER_RETURN</x:v>
      </x:c>
      <x:c r="K28" s="17" t="str">
        <x:v>portal/enterprise</x:v>
      </x:c>
      <x:c r="L28" s="17" t="str">
        <x:v>loading,empty,error,permission-denied,offline-or-timeout,success；交易页增加duplicate/unknown-result</x:v>
      </x:c>
      <x:c r="M28" s="17" t="str">
        <x:v>PC+mobile responsive</x:v>
      </x:c>
      <x:c r="N28" s="17" t="str">
        <x:v>REFERENCE_ASSET_ONLY</x:v>
      </x:c>
      <x:c r="O28" s="17" t="str">
        <x:v>NOT_EXECUTED</x:v>
      </x:c>
      <x:c r="P28" s="17" t="str">
        <x:v>TO_BE_CREATED</x:v>
      </x:c>
      <x:c r="Q28" s="17" t="str">
        <x:v>Next.js App Router；可抓取服务端HTML；唯一metadata/canonical/structured data；进入sitemap；CMS按slug触发ISR失效</x:v>
      </x:c>
    </x:row>
    <x:row r="29" ht="23" customHeight="1">
      <x:c r="A29" s="17" t="str">
        <x:v>PAGE-028</x:v>
      </x:c>
      <x:c r="B29" s="17" t="str">
        <x:v>PORTAL_ENTERPRISE</x:v>
      </x:c>
      <x:c r="C29" s="17" t="str">
        <x:v>合作案例</x:v>
      </x:c>
      <x:c r="D29" s="17" t="str">
        <x:v>/cases</x:v>
      </x:c>
      <x:c r="E29" s="17" t="str">
        <x:v>福礼社UI设计资产/蓝绿供应链暖红福利统一版/企业门户网站/04-合作案例.png</x:v>
      </x:c>
      <x:c r="F29" s="17" t="str">
        <x:v>M5</x:v>
      </x:c>
      <x:c r="G29" s="17" t="str">
        <x:v>公开访客/企业用户</x:v>
      </x:c>
      <x:c r="H29" s="17" t="str">
        <x:v>P0-075</x:v>
      </x:c>
      <x:c r="I29" s="17" t="str">
        <x:v>PUBLIC_SSG_ISR</x:v>
      </x:c>
      <x:c r="J29" s="17" t="str">
        <x:v>NEVER_RETURN</x:v>
      </x:c>
      <x:c r="K29" s="17" t="str">
        <x:v>portal/enterprise</x:v>
      </x:c>
      <x:c r="L29" s="17" t="str">
        <x:v>loading,empty,error,permission-denied,offline-or-timeout,success；交易页增加duplicate/unknown-result</x:v>
      </x:c>
      <x:c r="M29" s="17" t="str">
        <x:v>PC+mobile responsive</x:v>
      </x:c>
      <x:c r="N29" s="17" t="str">
        <x:v>REFERENCE_ASSET_ONLY</x:v>
      </x:c>
      <x:c r="O29" s="17" t="str">
        <x:v>NOT_EXECUTED</x:v>
      </x:c>
      <x:c r="P29" s="17" t="str">
        <x:v>TO_BE_CREATED</x:v>
      </x:c>
      <x:c r="Q29" s="17" t="str">
        <x:v>Next.js App Router；可抓取服务端HTML；唯一metadata/canonical/structured data；进入sitemap；CMS按slug触发ISR失效</x:v>
      </x:c>
    </x:row>
    <x:row r="30" ht="23" customHeight="1">
      <x:c r="A30" s="17" t="str">
        <x:v>PAGE-029</x:v>
      </x:c>
      <x:c r="B30" s="17" t="str">
        <x:v>PORTAL_ENTERPRISE</x:v>
      </x:c>
      <x:c r="C30" s="17" t="str">
        <x:v>案例详情</x:v>
      </x:c>
      <x:c r="D30" s="17" t="str">
        <x:v>/cases/[slug]</x:v>
      </x:c>
      <x:c r="E30" s="17" t="str">
        <x:v>福礼社UI设计资产/蓝绿供应链暖红福利统一版/企业门户网站/05-案例详情.png</x:v>
      </x:c>
      <x:c r="F30" s="17" t="str">
        <x:v>M5</x:v>
      </x:c>
      <x:c r="G30" s="17" t="str">
        <x:v>公开访客/企业用户</x:v>
      </x:c>
      <x:c r="H30" s="17" t="str">
        <x:v>P0-075</x:v>
      </x:c>
      <x:c r="I30" s="17" t="str">
        <x:v>PUBLIC_SSG_ISR</x:v>
      </x:c>
      <x:c r="J30" s="17" t="str">
        <x:v>NEVER_RETURN</x:v>
      </x:c>
      <x:c r="K30" s="17" t="str">
        <x:v>portal/enterprise</x:v>
      </x:c>
      <x:c r="L30" s="17" t="str">
        <x:v>loading,empty,error,permission-denied,offline-or-timeout,success；交易页增加duplicate/unknown-result</x:v>
      </x:c>
      <x:c r="M30" s="17" t="str">
        <x:v>PC+mobile responsive</x:v>
      </x:c>
      <x:c r="N30" s="17" t="str">
        <x:v>REFERENCE_ASSET_ONLY</x:v>
      </x:c>
      <x:c r="O30" s="17" t="str">
        <x:v>NOT_EXECUTED</x:v>
      </x:c>
      <x:c r="P30" s="17" t="str">
        <x:v>TO_BE_CREATED</x:v>
      </x:c>
      <x:c r="Q30" s="17" t="str">
        <x:v>Next.js App Router；可抓取服务端HTML；唯一metadata/canonical/structured data；进入sitemap；CMS按slug触发ISR失效</x:v>
      </x:c>
    </x:row>
    <x:row r="31" ht="23" customHeight="1">
      <x:c r="A31" s="17" t="str">
        <x:v>PAGE-030</x:v>
      </x:c>
      <x:c r="B31" s="17" t="str">
        <x:v>PORTAL_ENTERPRISE</x:v>
      </x:c>
      <x:c r="C31" s="17" t="str">
        <x:v>社区集采入口</x:v>
      </x:c>
      <x:c r="D31" s="17" t="str">
        <x:v>/enterprise-procurement</x:v>
      </x:c>
      <x:c r="E31" s="17" t="str">
        <x:v>福礼社UI设计资产/蓝绿供应链暖红福利统一版/企业门户网站/06-社区集采入口.png</x:v>
      </x:c>
      <x:c r="F31" s="17" t="str">
        <x:v>M3</x:v>
      </x:c>
      <x:c r="G31" s="17" t="str">
        <x:v>公开访客/企业用户</x:v>
      </x:c>
      <x:c r="H31" s="17" t="str">
        <x:v>P0-030,P0-073,P0-074</x:v>
      </x:c>
      <x:c r="I31" s="17" t="str">
        <x:v>PUBLIC_SSG_ISR</x:v>
      </x:c>
      <x:c r="J31" s="17" t="str">
        <x:v>NEVER_RETURN</x:v>
      </x:c>
      <x:c r="K31" s="17" t="str">
        <x:v>portal/enterprise</x:v>
      </x:c>
      <x:c r="L31" s="17" t="str">
        <x:v>loading,empty,error,permission-denied,offline-or-timeout,success；交易页增加duplicate/unknown-result</x:v>
      </x:c>
      <x:c r="M31" s="17" t="str">
        <x:v>PC+mobile responsive</x:v>
      </x:c>
      <x:c r="N31" s="17" t="str">
        <x:v>REFERENCE_ASSET_ONLY</x:v>
      </x:c>
      <x:c r="O31" s="17" t="str">
        <x:v>NOT_EXECUTED</x:v>
      </x:c>
      <x:c r="P31" s="17" t="str">
        <x:v>TO_BE_CREATED</x:v>
      </x:c>
      <x:c r="Q31" s="17" t="str">
        <x:v>Next.js App Router；可抓取服务端HTML；唯一metadata/canonical/structured data；进入sitemap；CMS按slug触发ISR失效</x:v>
      </x:c>
    </x:row>
    <x:row r="32" ht="23" customHeight="1">
      <x:c r="A32" s="17" t="str">
        <x:v>PAGE-031</x:v>
      </x:c>
      <x:c r="B32" s="17" t="str">
        <x:v>PORTAL_ENTERPRISE</x:v>
      </x:c>
      <x:c r="C32" s="17" t="str">
        <x:v>企业注册</x:v>
      </x:c>
      <x:c r="D32" s="17" t="str">
        <x:v>/enterprise/register</x:v>
      </x:c>
      <x:c r="E32" s="17" t="str">
        <x:v>福礼社UI设计资产/蓝绿供应链暖红福利统一版/企业门户网站/07-企业注册.png</x:v>
      </x:c>
      <x:c r="F32" s="17" t="str">
        <x:v>M3</x:v>
      </x:c>
      <x:c r="G32" s="17" t="str">
        <x:v>公开访客/企业用户</x:v>
      </x:c>
      <x:c r="H32" s="17" t="str">
        <x:v>P0-028,P0-077</x:v>
      </x:c>
      <x:c r="I32" s="17" t="str">
        <x:v>PUBLIC_NOINDEX_NO_STORE</x:v>
      </x:c>
      <x:c r="J32" s="17" t="str">
        <x:v>NEVER_RETURN</x:v>
      </x:c>
      <x:c r="K32" s="17" t="str">
        <x:v>portal/enterprise</x:v>
      </x:c>
      <x:c r="L32" s="17" t="str">
        <x:v>loading,empty,error,permission-denied,offline-or-timeout,success；交易页增加duplicate/unknown-result</x:v>
      </x:c>
      <x:c r="M32" s="17" t="str">
        <x:v>PC+mobile responsive</x:v>
      </x:c>
      <x:c r="N32" s="17" t="str">
        <x:v>REFERENCE_ASSET_ONLY</x:v>
      </x:c>
      <x:c r="O32" s="17" t="str">
        <x:v>NOT_EXECUTED</x:v>
      </x:c>
      <x:c r="P32" s="17" t="str">
        <x:v>TO_BE_CREATED</x:v>
      </x:c>
      <x:c r="Q32" s="17" t="str">
        <x:v>公开可访问但禁止索引和公共缓存；认证令牌与错误不写入HTML或日志</x:v>
      </x:c>
    </x:row>
    <x:row r="33" ht="23" customHeight="1">
      <x:c r="A33" s="17" t="str">
        <x:v>PAGE-032</x:v>
      </x:c>
      <x:c r="B33" s="17" t="str">
        <x:v>PORTAL_ENTERPRISE</x:v>
      </x:c>
      <x:c r="C33" s="17" t="str">
        <x:v>企业登录</x:v>
      </x:c>
      <x:c r="D33" s="17" t="str">
        <x:v>/enterprise/login</x:v>
      </x:c>
      <x:c r="E33" s="17" t="str">
        <x:v>福礼社UI设计资产/蓝绿供应链暖红福利统一版/企业门户网站/08-企业登录.png</x:v>
      </x:c>
      <x:c r="F33" s="17" t="str">
        <x:v>M3</x:v>
      </x:c>
      <x:c r="G33" s="17" t="str">
        <x:v>公开访客/企业用户</x:v>
      </x:c>
      <x:c r="H33" s="17" t="str">
        <x:v>P0-077</x:v>
      </x:c>
      <x:c r="I33" s="17" t="str">
        <x:v>PUBLIC_NOINDEX_NO_STORE</x:v>
      </x:c>
      <x:c r="J33" s="17" t="str">
        <x:v>NEVER_RETURN</x:v>
      </x:c>
      <x:c r="K33" s="17" t="str">
        <x:v>portal/enterprise</x:v>
      </x:c>
      <x:c r="L33" s="17" t="str">
        <x:v>loading,empty,error,permission-denied,offline-or-timeout,success；交易页增加duplicate/unknown-result</x:v>
      </x:c>
      <x:c r="M33" s="17" t="str">
        <x:v>PC+mobile responsive</x:v>
      </x:c>
      <x:c r="N33" s="17" t="str">
        <x:v>REFERENCE_ASSET_ONLY</x:v>
      </x:c>
      <x:c r="O33" s="17" t="str">
        <x:v>NOT_EXECUTED</x:v>
      </x:c>
      <x:c r="P33" s="17" t="str">
        <x:v>TO_BE_CREATED</x:v>
      </x:c>
      <x:c r="Q33" s="17" t="str">
        <x:v>公开可访问但禁止索引和公共缓存；认证令牌与错误不写入HTML或日志</x:v>
      </x:c>
    </x:row>
    <x:row r="34" ht="23" customHeight="1">
      <x:c r="A34" s="17" t="str">
        <x:v>PAGE-033</x:v>
      </x:c>
      <x:c r="B34" s="17" t="str">
        <x:v>PORTAL_ENTERPRISE</x:v>
      </x:c>
      <x:c r="C34" s="17" t="str">
        <x:v>认证进度</x:v>
      </x:c>
      <x:c r="D34" s="17" t="str">
        <x:v>/enterprise/certification</x:v>
      </x:c>
      <x:c r="E34" s="17" t="str">
        <x:v>福礼社UI设计资产/蓝绿供应链暖红福利统一版/企业门户网站/09-认证进度.png</x:v>
      </x:c>
      <x:c r="F34" s="17" t="str">
        <x:v>M3</x:v>
      </x:c>
      <x:c r="G34" s="17" t="str">
        <x:v>公开访客/企业用户</x:v>
      </x:c>
      <x:c r="H34" s="17" t="str">
        <x:v>P0-077</x:v>
      </x:c>
      <x:c r="I34" s="17" t="str">
        <x:v>ENTERPRISE_AUTH_PRIVATE_NO_STORE_NOINDEX</x:v>
      </x:c>
      <x:c r="J34" s="17" t="str">
        <x:v>NEVER_RETURN</x:v>
      </x:c>
      <x:c r="K34" s="17" t="str">
        <x:v>portal/enterprise</x:v>
      </x:c>
      <x:c r="L34" s="17" t="str">
        <x:v>loading,empty,error,permission-denied,offline-or-timeout,success；交易页增加duplicate/unknown-result</x:v>
      </x:c>
      <x:c r="M34" s="17" t="str">
        <x:v>PC+mobile responsive</x:v>
      </x:c>
      <x:c r="N34" s="17" t="str">
        <x:v>REFERENCE_ASSET_ONLY</x:v>
      </x:c>
      <x:c r="O34" s="17" t="str">
        <x:v>NOT_EXECUTED</x:v>
      </x:c>
      <x:c r="P34" s="17" t="str">
        <x:v>TO_BE_CREATED</x:v>
      </x:c>
      <x:c r="Q34" s="17" t="str">
        <x:v>企业身份服务端校验；用户特定响应private/no-store；noindex,nofollow；不得进入sitemap/CDN公共缓存</x:v>
      </x:c>
    </x:row>
    <x:row r="35" ht="23" customHeight="1">
      <x:c r="A35" s="17" t="str">
        <x:v>PAGE-034</x:v>
      </x:c>
      <x:c r="B35" s="17" t="str">
        <x:v>PORTAL_ENTERPRISE</x:v>
      </x:c>
      <x:c r="C35" s="17" t="str">
        <x:v>采购货架</x:v>
      </x:c>
      <x:c r="D35" s="17" t="str">
        <x:v>/enterprise/procurement/products</x:v>
      </x:c>
      <x:c r="E35" s="17" t="str">
        <x:v>福礼社UI设计资产/蓝绿供应链暖红福利统一版/企业门户网站/10-采购货架.png</x:v>
      </x:c>
      <x:c r="F35" s="17" t="str">
        <x:v>M3</x:v>
      </x:c>
      <x:c r="G35" s="17" t="str">
        <x:v>公开访客/企业用户</x:v>
      </x:c>
      <x:c r="H35" s="17" t="str">
        <x:v>P0-061,P0-078</x:v>
      </x:c>
      <x:c r="I35" s="17" t="str">
        <x:v>ENTERPRISE_AUTH_PRIVATE_NO_STORE_NOINDEX</x:v>
      </x:c>
      <x:c r="J35" s="17" t="str">
        <x:v>NEVER_RETURN</x:v>
      </x:c>
      <x:c r="K35" s="17" t="str">
        <x:v>portal/enterprise</x:v>
      </x:c>
      <x:c r="L35" s="17" t="str">
        <x:v>loading,empty,error,permission-denied,offline-or-timeout,success；交易页增加duplicate/unknown-result</x:v>
      </x:c>
      <x:c r="M35" s="17" t="str">
        <x:v>PC+mobile responsive</x:v>
      </x:c>
      <x:c r="N35" s="17" t="str">
        <x:v>REFERENCE_ASSET_ONLY</x:v>
      </x:c>
      <x:c r="O35" s="17" t="str">
        <x:v>NOT_EXECUTED</x:v>
      </x:c>
      <x:c r="P35" s="17" t="str">
        <x:v>TO_BE_CREATED</x:v>
      </x:c>
      <x:c r="Q35" s="17" t="str">
        <x:v>企业身份服务端校验；用户特定响应private/no-store；noindex,nofollow；不得进入sitemap/CDN公共缓存</x:v>
      </x:c>
    </x:row>
    <x:row r="36" ht="23" customHeight="1">
      <x:c r="A36" s="17" t="str">
        <x:v>PAGE-035</x:v>
      </x:c>
      <x:c r="B36" s="17" t="str">
        <x:v>PORTAL_ENTERPRISE</x:v>
      </x:c>
      <x:c r="C36" s="17" t="str">
        <x:v>企业商品详情</x:v>
      </x:c>
      <x:c r="D36" s="17" t="str">
        <x:v>/enterprise/procurement/products/[productId]</x:v>
      </x:c>
      <x:c r="E36" s="17" t="str">
        <x:v>福礼社UI设计资产/蓝绿供应链暖红福利统一版/企业门户网站/11-企业商品详情.png</x:v>
      </x:c>
      <x:c r="F36" s="17" t="str">
        <x:v>M3</x:v>
      </x:c>
      <x:c r="G36" s="17" t="str">
        <x:v>公开访客/企业用户</x:v>
      </x:c>
      <x:c r="H36" s="17" t="str">
        <x:v>P0-061,P0-078</x:v>
      </x:c>
      <x:c r="I36" s="17" t="str">
        <x:v>ENTERPRISE_AUTH_PRIVATE_NO_STORE_NOINDEX</x:v>
      </x:c>
      <x:c r="J36" s="17" t="str">
        <x:v>NEVER_RETURN</x:v>
      </x:c>
      <x:c r="K36" s="17" t="str">
        <x:v>portal/enterprise</x:v>
      </x:c>
      <x:c r="L36" s="17" t="str">
        <x:v>loading,empty,error,permission-denied,offline-or-timeout,success；交易页增加duplicate/unknown-result</x:v>
      </x:c>
      <x:c r="M36" s="17" t="str">
        <x:v>PC+mobile responsive</x:v>
      </x:c>
      <x:c r="N36" s="17" t="str">
        <x:v>REFERENCE_ASSET_ONLY</x:v>
      </x:c>
      <x:c r="O36" s="17" t="str">
        <x:v>NOT_EXECUTED</x:v>
      </x:c>
      <x:c r="P36" s="17" t="str">
        <x:v>TO_BE_CREATED</x:v>
      </x:c>
      <x:c r="Q36" s="17" t="str">
        <x:v>企业身份服务端校验；用户特定响应private/no-store；noindex,nofollow；不得进入sitemap/CDN公共缓存</x:v>
      </x:c>
    </x:row>
    <x:row r="37" ht="23" customHeight="1">
      <x:c r="A37" s="17" t="str">
        <x:v>PAGE-036</x:v>
      </x:c>
      <x:c r="B37" s="17" t="str">
        <x:v>PORTAL_ENTERPRISE</x:v>
      </x:c>
      <x:c r="C37" s="17" t="str">
        <x:v>采购车</x:v>
      </x:c>
      <x:c r="D37" s="17" t="str">
        <x:v>/enterprise/procurement/cart</x:v>
      </x:c>
      <x:c r="E37" s="17" t="str">
        <x:v>福礼社UI设计资产/蓝绿供应链暖红福利统一版/企业门户网站/12-采购车.png</x:v>
      </x:c>
      <x:c r="F37" s="17" t="str">
        <x:v>M3</x:v>
      </x:c>
      <x:c r="G37" s="17" t="str">
        <x:v>公开访客/企业用户</x:v>
      </x:c>
      <x:c r="H37" s="17" t="str">
        <x:v>P0-062,P0-079</x:v>
      </x:c>
      <x:c r="I37" s="17" t="str">
        <x:v>ENTERPRISE_AUTH_PRIVATE_NO_STORE_NOINDEX</x:v>
      </x:c>
      <x:c r="J37" s="17" t="str">
        <x:v>NEVER_RETURN</x:v>
      </x:c>
      <x:c r="K37" s="17" t="str">
        <x:v>portal/enterprise</x:v>
      </x:c>
      <x:c r="L37" s="17" t="str">
        <x:v>loading,empty,error,permission-denied,offline-or-timeout,success；交易页增加duplicate/unknown-result</x:v>
      </x:c>
      <x:c r="M37" s="17" t="str">
        <x:v>PC+mobile responsive</x:v>
      </x:c>
      <x:c r="N37" s="17" t="str">
        <x:v>REFERENCE_ASSET_ONLY</x:v>
      </x:c>
      <x:c r="O37" s="17" t="str">
        <x:v>NOT_EXECUTED</x:v>
      </x:c>
      <x:c r="P37" s="17" t="str">
        <x:v>TO_BE_CREATED</x:v>
      </x:c>
      <x:c r="Q37" s="17" t="str">
        <x:v>企业身份服务端校验；用户特定响应private/no-store；noindex,nofollow；不得进入sitemap/CDN公共缓存</x:v>
      </x:c>
    </x:row>
    <x:row r="38" ht="23" customHeight="1">
      <x:c r="A38" s="17" t="str">
        <x:v>PAGE-037</x:v>
      </x:c>
      <x:c r="B38" s="17" t="str">
        <x:v>PORTAL_ENTERPRISE</x:v>
      </x:c>
      <x:c r="C38" s="17" t="str">
        <x:v>采购结算</x:v>
      </x:c>
      <x:c r="D38" s="17" t="str">
        <x:v>/enterprise/procurement/checkout</x:v>
      </x:c>
      <x:c r="E38" s="17" t="str">
        <x:v>福礼社UI设计资产/蓝绿供应链暖红福利统一版/企业门户网站/13-采购结算.png</x:v>
      </x:c>
      <x:c r="F38" s="17" t="str">
        <x:v>M3</x:v>
      </x:c>
      <x:c r="G38" s="17" t="str">
        <x:v>公开访客/企业用户</x:v>
      </x:c>
      <x:c r="H38" s="17" t="str">
        <x:v>P0-062,P0-079</x:v>
      </x:c>
      <x:c r="I38" s="17" t="str">
        <x:v>ENTERPRISE_AUTH_PRIVATE_NO_STORE_NOINDEX</x:v>
      </x:c>
      <x:c r="J38" s="17" t="str">
        <x:v>NEVER_RETURN</x:v>
      </x:c>
      <x:c r="K38" s="17" t="str">
        <x:v>portal/enterprise</x:v>
      </x:c>
      <x:c r="L38" s="17" t="str">
        <x:v>loading,empty,error,permission-denied,offline-or-timeout,success；交易页增加duplicate/unknown-result</x:v>
      </x:c>
      <x:c r="M38" s="17" t="str">
        <x:v>PC+mobile responsive</x:v>
      </x:c>
      <x:c r="N38" s="17" t="str">
        <x:v>REFERENCE_ASSET_ONLY</x:v>
      </x:c>
      <x:c r="O38" s="17" t="str">
        <x:v>NOT_EXECUTED</x:v>
      </x:c>
      <x:c r="P38" s="17" t="str">
        <x:v>TO_BE_CREATED</x:v>
      </x:c>
      <x:c r="Q38" s="17" t="str">
        <x:v>企业身份服务端校验；用户特定响应private/no-store；noindex,nofollow；不得进入sitemap/CDN公共缓存</x:v>
      </x:c>
    </x:row>
    <x:row r="39" ht="23" customHeight="1">
      <x:c r="A39" s="17" t="str">
        <x:v>PAGE-038</x:v>
      </x:c>
      <x:c r="B39" s="17" t="str">
        <x:v>PORTAL_ENTERPRISE</x:v>
      </x:c>
      <x:c r="C39" s="17" t="str">
        <x:v>企业工作台</x:v>
      </x:c>
      <x:c r="D39" s="17" t="str">
        <x:v>/enterprise/workspace</x:v>
      </x:c>
      <x:c r="E39" s="17" t="str">
        <x:v>福礼社UI设计资产/蓝绿供应链暖红福利统一版/企业门户网站/14-企业工作台.png</x:v>
      </x:c>
      <x:c r="F39" s="17" t="str">
        <x:v>M3</x:v>
      </x:c>
      <x:c r="G39" s="17" t="str">
        <x:v>公开访客/企业用户</x:v>
      </x:c>
      <x:c r="H39" s="17" t="str">
        <x:v>P0-080</x:v>
      </x:c>
      <x:c r="I39" s="17" t="str">
        <x:v>ENTERPRISE_AUTH_PRIVATE_NO_STORE_NOINDEX</x:v>
      </x:c>
      <x:c r="J39" s="17" t="str">
        <x:v>NEVER_RETURN</x:v>
      </x:c>
      <x:c r="K39" s="17" t="str">
        <x:v>portal/enterprise</x:v>
      </x:c>
      <x:c r="L39" s="17" t="str">
        <x:v>loading,empty,error,permission-denied,offline-or-timeout,success；交易页增加duplicate/unknown-result</x:v>
      </x:c>
      <x:c r="M39" s="17" t="str">
        <x:v>PC+mobile responsive</x:v>
      </x:c>
      <x:c r="N39" s="17" t="str">
        <x:v>REFERENCE_ASSET_ONLY</x:v>
      </x:c>
      <x:c r="O39" s="17" t="str">
        <x:v>NOT_EXECUTED</x:v>
      </x:c>
      <x:c r="P39" s="17" t="str">
        <x:v>TO_BE_CREATED</x:v>
      </x:c>
      <x:c r="Q39" s="17" t="str">
        <x:v>企业身份服务端校验；用户特定响应private/no-store；noindex,nofollow；不得进入sitemap/CDN公共缓存</x:v>
      </x:c>
    </x:row>
    <x:row r="40" ht="23" customHeight="1">
      <x:c r="A40" s="17" t="str">
        <x:v>PAGE-039</x:v>
      </x:c>
      <x:c r="B40" s="17" t="str">
        <x:v>PORTAL_ENTERPRISE</x:v>
      </x:c>
      <x:c r="C40" s="17" t="str">
        <x:v>企业订单</x:v>
      </x:c>
      <x:c r="D40" s="17" t="str">
        <x:v>/enterprise/orders</x:v>
      </x:c>
      <x:c r="E40" s="17" t="str">
        <x:v>福礼社UI设计资产/蓝绿供应链暖红福利统一版/企业门户网站/15-企业订单.png</x:v>
      </x:c>
      <x:c r="F40" s="17" t="str">
        <x:v>M3</x:v>
      </x:c>
      <x:c r="G40" s="17" t="str">
        <x:v>公开访客/企业用户</x:v>
      </x:c>
      <x:c r="H40" s="17" t="str">
        <x:v>P0-080</x:v>
      </x:c>
      <x:c r="I40" s="17" t="str">
        <x:v>ENTERPRISE_AUTH_PRIVATE_NO_STORE_NOINDEX</x:v>
      </x:c>
      <x:c r="J40" s="17" t="str">
        <x:v>NEVER_RETURN</x:v>
      </x:c>
      <x:c r="K40" s="17" t="str">
        <x:v>portal/enterprise</x:v>
      </x:c>
      <x:c r="L40" s="17" t="str">
        <x:v>loading,empty,error,permission-denied,offline-or-timeout,success；交易页增加duplicate/unknown-result</x:v>
      </x:c>
      <x:c r="M40" s="17" t="str">
        <x:v>PC+mobile responsive</x:v>
      </x:c>
      <x:c r="N40" s="17" t="str">
        <x:v>REFERENCE_ASSET_ONLY</x:v>
      </x:c>
      <x:c r="O40" s="17" t="str">
        <x:v>NOT_EXECUTED</x:v>
      </x:c>
      <x:c r="P40" s="17" t="str">
        <x:v>TO_BE_CREATED</x:v>
      </x:c>
      <x:c r="Q40" s="17" t="str">
        <x:v>企业身份服务端校验；用户特定响应private/no-store；noindex,nofollow；不得进入sitemap/CDN公共缓存</x:v>
      </x:c>
    </x:row>
    <x:row r="41" ht="23" customHeight="1">
      <x:c r="A41" s="17" t="str">
        <x:v>PAGE-040</x:v>
      </x:c>
      <x:c r="B41" s="17" t="str">
        <x:v>PORTAL_ENTERPRISE</x:v>
      </x:c>
      <x:c r="C41" s="17" t="str">
        <x:v>企业订单详情</x:v>
      </x:c>
      <x:c r="D41" s="17" t="str">
        <x:v>/enterprise/orders/[orderId]</x:v>
      </x:c>
      <x:c r="E41" s="17" t="str">
        <x:v>福礼社UI设计资产/蓝绿供应链暖红福利统一版/企业门户网站/16-企业订单详情.png</x:v>
      </x:c>
      <x:c r="F41" s="17" t="str">
        <x:v>M3</x:v>
      </x:c>
      <x:c r="G41" s="17" t="str">
        <x:v>公开访客/企业用户</x:v>
      </x:c>
      <x:c r="H41" s="17" t="str">
        <x:v>P0-080,P0-117,P0-119</x:v>
      </x:c>
      <x:c r="I41" s="17" t="str">
        <x:v>ENTERPRISE_AUTH_PRIVATE_NO_STORE_NOINDEX</x:v>
      </x:c>
      <x:c r="J41" s="17" t="str">
        <x:v>NEVER_RETURN</x:v>
      </x:c>
      <x:c r="K41" s="17" t="str">
        <x:v>portal/enterprise</x:v>
      </x:c>
      <x:c r="L41" s="17" t="str">
        <x:v>loading,empty,error,permission-denied,offline-or-timeout,success；交易页增加duplicate/unknown-result</x:v>
      </x:c>
      <x:c r="M41" s="17" t="str">
        <x:v>PC+mobile responsive</x:v>
      </x:c>
      <x:c r="N41" s="17" t="str">
        <x:v>REFERENCE_ASSET_ONLY</x:v>
      </x:c>
      <x:c r="O41" s="17" t="str">
        <x:v>NOT_EXECUTED</x:v>
      </x:c>
      <x:c r="P41" s="17" t="str">
        <x:v>TO_BE_CREATED</x:v>
      </x:c>
      <x:c r="Q41" s="17" t="str">
        <x:v>企业身份服务端校验；用户特定响应private/no-store；noindex,nofollow；不得进入sitemap/CDN公共缓存</x:v>
      </x:c>
    </x:row>
    <x:row r="42" ht="23" customHeight="1">
      <x:c r="A42" s="17" t="str">
        <x:v>PAGE-041</x:v>
      </x:c>
      <x:c r="B42" s="17" t="str">
        <x:v>PORTAL_ENTERPRISE</x:v>
      </x:c>
      <x:c r="C42" s="17" t="str">
        <x:v>企业售后</x:v>
      </x:c>
      <x:c r="D42" s="17" t="str">
        <x:v>/enterprise/aftersales</x:v>
      </x:c>
      <x:c r="E42" s="17" t="str">
        <x:v>福礼社UI设计资产/蓝绿供应链暖红福利统一版/企业门户网站/17-企业售后.png</x:v>
      </x:c>
      <x:c r="F42" s="17" t="str">
        <x:v>M3</x:v>
      </x:c>
      <x:c r="G42" s="17" t="str">
        <x:v>公开访客/企业用户</x:v>
      </x:c>
      <x:c r="H42" s="17" t="str">
        <x:v>P0-038,P0-080</x:v>
      </x:c>
      <x:c r="I42" s="17" t="str">
        <x:v>ENTERPRISE_AUTH_PRIVATE_NO_STORE_NOINDEX</x:v>
      </x:c>
      <x:c r="J42" s="17" t="str">
        <x:v>NEVER_RETURN</x:v>
      </x:c>
      <x:c r="K42" s="17" t="str">
        <x:v>portal/enterprise</x:v>
      </x:c>
      <x:c r="L42" s="17" t="str">
        <x:v>loading,empty,error,permission-denied,offline-or-timeout,success；交易页增加duplicate/unknown-result</x:v>
      </x:c>
      <x:c r="M42" s="17" t="str">
        <x:v>PC+mobile responsive</x:v>
      </x:c>
      <x:c r="N42" s="17" t="str">
        <x:v>REFERENCE_ASSET_ONLY</x:v>
      </x:c>
      <x:c r="O42" s="17" t="str">
        <x:v>NOT_EXECUTED</x:v>
      </x:c>
      <x:c r="P42" s="17" t="str">
        <x:v>TO_BE_CREATED</x:v>
      </x:c>
      <x:c r="Q42" s="17" t="str">
        <x:v>企业身份服务端校验；用户特定响应private/no-store；noindex,nofollow；不得进入sitemap/CDN公共缓存</x:v>
      </x:c>
    </x:row>
    <x:row r="43" ht="23" customHeight="1">
      <x:c r="A43" s="17" t="str">
        <x:v>PAGE-042</x:v>
      </x:c>
      <x:c r="B43" s="17" t="str">
        <x:v>PORTAL_ENTERPRISE</x:v>
      </x:c>
      <x:c r="C43" s="17" t="str">
        <x:v>福利卡服务</x:v>
      </x:c>
      <x:c r="D43" s="17" t="str">
        <x:v>/welfare-card-service</x:v>
      </x:c>
      <x:c r="E43" s="17" t="str">
        <x:v>福礼社UI设计资产/蓝绿供应链暖红福利统一版/企业门户网站/18-福利卡服务.png</x:v>
      </x:c>
      <x:c r="F43" s="17" t="str">
        <x:v>M5</x:v>
      </x:c>
      <x:c r="G43" s="17" t="str">
        <x:v>公开访客/企业用户</x:v>
      </x:c>
      <x:c r="H43" s="17" t="str">
        <x:v>P0-051,P0-076</x:v>
      </x:c>
      <x:c r="I43" s="17" t="str">
        <x:v>PUBLIC_SSG_ISR</x:v>
      </x:c>
      <x:c r="J43" s="17" t="str">
        <x:v>NEVER_RETURN</x:v>
      </x:c>
      <x:c r="K43" s="17" t="str">
        <x:v>portal/enterprise</x:v>
      </x:c>
      <x:c r="L43" s="17" t="str">
        <x:v>loading,empty,error,permission-denied,offline-or-timeout,success；交易页增加duplicate/unknown-result</x:v>
      </x:c>
      <x:c r="M43" s="17" t="str">
        <x:v>PC+mobile responsive</x:v>
      </x:c>
      <x:c r="N43" s="17" t="str">
        <x:v>REFERENCE_ASSET_ONLY</x:v>
      </x:c>
      <x:c r="O43" s="17" t="str">
        <x:v>NOT_EXECUTED</x:v>
      </x:c>
      <x:c r="P43" s="17" t="str">
        <x:v>TO_BE_CREATED</x:v>
      </x:c>
      <x:c r="Q43" s="17" t="str">
        <x:v>Next.js App Router；可抓取服务端HTML；唯一metadata/canonical/structured data；进入sitemap；CMS按slug触发ISR失效</x:v>
      </x:c>
    </x:row>
    <x:row r="44" ht="23" customHeight="1">
      <x:c r="A44" s="17" t="str">
        <x:v>PAGE-043</x:v>
      </x:c>
      <x:c r="B44" s="17" t="str">
        <x:v>PORTAL_ENTERPRISE</x:v>
      </x:c>
      <x:c r="C44" s="17" t="str">
        <x:v>供应商合作</x:v>
      </x:c>
      <x:c r="D44" s="17" t="str">
        <x:v>/supplier-cooperation</x:v>
      </x:c>
      <x:c r="E44" s="17" t="str">
        <x:v>福礼社UI设计资产/蓝绿供应链暖红福利统一版/企业门户网站/19-供应商合作.png</x:v>
      </x:c>
      <x:c r="F44" s="17" t="str">
        <x:v>M5</x:v>
      </x:c>
      <x:c r="G44" s="17" t="str">
        <x:v>公开访客/企业用户</x:v>
      </x:c>
      <x:c r="H44" s="17" t="str">
        <x:v>P0-003,P0-076</x:v>
      </x:c>
      <x:c r="I44" s="17" t="str">
        <x:v>PUBLIC_SSG_ISR</x:v>
      </x:c>
      <x:c r="J44" s="17" t="str">
        <x:v>NEVER_RETURN</x:v>
      </x:c>
      <x:c r="K44" s="17" t="str">
        <x:v>portal/enterprise</x:v>
      </x:c>
      <x:c r="L44" s="17" t="str">
        <x:v>loading,empty,error,permission-denied,offline-or-timeout,success；交易页增加duplicate/unknown-result</x:v>
      </x:c>
      <x:c r="M44" s="17" t="str">
        <x:v>PC+mobile responsive</x:v>
      </x:c>
      <x:c r="N44" s="17" t="str">
        <x:v>REFERENCE_ASSET_ONLY</x:v>
      </x:c>
      <x:c r="O44" s="17" t="str">
        <x:v>NOT_EXECUTED</x:v>
      </x:c>
      <x:c r="P44" s="17" t="str">
        <x:v>TO_BE_CREATED</x:v>
      </x:c>
      <x:c r="Q44" s="17" t="str">
        <x:v>Next.js App Router；可抓取服务端HTML；唯一metadata/canonical/structured data；进入sitemap；CMS按slug触发ISR失效</x:v>
      </x:c>
    </x:row>
    <x:row r="45" ht="23" customHeight="1">
      <x:c r="A45" s="17" t="str">
        <x:v>PAGE-044</x:v>
      </x:c>
      <x:c r="B45" s="17" t="str">
        <x:v>PORTAL_ENTERPRISE</x:v>
      </x:c>
      <x:c r="C45" s="17" t="str">
        <x:v>新闻资讯</x:v>
      </x:c>
      <x:c r="D45" s="17" t="str">
        <x:v>/news</x:v>
      </x:c>
      <x:c r="E45" s="17" t="str">
        <x:v>福礼社UI设计资产/蓝绿供应链暖红福利统一版/企业门户网站/20-新闻资讯.png</x:v>
      </x:c>
      <x:c r="F45" s="17" t="str">
        <x:v>M5</x:v>
      </x:c>
      <x:c r="G45" s="17" t="str">
        <x:v>公开访客/企业用户</x:v>
      </x:c>
      <x:c r="H45" s="17" t="str">
        <x:v>P0-073,P0-082</x:v>
      </x:c>
      <x:c r="I45" s="17" t="str">
        <x:v>PUBLIC_SSG_ISR</x:v>
      </x:c>
      <x:c r="J45" s="17" t="str">
        <x:v>NEVER_RETURN</x:v>
      </x:c>
      <x:c r="K45" s="17" t="str">
        <x:v>portal/enterprise</x:v>
      </x:c>
      <x:c r="L45" s="17" t="str">
        <x:v>loading,empty,error,permission-denied,offline-or-timeout,success；交易页增加duplicate/unknown-result</x:v>
      </x:c>
      <x:c r="M45" s="17" t="str">
        <x:v>PC+mobile responsive</x:v>
      </x:c>
      <x:c r="N45" s="17" t="str">
        <x:v>REFERENCE_ASSET_ONLY</x:v>
      </x:c>
      <x:c r="O45" s="17" t="str">
        <x:v>NOT_EXECUTED</x:v>
      </x:c>
      <x:c r="P45" s="17" t="str">
        <x:v>TO_BE_CREATED</x:v>
      </x:c>
      <x:c r="Q45" s="17" t="str">
        <x:v>Next.js App Router；可抓取服务端HTML；唯一metadata/canonical/structured data；进入sitemap；CMS按slug触发ISR失效</x:v>
      </x:c>
    </x:row>
    <x:row r="46" ht="23" customHeight="1">
      <x:c r="A46" s="17" t="str">
        <x:v>PAGE-045</x:v>
      </x:c>
      <x:c r="B46" s="17" t="str">
        <x:v>PORTAL_ENTERPRISE</x:v>
      </x:c>
      <x:c r="C46" s="17" t="str">
        <x:v>新闻详情</x:v>
      </x:c>
      <x:c r="D46" s="17" t="str">
        <x:v>/news/[slug]</x:v>
      </x:c>
      <x:c r="E46" s="17" t="str">
        <x:v>福礼社UI设计资产/蓝绿供应链暖红福利统一版/企业门户网站/21-新闻详情.png</x:v>
      </x:c>
      <x:c r="F46" s="17" t="str">
        <x:v>M5</x:v>
      </x:c>
      <x:c r="G46" s="17" t="str">
        <x:v>公开访客/企业用户</x:v>
      </x:c>
      <x:c r="H46" s="17" t="str">
        <x:v>P0-073,P0-082</x:v>
      </x:c>
      <x:c r="I46" s="17" t="str">
        <x:v>PUBLIC_SSG_ISR</x:v>
      </x:c>
      <x:c r="J46" s="17" t="str">
        <x:v>NEVER_RETURN</x:v>
      </x:c>
      <x:c r="K46" s="17" t="str">
        <x:v>portal/enterprise</x:v>
      </x:c>
      <x:c r="L46" s="17" t="str">
        <x:v>loading,empty,error,permission-denied,offline-or-timeout,success；交易页增加duplicate/unknown-result</x:v>
      </x:c>
      <x:c r="M46" s="17" t="str">
        <x:v>PC+mobile responsive</x:v>
      </x:c>
      <x:c r="N46" s="17" t="str">
        <x:v>REFERENCE_ASSET_ONLY</x:v>
      </x:c>
      <x:c r="O46" s="17" t="str">
        <x:v>NOT_EXECUTED</x:v>
      </x:c>
      <x:c r="P46" s="17" t="str">
        <x:v>TO_BE_CREATED</x:v>
      </x:c>
      <x:c r="Q46" s="17" t="str">
        <x:v>Next.js App Router；可抓取服务端HTML；唯一metadata/canonical/structured data；进入sitemap；CMS按slug触发ISR失效</x:v>
      </x:c>
    </x:row>
    <x:row r="47" ht="23" customHeight="1">
      <x:c r="A47" s="17" t="str">
        <x:v>PAGE-046</x:v>
      </x:c>
      <x:c r="B47" s="17" t="str">
        <x:v>PORTAL_ENTERPRISE</x:v>
      </x:c>
      <x:c r="C47" s="17" t="str">
        <x:v>联系我们</x:v>
      </x:c>
      <x:c r="D47" s="17" t="str">
        <x:v>/contact</x:v>
      </x:c>
      <x:c r="E47" s="17" t="str">
        <x:v>福礼社UI设计资产/蓝绿供应链暖红福利统一版/企业门户网站/22-联系我们.png</x:v>
      </x:c>
      <x:c r="F47" s="17" t="str">
        <x:v>M5</x:v>
      </x:c>
      <x:c r="G47" s="17" t="str">
        <x:v>公开访客/企业用户</x:v>
      </x:c>
      <x:c r="H47" s="17" t="str">
        <x:v>P0-074,P0-076</x:v>
      </x:c>
      <x:c r="I47" s="17" t="str">
        <x:v>PUBLIC_SSG_ISR</x:v>
      </x:c>
      <x:c r="J47" s="17" t="str">
        <x:v>NEVER_RETURN</x:v>
      </x:c>
      <x:c r="K47" s="17" t="str">
        <x:v>portal/enterprise</x:v>
      </x:c>
      <x:c r="L47" s="17" t="str">
        <x:v>loading,empty,error,permission-denied,offline-or-timeout,success；交易页增加duplicate/unknown-result</x:v>
      </x:c>
      <x:c r="M47" s="17" t="str">
        <x:v>PC+mobile responsive</x:v>
      </x:c>
      <x:c r="N47" s="17" t="str">
        <x:v>REFERENCE_ASSET_ONLY</x:v>
      </x:c>
      <x:c r="O47" s="17" t="str">
        <x:v>NOT_EXECUTED</x:v>
      </x:c>
      <x:c r="P47" s="17" t="str">
        <x:v>TO_BE_CREATED</x:v>
      </x:c>
      <x:c r="Q47" s="17" t="str">
        <x:v>Next.js App Router；可抓取服务端HTML；唯一metadata/canonical/structured data；进入sitemap；CMS按slug触发ISR失效</x:v>
      </x:c>
    </x:row>
    <x:row r="48" ht="23" customHeight="1">
      <x:c r="A48" s="17" t="str">
        <x:v>PAGE-047</x:v>
      </x:c>
      <x:c r="B48" s="17" t="str">
        <x:v>PORTAL_ENTERPRISE</x:v>
      </x:c>
      <x:c r="C48" s="17" t="str">
        <x:v>协议政策</x:v>
      </x:c>
      <x:c r="D48" s="17" t="str">
        <x:v>/policies/[slug]</x:v>
      </x:c>
      <x:c r="E48" s="17" t="str">
        <x:v>福礼社UI设计资产/蓝绿供应链暖红福利统一版/企业门户网站/23-协议政策.png</x:v>
      </x:c>
      <x:c r="F48" s="17" t="str">
        <x:v>M5</x:v>
      </x:c>
      <x:c r="G48" s="17" t="str">
        <x:v>公开访客/企业用户</x:v>
      </x:c>
      <x:c r="H48" s="17" t="str">
        <x:v>P0-082</x:v>
      </x:c>
      <x:c r="I48" s="17" t="str">
        <x:v>PUBLIC_SSG_ISR</x:v>
      </x:c>
      <x:c r="J48" s="17" t="str">
        <x:v>NEVER_RETURN</x:v>
      </x:c>
      <x:c r="K48" s="17" t="str">
        <x:v>portal/enterprise</x:v>
      </x:c>
      <x:c r="L48" s="17" t="str">
        <x:v>loading,empty,error,permission-denied,offline-or-timeout,success；交易页增加duplicate/unknown-result</x:v>
      </x:c>
      <x:c r="M48" s="17" t="str">
        <x:v>PC+mobile responsive</x:v>
      </x:c>
      <x:c r="N48" s="17" t="str">
        <x:v>REFERENCE_ASSET_ONLY</x:v>
      </x:c>
      <x:c r="O48" s="17" t="str">
        <x:v>NOT_EXECUTED</x:v>
      </x:c>
      <x:c r="P48" s="17" t="str">
        <x:v>TO_BE_CREATED</x:v>
      </x:c>
      <x:c r="Q48" s="17" t="str">
        <x:v>Next.js App Router；可抓取服务端HTML；唯一metadata/canonical/structured data；进入sitemap；CMS按slug触发ISR失效</x:v>
      </x:c>
    </x:row>
    <x:row r="49" ht="23" customHeight="1">
      <x:c r="A49" s="17" t="str">
        <x:v>PAGE-048</x:v>
      </x:c>
      <x:c r="B49" s="17" t="str">
        <x:v>PORTAL_ENTERPRISE</x:v>
      </x:c>
      <x:c r="C49" s="17" t="str">
        <x:v>企业消息</x:v>
      </x:c>
      <x:c r="D49" s="17" t="str">
        <x:v>/enterprise/messages</x:v>
      </x:c>
      <x:c r="E49" s="17" t="str">
        <x:v>福礼社UI设计资产/蓝绿供应链暖红福利统一版/企业门户网站/24-企业消息.png</x:v>
      </x:c>
      <x:c r="F49" s="17" t="str">
        <x:v>M3</x:v>
      </x:c>
      <x:c r="G49" s="17" t="str">
        <x:v>公开访客/企业用户</x:v>
      </x:c>
      <x:c r="H49" s="17" t="str">
        <x:v>P0-080,P0-119</x:v>
      </x:c>
      <x:c r="I49" s="17" t="str">
        <x:v>ENTERPRISE_AUTH_PRIVATE_NO_STORE_NOINDEX</x:v>
      </x:c>
      <x:c r="J49" s="17" t="str">
        <x:v>NEVER_RETURN</x:v>
      </x:c>
      <x:c r="K49" s="17" t="str">
        <x:v>portal/enterprise</x:v>
      </x:c>
      <x:c r="L49" s="17" t="str">
        <x:v>loading,empty,error,permission-denied,offline-or-timeout,success；交易页增加duplicate/unknown-result</x:v>
      </x:c>
      <x:c r="M49" s="17" t="str">
        <x:v>PC+mobile responsive</x:v>
      </x:c>
      <x:c r="N49" s="17" t="str">
        <x:v>REFERENCE_ASSET_ONLY</x:v>
      </x:c>
      <x:c r="O49" s="17" t="str">
        <x:v>NOT_EXECUTED</x:v>
      </x:c>
      <x:c r="P49" s="17" t="str">
        <x:v>TO_BE_CREATED</x:v>
      </x:c>
      <x:c r="Q49" s="17" t="str">
        <x:v>企业身份服务端校验；用户特定响应private/no-store；noindex,nofollow；不得进入sitemap/CDN公共缓存</x:v>
      </x:c>
    </x:row>
    <x:row r="50" ht="23" customHeight="1">
      <x:c r="A50" s="17" t="str">
        <x:v>PAGE-049</x:v>
      </x:c>
      <x:c r="B50" s="17" t="str">
        <x:v>CONSUMER_MINIPROGRAM</x:v>
      </x:c>
      <x:c r="C50" s="17" t="str">
        <x:v>首页</x:v>
      </x:c>
      <x:c r="D50" s="17" t="str">
        <x:v>/pages/home/index</x:v>
      </x:c>
      <x:c r="E50" s="17" t="str">
        <x:v>福礼社UI设计资产/美团式用户小程序方案/全部22页/01-首页.png</x:v>
      </x:c>
      <x:c r="F50" s="17" t="str">
        <x:v>M3</x:v>
      </x:c>
      <x:c r="G50" s="17" t="str">
        <x:v>个人用户</x:v>
      </x:c>
      <x:c r="H50" s="17" t="str">
        <x:v>P0-020,P0-086</x:v>
      </x:c>
      <x:c r="I50" s="17" t="str">
        <x:v>PUBLIC_OR_ON_DEMAND</x:v>
      </x:c>
      <x:c r="J50" s="17" t="str">
        <x:v>NEVER_RETURN</x:v>
      </x:c>
      <x:c r="K50" s="17" t="str">
        <x:v>consumer</x:v>
      </x:c>
      <x:c r="L50" s="17" t="str">
        <x:v>loading,empty,error,permission-denied,offline-or-timeout,success；交易页增加duplicate/unknown-result</x:v>
      </x:c>
      <x:c r="M50" s="17" t="str">
        <x:v>微信小程序真机</x:v>
      </x:c>
      <x:c r="N50" s="17" t="str">
        <x:v>REFERENCE_ASSET_ONLY</x:v>
      </x:c>
      <x:c r="O50" s="17" t="str">
        <x:v>NOT_EXECUTED</x:v>
      </x:c>
      <x:c r="P50" s="17" t="str">
        <x:v>TO_BE_CREATED</x:v>
      </x:c>
      <x:c r="Q50" s="17" t="str">
        <x:v>视觉基线不覆盖业务、权限和状态机</x:v>
      </x:c>
    </x:row>
    <x:row r="51" ht="23" customHeight="1">
      <x:c r="A51" s="17" t="str">
        <x:v>PAGE-050</x:v>
      </x:c>
      <x:c r="B51" s="17" t="str">
        <x:v>CONSUMER_MINIPROGRAM</x:v>
      </x:c>
      <x:c r="C51" s="17" t="str">
        <x:v>分类</x:v>
      </x:c>
      <x:c r="D51" s="17" t="str">
        <x:v>/pages/category/index</x:v>
      </x:c>
      <x:c r="E51" s="17" t="str">
        <x:v>福礼社UI设计资产/美团式用户小程序方案/全部22页/02-分类.png</x:v>
      </x:c>
      <x:c r="F51" s="17" t="str">
        <x:v>M3</x:v>
      </x:c>
      <x:c r="G51" s="17" t="str">
        <x:v>个人用户</x:v>
      </x:c>
      <x:c r="H51" s="17" t="str">
        <x:v>P0-087</x:v>
      </x:c>
      <x:c r="I51" s="17" t="str">
        <x:v>PUBLIC_OR_ON_DEMAND</x:v>
      </x:c>
      <x:c r="J51" s="17" t="str">
        <x:v>NEVER_RETURN</x:v>
      </x:c>
      <x:c r="K51" s="17" t="str">
        <x:v>consumer</x:v>
      </x:c>
      <x:c r="L51" s="17" t="str">
        <x:v>loading,empty,error,permission-denied,offline-or-timeout,success；交易页增加duplicate/unknown-result</x:v>
      </x:c>
      <x:c r="M51" s="17" t="str">
        <x:v>微信小程序真机</x:v>
      </x:c>
      <x:c r="N51" s="17" t="str">
        <x:v>REFERENCE_ASSET_ONLY</x:v>
      </x:c>
      <x:c r="O51" s="17" t="str">
        <x:v>NOT_EXECUTED</x:v>
      </x:c>
      <x:c r="P51" s="17" t="str">
        <x:v>TO_BE_CREATED</x:v>
      </x:c>
      <x:c r="Q51" s="17" t="str">
        <x:v>视觉基线不覆盖业务、权限和状态机</x:v>
      </x:c>
    </x:row>
    <x:row r="52" ht="23" customHeight="1">
      <x:c r="A52" s="17" t="str">
        <x:v>PAGE-051</x:v>
      </x:c>
      <x:c r="B52" s="17" t="str">
        <x:v>CONSUMER_MINIPROGRAM</x:v>
      </x:c>
      <x:c r="C52" s="17" t="str">
        <x:v>搜索</x:v>
      </x:c>
      <x:c r="D52" s="17" t="str">
        <x:v>/pages/search/index</x:v>
      </x:c>
      <x:c r="E52" s="17" t="str">
        <x:v>福礼社UI设计资产/美团式用户小程序方案/全部22页/03-搜索.png</x:v>
      </x:c>
      <x:c r="F52" s="17" t="str">
        <x:v>M3</x:v>
      </x:c>
      <x:c r="G52" s="17" t="str">
        <x:v>个人用户</x:v>
      </x:c>
      <x:c r="H52" s="17" t="str">
        <x:v>P0-087</x:v>
      </x:c>
      <x:c r="I52" s="17" t="str">
        <x:v>PUBLIC_OR_ON_DEMAND</x:v>
      </x:c>
      <x:c r="J52" s="17" t="str">
        <x:v>NEVER_RETURN</x:v>
      </x:c>
      <x:c r="K52" s="17" t="str">
        <x:v>consumer</x:v>
      </x:c>
      <x:c r="L52" s="17" t="str">
        <x:v>loading,empty,error,permission-denied,offline-or-timeout,success；交易页增加duplicate/unknown-result</x:v>
      </x:c>
      <x:c r="M52" s="17" t="str">
        <x:v>微信小程序真机</x:v>
      </x:c>
      <x:c r="N52" s="17" t="str">
        <x:v>REFERENCE_ASSET_ONLY</x:v>
      </x:c>
      <x:c r="O52" s="17" t="str">
        <x:v>NOT_EXECUTED</x:v>
      </x:c>
      <x:c r="P52" s="17" t="str">
        <x:v>TO_BE_CREATED</x:v>
      </x:c>
      <x:c r="Q52" s="17" t="str">
        <x:v>视觉基线不覆盖业务、权限和状态机</x:v>
      </x:c>
    </x:row>
    <x:row r="53" ht="23" customHeight="1">
      <x:c r="A53" s="17" t="str">
        <x:v>PAGE-052</x:v>
      </x:c>
      <x:c r="B53" s="17" t="str">
        <x:v>CONSUMER_MINIPROGRAM</x:v>
      </x:c>
      <x:c r="C53" s="17" t="str">
        <x:v>搜索结果</x:v>
      </x:c>
      <x:c r="D53" s="17" t="str">
        <x:v>/pages/search-results/index</x:v>
      </x:c>
      <x:c r="E53" s="17" t="str">
        <x:v>福礼社UI设计资产/美团式用户小程序方案/全部22页/04-搜索结果.png</x:v>
      </x:c>
      <x:c r="F53" s="17" t="str">
        <x:v>M3</x:v>
      </x:c>
      <x:c r="G53" s="17" t="str">
        <x:v>个人用户</x:v>
      </x:c>
      <x:c r="H53" s="17" t="str">
        <x:v>P0-087</x:v>
      </x:c>
      <x:c r="I53" s="17" t="str">
        <x:v>PUBLIC_OR_ON_DEMAND</x:v>
      </x:c>
      <x:c r="J53" s="17" t="str">
        <x:v>NEVER_RETURN</x:v>
      </x:c>
      <x:c r="K53" s="17" t="str">
        <x:v>consumer</x:v>
      </x:c>
      <x:c r="L53" s="17" t="str">
        <x:v>loading,empty,error,permission-denied,offline-or-timeout,success；交易页增加duplicate/unknown-result</x:v>
      </x:c>
      <x:c r="M53" s="17" t="str">
        <x:v>微信小程序真机</x:v>
      </x:c>
      <x:c r="N53" s="17" t="str">
        <x:v>REFERENCE_ASSET_ONLY</x:v>
      </x:c>
      <x:c r="O53" s="17" t="str">
        <x:v>NOT_EXECUTED</x:v>
      </x:c>
      <x:c r="P53" s="17" t="str">
        <x:v>TO_BE_CREATED</x:v>
      </x:c>
      <x:c r="Q53" s="17" t="str">
        <x:v>视觉基线不覆盖业务、权限和状态机</x:v>
      </x:c>
    </x:row>
    <x:row r="54" ht="23" customHeight="1">
      <x:c r="A54" s="17" t="str">
        <x:v>PAGE-053</x:v>
      </x:c>
      <x:c r="B54" s="17" t="str">
        <x:v>CONSUMER_MINIPROGRAM</x:v>
      </x:c>
      <x:c r="C54" s="17" t="str">
        <x:v>商品详情</x:v>
      </x:c>
      <x:c r="D54" s="17" t="str">
        <x:v>/pages/product-detail/index</x:v>
      </x:c>
      <x:c r="E54" s="17" t="str">
        <x:v>福礼社UI设计资产/美团式用户小程序方案/全部22页/05-商品详情.png</x:v>
      </x:c>
      <x:c r="F54" s="17" t="str">
        <x:v>M3</x:v>
      </x:c>
      <x:c r="G54" s="17" t="str">
        <x:v>个人用户</x:v>
      </x:c>
      <x:c r="H54" s="17" t="str">
        <x:v>P0-013,P0-014,P0-015,P0-016,P0-017,P0-021,P0-088</x:v>
      </x:c>
      <x:c r="I54" s="17" t="str">
        <x:v>PUBLIC_OR_ON_DEMAND</x:v>
      </x:c>
      <x:c r="J54" s="17" t="str">
        <x:v>NEVER_RETURN</x:v>
      </x:c>
      <x:c r="K54" s="17" t="str">
        <x:v>consumer</x:v>
      </x:c>
      <x:c r="L54" s="17" t="str">
        <x:v>loading,empty,error,permission-denied,offline-or-timeout,success；交易页增加duplicate/unknown-result</x:v>
      </x:c>
      <x:c r="M54" s="17" t="str">
        <x:v>微信小程序真机</x:v>
      </x:c>
      <x:c r="N54" s="17" t="str">
        <x:v>PARTIAL_IMPLEMENTED_M2_P017</x:v>
      </x:c>
      <x:c r="O54" s="17" t="str">
        <x:v>P0-013_CI_PASS;P0-014_CI_PASS;P0-015_CI_PASS;P0-016_CI_PASS;P0-017_LOCAL_PASS;P0-021_NOT_EXECUTED;P0-088_NOT_EXECUTED</x:v>
      </x:c>
      <x:c r="P54" s="17" t="str">
        <x:v>apps/user-miniapp/test/product-detail-build.test.mjs|tests/e2e/p0/p0-013-food-detail.spec.ts|tests/e2e/p0/p0-014-fresh-detail.spec.ts|tests/e2e/p0/p0-015-apparel-detail.spec.ts|tests/e2e/p0/p0-016-digital-detail.spec.ts|tests/e2e/p0/p0-017-gift-box-detail.spec.ts</x:v>
      </x:c>
      <x:c r="Q54" s="17" t="str">
        <x:v>P013食品、P014生鲜、P015服饰、P016数码已有CI证据；P017礼盒结构化组合清单、数量、规格、有效期下限和miniapp-kit请求契约已有LOCAL_PASS；完整商品详情P0-021/P0-088、真机与交易能力仍未执行。</x:v>
      </x:c>
    </x:row>
    <x:row r="55" ht="23" customHeight="1">
      <x:c r="A55" s="17" t="str">
        <x:v>PAGE-054</x:v>
      </x:c>
      <x:c r="B55" s="17" t="str">
        <x:v>CONSUMER_MINIPROGRAM</x:v>
      </x:c>
      <x:c r="C55" s="17" t="str">
        <x:v>看他还卖什么</x:v>
      </x:c>
      <x:c r="D55" s="17" t="str">
        <x:v>/pages/supplier-products/index</x:v>
      </x:c>
      <x:c r="E55" s="17" t="str">
        <x:v>福礼社UI设计资产/美团式用户小程序方案/全部22页/06-看他还卖什么.png</x:v>
      </x:c>
      <x:c r="F55" s="17" t="str">
        <x:v>M3</x:v>
      </x:c>
      <x:c r="G55" s="17" t="str">
        <x:v>个人用户</x:v>
      </x:c>
      <x:c r="H55" s="17" t="str">
        <x:v>P0-010,P0-089</x:v>
      </x:c>
      <x:c r="I55" s="17" t="str">
        <x:v>PUBLIC_OR_ON_DEMAND</x:v>
      </x:c>
      <x:c r="J55" s="17" t="str">
        <x:v>NEVER_RETURN</x:v>
      </x:c>
      <x:c r="K55" s="17" t="str">
        <x:v>consumer</x:v>
      </x:c>
      <x:c r="L55" s="17" t="str">
        <x:v>loading,empty,error,permission-denied,offline-or-timeout,success；交易页增加duplicate/unknown-result</x:v>
      </x:c>
      <x:c r="M55" s="17" t="str">
        <x:v>微信小程序真机</x:v>
      </x:c>
      <x:c r="N55" s="17" t="str">
        <x:v>IMPLEMENTED</x:v>
      </x:c>
      <x:c r="O55" s="17" t="str">
        <x:v>P0-010_LOCAL_PASS;P0-089_NOT_EXECUTED;DEVICE_NOT_EXECUTED</x:v>
      </x:c>
      <x:c r="P55" s="17" t="str">
        <x:v>apps/user-miniapp/test/supplier-products-build.test.mjs|tests/e2e/p0/p0-010-more-from-supplier.spec.ts</x:v>
      </x:c>
      <x:c r="Q55" s="17" t="str">
        <x:v>本切片完成P0-010同源在售商品列表及loading/empty/error/offline-or-timeout/success行为；使用miniapp-kit与生成契约类型。P0-089完整页面验收、微信真机和生产HTTPS request合法域名仍未执行。</x:v>
      </x:c>
    </x:row>
    <x:row r="56" ht="23" customHeight="1">
      <x:c r="A56" s="17" t="str">
        <x:v>PAGE-055</x:v>
      </x:c>
      <x:c r="B56" s="17" t="str">
        <x:v>CONSUMER_MINIPROGRAM</x:v>
      </x:c>
      <x:c r="C56" s="17" t="str">
        <x:v>购物车</x:v>
      </x:c>
      <x:c r="D56" s="17" t="str">
        <x:v>/pages/cart/index</x:v>
      </x:c>
      <x:c r="E56" s="17" t="str">
        <x:v>福礼社UI设计资产/美团式用户小程序方案/全部22页/07-购物车.png</x:v>
      </x:c>
      <x:c r="F56" s="17" t="str">
        <x:v>M3</x:v>
      </x:c>
      <x:c r="G56" s="17" t="str">
        <x:v>个人用户</x:v>
      </x:c>
      <x:c r="H56" s="17" t="str">
        <x:v>P0-022,P0-090</x:v>
      </x:c>
      <x:c r="I56" s="17" t="str">
        <x:v>PUBLIC_OR_ON_DEMAND</x:v>
      </x:c>
      <x:c r="J56" s="17" t="str">
        <x:v>NEVER_RETURN</x:v>
      </x:c>
      <x:c r="K56" s="17" t="str">
        <x:v>consumer</x:v>
      </x:c>
      <x:c r="L56" s="17" t="str">
        <x:v>loading,empty,error,permission-denied,offline-or-timeout,success；交易页增加duplicate/unknown-result</x:v>
      </x:c>
      <x:c r="M56" s="17" t="str">
        <x:v>微信小程序真机</x:v>
      </x:c>
      <x:c r="N56" s="17" t="str">
        <x:v>REFERENCE_ASSET_ONLY</x:v>
      </x:c>
      <x:c r="O56" s="17" t="str">
        <x:v>NOT_EXECUTED</x:v>
      </x:c>
      <x:c r="P56" s="17" t="str">
        <x:v>TO_BE_CREATED</x:v>
      </x:c>
      <x:c r="Q56" s="17" t="str">
        <x:v>视觉基线不覆盖业务、权限和状态机</x:v>
      </x:c>
    </x:row>
    <x:row r="57" ht="23" customHeight="1">
      <x:c r="A57" s="17" t="str">
        <x:v>PAGE-056</x:v>
      </x:c>
      <x:c r="B57" s="17" t="str">
        <x:v>CONSUMER_MINIPROGRAM</x:v>
      </x:c>
      <x:c r="C57" s="17" t="str">
        <x:v>确认订单</x:v>
      </x:c>
      <x:c r="D57" s="17" t="str">
        <x:v>/pages/checkout/index</x:v>
      </x:c>
      <x:c r="E57" s="17" t="str">
        <x:v>福礼社UI设计资产/美团式用户小程序方案/全部22页/08-确认订单.png</x:v>
      </x:c>
      <x:c r="F57" s="17" t="str">
        <x:v>M3</x:v>
      </x:c>
      <x:c r="G57" s="17" t="str">
        <x:v>个人用户</x:v>
      </x:c>
      <x:c r="H57" s="17" t="str">
        <x:v>P0-091,P0-092</x:v>
      </x:c>
      <x:c r="I57" s="17" t="str">
        <x:v>PUBLIC_OR_ON_DEMAND</x:v>
      </x:c>
      <x:c r="J57" s="17" t="str">
        <x:v>NEVER_RETURN</x:v>
      </x:c>
      <x:c r="K57" s="17" t="str">
        <x:v>consumer</x:v>
      </x:c>
      <x:c r="L57" s="17" t="str">
        <x:v>loading,empty,error,permission-denied,offline-or-timeout,success；交易页增加duplicate/unknown-result</x:v>
      </x:c>
      <x:c r="M57" s="17" t="str">
        <x:v>微信小程序真机</x:v>
      </x:c>
      <x:c r="N57" s="17" t="str">
        <x:v>REFERENCE_ASSET_ONLY</x:v>
      </x:c>
      <x:c r="O57" s="17" t="str">
        <x:v>NOT_EXECUTED</x:v>
      </x:c>
      <x:c r="P57" s="17" t="str">
        <x:v>TO_BE_CREATED</x:v>
      </x:c>
      <x:c r="Q57" s="17" t="str">
        <x:v>视觉基线不覆盖业务、权限和状态机</x:v>
      </x:c>
    </x:row>
    <x:row r="58" ht="23" customHeight="1">
      <x:c r="A58" s="17" t="str">
        <x:v>PAGE-057</x:v>
      </x:c>
      <x:c r="B58" s="17" t="str">
        <x:v>CONSUMER_MINIPROGRAM</x:v>
      </x:c>
      <x:c r="C58" s="17" t="str">
        <x:v>支付结果</x:v>
      </x:c>
      <x:c r="D58" s="17" t="str">
        <x:v>/pages/payment-result/index</x:v>
      </x:c>
      <x:c r="E58" s="17" t="str">
        <x:v>福礼社UI设计资产/美团式用户小程序方案/全部22页/09-支付结果.png</x:v>
      </x:c>
      <x:c r="F58" s="17" t="str">
        <x:v>M3</x:v>
      </x:c>
      <x:c r="G58" s="17" t="str">
        <x:v>个人用户</x:v>
      </x:c>
      <x:c r="H58" s="17" t="str">
        <x:v>P0-093</x:v>
      </x:c>
      <x:c r="I58" s="17" t="str">
        <x:v>PUBLIC_OR_ON_DEMAND</x:v>
      </x:c>
      <x:c r="J58" s="17" t="str">
        <x:v>NEVER_RETURN</x:v>
      </x:c>
      <x:c r="K58" s="17" t="str">
        <x:v>consumer</x:v>
      </x:c>
      <x:c r="L58" s="17" t="str">
        <x:v>loading,empty,error,permission-denied,offline-or-timeout,success；交易页增加duplicate/unknown-result</x:v>
      </x:c>
      <x:c r="M58" s="17" t="str">
        <x:v>微信小程序真机</x:v>
      </x:c>
      <x:c r="N58" s="17" t="str">
        <x:v>REFERENCE_ASSET_ONLY</x:v>
      </x:c>
      <x:c r="O58" s="17" t="str">
        <x:v>NOT_EXECUTED</x:v>
      </x:c>
      <x:c r="P58" s="17" t="str">
        <x:v>TO_BE_CREATED</x:v>
      </x:c>
      <x:c r="Q58" s="17" t="str">
        <x:v>视觉基线不覆盖业务、权限和状态机</x:v>
      </x:c>
    </x:row>
    <x:row r="59" ht="23" customHeight="1">
      <x:c r="A59" s="17" t="str">
        <x:v>PAGE-058</x:v>
      </x:c>
      <x:c r="B59" s="17" t="str">
        <x:v>CONSUMER_MINIPROGRAM</x:v>
      </x:c>
      <x:c r="C59" s="17" t="str">
        <x:v>订单列表</x:v>
      </x:c>
      <x:c r="D59" s="17" t="str">
        <x:v>/pages/orders/index</x:v>
      </x:c>
      <x:c r="E59" s="17" t="str">
        <x:v>福礼社UI设计资产/美团式用户小程序方案/全部22页/10-订单列表.png</x:v>
      </x:c>
      <x:c r="F59" s="17" t="str">
        <x:v>M3</x:v>
      </x:c>
      <x:c r="G59" s="17" t="str">
        <x:v>个人用户</x:v>
      </x:c>
      <x:c r="H59" s="17" t="str">
        <x:v>P0-094</x:v>
      </x:c>
      <x:c r="I59" s="17" t="str">
        <x:v>PUBLIC_OR_ON_DEMAND</x:v>
      </x:c>
      <x:c r="J59" s="17" t="str">
        <x:v>NEVER_RETURN</x:v>
      </x:c>
      <x:c r="K59" s="17" t="str">
        <x:v>consumer</x:v>
      </x:c>
      <x:c r="L59" s="17" t="str">
        <x:v>loading,empty,error,permission-denied,offline-or-timeout,success；交易页增加duplicate/unknown-result</x:v>
      </x:c>
      <x:c r="M59" s="17" t="str">
        <x:v>微信小程序真机</x:v>
      </x:c>
      <x:c r="N59" s="17" t="str">
        <x:v>REFERENCE_ASSET_ONLY</x:v>
      </x:c>
      <x:c r="O59" s="17" t="str">
        <x:v>NOT_EXECUTED</x:v>
      </x:c>
      <x:c r="P59" s="17" t="str">
        <x:v>TO_BE_CREATED</x:v>
      </x:c>
      <x:c r="Q59" s="17" t="str">
        <x:v>视觉基线不覆盖业务、权限和状态机</x:v>
      </x:c>
    </x:row>
    <x:row r="60" ht="23" customHeight="1">
      <x:c r="A60" s="17" t="str">
        <x:v>PAGE-059</x:v>
      </x:c>
      <x:c r="B60" s="17" t="str">
        <x:v>CONSUMER_MINIPROGRAM</x:v>
      </x:c>
      <x:c r="C60" s="17" t="str">
        <x:v>订单详情</x:v>
      </x:c>
      <x:c r="D60" s="17" t="str">
        <x:v>/pages/order-detail/index</x:v>
      </x:c>
      <x:c r="E60" s="17" t="str">
        <x:v>福礼社UI设计资产/美团式用户小程序方案/全部22页/11-订单详情.png</x:v>
      </x:c>
      <x:c r="F60" s="17" t="str">
        <x:v>M3</x:v>
      </x:c>
      <x:c r="G60" s="17" t="str">
        <x:v>个人用户</x:v>
      </x:c>
      <x:c r="H60" s="17" t="str">
        <x:v>P0-094,P0-095</x:v>
      </x:c>
      <x:c r="I60" s="17" t="str">
        <x:v>PUBLIC_OR_ON_DEMAND</x:v>
      </x:c>
      <x:c r="J60" s="17" t="str">
        <x:v>NEVER_RETURN</x:v>
      </x:c>
      <x:c r="K60" s="17" t="str">
        <x:v>consumer</x:v>
      </x:c>
      <x:c r="L60" s="17" t="str">
        <x:v>loading,empty,error,permission-denied,offline-or-timeout,success；交易页增加duplicate/unknown-result</x:v>
      </x:c>
      <x:c r="M60" s="17" t="str">
        <x:v>微信小程序真机</x:v>
      </x:c>
      <x:c r="N60" s="17" t="str">
        <x:v>REFERENCE_ASSET_ONLY</x:v>
      </x:c>
      <x:c r="O60" s="17" t="str">
        <x:v>NOT_EXECUTED</x:v>
      </x:c>
      <x:c r="P60" s="17" t="str">
        <x:v>TO_BE_CREATED</x:v>
      </x:c>
      <x:c r="Q60" s="17" t="str">
        <x:v>视觉基线不覆盖业务、权限和状态机</x:v>
      </x:c>
    </x:row>
    <x:row r="61" ht="23" customHeight="1">
      <x:c r="A61" s="17" t="str">
        <x:v>PAGE-060</x:v>
      </x:c>
      <x:c r="B61" s="17" t="str">
        <x:v>CONSUMER_MINIPROGRAM</x:v>
      </x:c>
      <x:c r="C61" s="17" t="str">
        <x:v>售后申请</x:v>
      </x:c>
      <x:c r="D61" s="17" t="str">
        <x:v>/pages/aftersale-apply/index</x:v>
      </x:c>
      <x:c r="E61" s="17" t="str">
        <x:v>福礼社UI设计资产/美团式用户小程序方案/全部22页/12-售后申请.png</x:v>
      </x:c>
      <x:c r="F61" s="17" t="str">
        <x:v>M3</x:v>
      </x:c>
      <x:c r="G61" s="17" t="str">
        <x:v>个人用户</x:v>
      </x:c>
      <x:c r="H61" s="17" t="str">
        <x:v>P0-096</x:v>
      </x:c>
      <x:c r="I61" s="17" t="str">
        <x:v>PUBLIC_OR_ON_DEMAND</x:v>
      </x:c>
      <x:c r="J61" s="17" t="str">
        <x:v>NEVER_RETURN</x:v>
      </x:c>
      <x:c r="K61" s="17" t="str">
        <x:v>consumer</x:v>
      </x:c>
      <x:c r="L61" s="17" t="str">
        <x:v>loading,empty,error,permission-denied,offline-or-timeout,success；交易页增加duplicate/unknown-result</x:v>
      </x:c>
      <x:c r="M61" s="17" t="str">
        <x:v>微信小程序真机</x:v>
      </x:c>
      <x:c r="N61" s="17" t="str">
        <x:v>REFERENCE_ASSET_ONLY</x:v>
      </x:c>
      <x:c r="O61" s="17" t="str">
        <x:v>NOT_EXECUTED</x:v>
      </x:c>
      <x:c r="P61" s="17" t="str">
        <x:v>TO_BE_CREATED</x:v>
      </x:c>
      <x:c r="Q61" s="17" t="str">
        <x:v>视觉基线不覆盖业务、权限和状态机</x:v>
      </x:c>
    </x:row>
    <x:row r="62" ht="23" customHeight="1">
      <x:c r="A62" s="17" t="str">
        <x:v>PAGE-061</x:v>
      </x:c>
      <x:c r="B62" s="17" t="str">
        <x:v>CONSUMER_MINIPROGRAM</x:v>
      </x:c>
      <x:c r="C62" s="17" t="str">
        <x:v>售后详情</x:v>
      </x:c>
      <x:c r="D62" s="17" t="str">
        <x:v>/pages/aftersale-detail/index</x:v>
      </x:c>
      <x:c r="E62" s="17" t="str">
        <x:v>福礼社UI设计资产/美团式用户小程序方案/全部22页/13-售后详情.png</x:v>
      </x:c>
      <x:c r="F62" s="17" t="str">
        <x:v>M3</x:v>
      </x:c>
      <x:c r="G62" s="17" t="str">
        <x:v>个人用户</x:v>
      </x:c>
      <x:c r="H62" s="17" t="str">
        <x:v>P0-096</x:v>
      </x:c>
      <x:c r="I62" s="17" t="str">
        <x:v>PUBLIC_OR_ON_DEMAND</x:v>
      </x:c>
      <x:c r="J62" s="17" t="str">
        <x:v>NEVER_RETURN</x:v>
      </x:c>
      <x:c r="K62" s="17" t="str">
        <x:v>consumer</x:v>
      </x:c>
      <x:c r="L62" s="17" t="str">
        <x:v>loading,empty,error,permission-denied,offline-or-timeout,success；交易页增加duplicate/unknown-result</x:v>
      </x:c>
      <x:c r="M62" s="17" t="str">
        <x:v>微信小程序真机</x:v>
      </x:c>
      <x:c r="N62" s="17" t="str">
        <x:v>REFERENCE_ASSET_ONLY</x:v>
      </x:c>
      <x:c r="O62" s="17" t="str">
        <x:v>NOT_EXECUTED</x:v>
      </x:c>
      <x:c r="P62" s="17" t="str">
        <x:v>TO_BE_CREATED</x:v>
      </x:c>
      <x:c r="Q62" s="17" t="str">
        <x:v>视觉基线不覆盖业务、权限和状态机</x:v>
      </x:c>
    </x:row>
    <x:row r="63" ht="23" customHeight="1">
      <x:c r="A63" s="17" t="str">
        <x:v>PAGE-062</x:v>
      </x:c>
      <x:c r="B63" s="17" t="str">
        <x:v>CONSUMER_MINIPROGRAM</x:v>
      </x:c>
      <x:c r="C63" s="17" t="str">
        <x:v>福利卡首页</x:v>
      </x:c>
      <x:c r="D63" s="17" t="str">
        <x:v>/pages/welfare-card/index</x:v>
      </x:c>
      <x:c r="E63" s="17" t="str">
        <x:v>福礼社UI设计资产/美团式用户小程序方案/全部22页/14-福利卡首页.png</x:v>
      </x:c>
      <x:c r="F63" s="17" t="str">
        <x:v>M3</x:v>
      </x:c>
      <x:c r="G63" s="17" t="str">
        <x:v>个人用户</x:v>
      </x:c>
      <x:c r="H63" s="17" t="str">
        <x:v>P0-052,P0-053,P0-097</x:v>
      </x:c>
      <x:c r="I63" s="17" t="str">
        <x:v>PUBLIC_OR_ON_DEMAND</x:v>
      </x:c>
      <x:c r="J63" s="17" t="str">
        <x:v>NEVER_RETURN</x:v>
      </x:c>
      <x:c r="K63" s="17" t="str">
        <x:v>consumer</x:v>
      </x:c>
      <x:c r="L63" s="17" t="str">
        <x:v>loading,empty,error,permission-denied,offline-or-timeout,success；交易页增加duplicate/unknown-result</x:v>
      </x:c>
      <x:c r="M63" s="17" t="str">
        <x:v>微信小程序真机</x:v>
      </x:c>
      <x:c r="N63" s="17" t="str">
        <x:v>REFERENCE_ASSET_ONLY</x:v>
      </x:c>
      <x:c r="O63" s="17" t="str">
        <x:v>NOT_EXECUTED</x:v>
      </x:c>
      <x:c r="P63" s="17" t="str">
        <x:v>TO_BE_CREATED</x:v>
      </x:c>
      <x:c r="Q63" s="17" t="str">
        <x:v>视觉基线不覆盖业务、权限和状态机</x:v>
      </x:c>
    </x:row>
    <x:row r="64" ht="23" customHeight="1">
      <x:c r="A64" s="17" t="str">
        <x:v>PAGE-063</x:v>
      </x:c>
      <x:c r="B64" s="17" t="str">
        <x:v>CONSUMER_MINIPROGRAM</x:v>
      </x:c>
      <x:c r="C64" s="17" t="str">
        <x:v>福利卡详情</x:v>
      </x:c>
      <x:c r="D64" s="17" t="str">
        <x:v>/pages/welfare-card-detail/index</x:v>
      </x:c>
      <x:c r="E64" s="17" t="str">
        <x:v>福礼社UI设计资产/美团式用户小程序方案/全部22页/15-福利卡详情.png</x:v>
      </x:c>
      <x:c r="F64" s="17" t="str">
        <x:v>M3</x:v>
      </x:c>
      <x:c r="G64" s="17" t="str">
        <x:v>个人用户</x:v>
      </x:c>
      <x:c r="H64" s="17" t="str">
        <x:v>P0-053,P0-059,P0-097</x:v>
      </x:c>
      <x:c r="I64" s="17" t="str">
        <x:v>PUBLIC_OR_ON_DEMAND</x:v>
      </x:c>
      <x:c r="J64" s="17" t="str">
        <x:v>NEVER_RETURN</x:v>
      </x:c>
      <x:c r="K64" s="17" t="str">
        <x:v>consumer</x:v>
      </x:c>
      <x:c r="L64" s="17" t="str">
        <x:v>loading,empty,error,permission-denied,offline-or-timeout,success；交易页增加duplicate/unknown-result</x:v>
      </x:c>
      <x:c r="M64" s="17" t="str">
        <x:v>微信小程序真机</x:v>
      </x:c>
      <x:c r="N64" s="17" t="str">
        <x:v>REFERENCE_ASSET_ONLY</x:v>
      </x:c>
      <x:c r="O64" s="17" t="str">
        <x:v>NOT_EXECUTED</x:v>
      </x:c>
      <x:c r="P64" s="17" t="str">
        <x:v>TO_BE_CREATED</x:v>
      </x:c>
      <x:c r="Q64" s="17" t="str">
        <x:v>视觉基线不覆盖业务、权限和状态机</x:v>
      </x:c>
    </x:row>
    <x:row r="65" ht="23" customHeight="1">
      <x:c r="A65" s="17" t="str">
        <x:v>PAGE-064</x:v>
      </x:c>
      <x:c r="B65" s="17" t="str">
        <x:v>CONSUMER_MINIPROGRAM</x:v>
      </x:c>
      <x:c r="C65" s="17" t="str">
        <x:v>福利卡绑定</x:v>
      </x:c>
      <x:c r="D65" s="17" t="str">
        <x:v>/pages/welfare-card-bind/index</x:v>
      </x:c>
      <x:c r="E65" s="17" t="str">
        <x:v>福礼社UI设计资产/美团式用户小程序方案/全部22页/16-福利卡绑定.png</x:v>
      </x:c>
      <x:c r="F65" s="17" t="str">
        <x:v>M3</x:v>
      </x:c>
      <x:c r="G65" s="17" t="str">
        <x:v>个人用户</x:v>
      </x:c>
      <x:c r="H65" s="17" t="str">
        <x:v>P0-052,P0-097</x:v>
      </x:c>
      <x:c r="I65" s="17" t="str">
        <x:v>PUBLIC_OR_ON_DEMAND</x:v>
      </x:c>
      <x:c r="J65" s="17" t="str">
        <x:v>NEVER_RETURN</x:v>
      </x:c>
      <x:c r="K65" s="17" t="str">
        <x:v>consumer</x:v>
      </x:c>
      <x:c r="L65" s="17" t="str">
        <x:v>loading,empty,error,permission-denied,offline-or-timeout,success；交易页增加duplicate/unknown-result</x:v>
      </x:c>
      <x:c r="M65" s="17" t="str">
        <x:v>微信小程序真机</x:v>
      </x:c>
      <x:c r="N65" s="17" t="str">
        <x:v>REFERENCE_ASSET_ONLY</x:v>
      </x:c>
      <x:c r="O65" s="17" t="str">
        <x:v>NOT_EXECUTED</x:v>
      </x:c>
      <x:c r="P65" s="17" t="str">
        <x:v>TO_BE_CREATED</x:v>
      </x:c>
      <x:c r="Q65" s="17" t="str">
        <x:v>视觉基线不覆盖业务、权限和状态机</x:v>
      </x:c>
    </x:row>
    <x:row r="66" ht="23" customHeight="1">
      <x:c r="A66" s="17" t="str">
        <x:v>PAGE-065</x:v>
      </x:c>
      <x:c r="B66" s="17" t="str">
        <x:v>CONSUMER_MINIPROGRAM</x:v>
      </x:c>
      <x:c r="C66" s="17" t="str">
        <x:v>个人中心</x:v>
      </x:c>
      <x:c r="D66" s="17" t="str">
        <x:v>/pages/profile/index</x:v>
      </x:c>
      <x:c r="E66" s="17" t="str">
        <x:v>福礼社UI设计资产/美团式用户小程序方案/全部22页/17-个人中心.png</x:v>
      </x:c>
      <x:c r="F66" s="17" t="str">
        <x:v>M3</x:v>
      </x:c>
      <x:c r="G66" s="17" t="str">
        <x:v>个人用户</x:v>
      </x:c>
      <x:c r="H66" s="17" t="str">
        <x:v>P0-085,P0-097</x:v>
      </x:c>
      <x:c r="I66" s="17" t="str">
        <x:v>PUBLIC_OR_ON_DEMAND</x:v>
      </x:c>
      <x:c r="J66" s="17" t="str">
        <x:v>NEVER_RETURN</x:v>
      </x:c>
      <x:c r="K66" s="17" t="str">
        <x:v>consumer</x:v>
      </x:c>
      <x:c r="L66" s="17" t="str">
        <x:v>loading,empty,error,permission-denied,offline-or-timeout,success；交易页增加duplicate/unknown-result</x:v>
      </x:c>
      <x:c r="M66" s="17" t="str">
        <x:v>微信小程序真机</x:v>
      </x:c>
      <x:c r="N66" s="17" t="str">
        <x:v>REFERENCE_ASSET_ONLY</x:v>
      </x:c>
      <x:c r="O66" s="17" t="str">
        <x:v>NOT_EXECUTED</x:v>
      </x:c>
      <x:c r="P66" s="17" t="str">
        <x:v>TO_BE_CREATED</x:v>
      </x:c>
      <x:c r="Q66" s="17" t="str">
        <x:v>视觉基线不覆盖业务、权限和状态机</x:v>
      </x:c>
    </x:row>
    <x:row r="67" ht="23" customHeight="1">
      <x:c r="A67" s="17" t="str">
        <x:v>PAGE-066</x:v>
      </x:c>
      <x:c r="B67" s="17" t="str">
        <x:v>CONSUMER_MINIPROGRAM</x:v>
      </x:c>
      <x:c r="C67" s="17" t="str">
        <x:v>地址管理</x:v>
      </x:c>
      <x:c r="D67" s="17" t="str">
        <x:v>/pages/addresses/index</x:v>
      </x:c>
      <x:c r="E67" s="17" t="str">
        <x:v>福礼社UI设计资产/美团式用户小程序方案/全部22页/18-地址管理.png</x:v>
      </x:c>
      <x:c r="F67" s="17" t="str">
        <x:v>M3</x:v>
      </x:c>
      <x:c r="G67" s="17" t="str">
        <x:v>个人用户</x:v>
      </x:c>
      <x:c r="H67" s="17" t="str">
        <x:v>P0-085</x:v>
      </x:c>
      <x:c r="I67" s="17" t="str">
        <x:v>PUBLIC_OR_ON_DEMAND</x:v>
      </x:c>
      <x:c r="J67" s="17" t="str">
        <x:v>NEVER_RETURN</x:v>
      </x:c>
      <x:c r="K67" s="17" t="str">
        <x:v>consumer</x:v>
      </x:c>
      <x:c r="L67" s="17" t="str">
        <x:v>loading,empty,error,permission-denied,offline-or-timeout,success；交易页增加duplicate/unknown-result</x:v>
      </x:c>
      <x:c r="M67" s="17" t="str">
        <x:v>微信小程序真机</x:v>
      </x:c>
      <x:c r="N67" s="17" t="str">
        <x:v>REFERENCE_ASSET_ONLY</x:v>
      </x:c>
      <x:c r="O67" s="17" t="str">
        <x:v>NOT_EXECUTED</x:v>
      </x:c>
      <x:c r="P67" s="17" t="str">
        <x:v>TO_BE_CREATED</x:v>
      </x:c>
      <x:c r="Q67" s="17" t="str">
        <x:v>视觉基线不覆盖业务、权限和状态机</x:v>
      </x:c>
    </x:row>
    <x:row r="68" ht="23" customHeight="1">
      <x:c r="A68" s="17" t="str">
        <x:v>PAGE-067</x:v>
      </x:c>
      <x:c r="B68" s="17" t="str">
        <x:v>CONSUMER_MINIPROGRAM</x:v>
      </x:c>
      <x:c r="C68" s="17" t="str">
        <x:v>发票资料</x:v>
      </x:c>
      <x:c r="D68" s="17" t="str">
        <x:v>/pages/invoices/index</x:v>
      </x:c>
      <x:c r="E68" s="17" t="str">
        <x:v>福礼社UI设计资产/美团式用户小程序方案/全部22页/19-发票资料.png</x:v>
      </x:c>
      <x:c r="F68" s="17" t="str">
        <x:v>M3</x:v>
      </x:c>
      <x:c r="G68" s="17" t="str">
        <x:v>个人用户</x:v>
      </x:c>
      <x:c r="H68" s="17" t="str">
        <x:v>P0-085</x:v>
      </x:c>
      <x:c r="I68" s="17" t="str">
        <x:v>PUBLIC_OR_ON_DEMAND</x:v>
      </x:c>
      <x:c r="J68" s="17" t="str">
        <x:v>NEVER_RETURN</x:v>
      </x:c>
      <x:c r="K68" s="17" t="str">
        <x:v>consumer</x:v>
      </x:c>
      <x:c r="L68" s="17" t="str">
        <x:v>loading,empty,error,permission-denied,offline-or-timeout,success；交易页增加duplicate/unknown-result</x:v>
      </x:c>
      <x:c r="M68" s="17" t="str">
        <x:v>微信小程序真机</x:v>
      </x:c>
      <x:c r="N68" s="17" t="str">
        <x:v>REFERENCE_ASSET_ONLY</x:v>
      </x:c>
      <x:c r="O68" s="17" t="str">
        <x:v>NOT_EXECUTED</x:v>
      </x:c>
      <x:c r="P68" s="17" t="str">
        <x:v>TO_BE_CREATED</x:v>
      </x:c>
      <x:c r="Q68" s="17" t="str">
        <x:v>视觉基线不覆盖业务、权限和状态机</x:v>
      </x:c>
    </x:row>
    <x:row r="69" ht="23" customHeight="1">
      <x:c r="A69" s="17" t="str">
        <x:v>PAGE-068</x:v>
      </x:c>
      <x:c r="B69" s="17" t="str">
        <x:v>CONSUMER_MINIPROGRAM</x:v>
      </x:c>
      <x:c r="C69" s="17" t="str">
        <x:v>消息中心</x:v>
      </x:c>
      <x:c r="D69" s="17" t="str">
        <x:v>/pages/messages/index</x:v>
      </x:c>
      <x:c r="E69" s="17" t="str">
        <x:v>福礼社UI设计资产/美团式用户小程序方案/全部22页/20-消息中心.png</x:v>
      </x:c>
      <x:c r="F69" s="17" t="str">
        <x:v>M3</x:v>
      </x:c>
      <x:c r="G69" s="17" t="str">
        <x:v>个人用户</x:v>
      </x:c>
      <x:c r="H69" s="17" t="str">
        <x:v>P0-094,P0-097</x:v>
      </x:c>
      <x:c r="I69" s="17" t="str">
        <x:v>PUBLIC_OR_ON_DEMAND</x:v>
      </x:c>
      <x:c r="J69" s="17" t="str">
        <x:v>NEVER_RETURN</x:v>
      </x:c>
      <x:c r="K69" s="17" t="str">
        <x:v>consumer</x:v>
      </x:c>
      <x:c r="L69" s="17" t="str">
        <x:v>loading,empty,error,permission-denied,offline-or-timeout,success；交易页增加duplicate/unknown-result</x:v>
      </x:c>
      <x:c r="M69" s="17" t="str">
        <x:v>微信小程序真机</x:v>
      </x:c>
      <x:c r="N69" s="17" t="str">
        <x:v>REFERENCE_ASSET_ONLY</x:v>
      </x:c>
      <x:c r="O69" s="17" t="str">
        <x:v>NOT_EXECUTED</x:v>
      </x:c>
      <x:c r="P69" s="17" t="str">
        <x:v>TO_BE_CREATED</x:v>
      </x:c>
      <x:c r="Q69" s="17" t="str">
        <x:v>视觉基线不覆盖业务、权限和状态机</x:v>
      </x:c>
    </x:row>
    <x:row r="70" ht="23" customHeight="1">
      <x:c r="A70" s="17" t="str">
        <x:v>PAGE-069</x:v>
      </x:c>
      <x:c r="B70" s="17" t="str">
        <x:v>CONSUMER_MINIPROGRAM</x:v>
      </x:c>
      <x:c r="C70" s="17" t="str">
        <x:v>客服中心</x:v>
      </x:c>
      <x:c r="D70" s="17" t="str">
        <x:v>/pages/customer-service/index</x:v>
      </x:c>
      <x:c r="E70" s="17" t="str">
        <x:v>福礼社UI设计资产/美团式用户小程序方案/全部22页/21-客服中心.png</x:v>
      </x:c>
      <x:c r="F70" s="17" t="str">
        <x:v>M3</x:v>
      </x:c>
      <x:c r="G70" s="17" t="str">
        <x:v>个人用户</x:v>
      </x:c>
      <x:c r="H70" s="17" t="str">
        <x:v>P0-096</x:v>
      </x:c>
      <x:c r="I70" s="17" t="str">
        <x:v>PUBLIC_OR_ON_DEMAND</x:v>
      </x:c>
      <x:c r="J70" s="17" t="str">
        <x:v>NEVER_RETURN</x:v>
      </x:c>
      <x:c r="K70" s="17" t="str">
        <x:v>consumer</x:v>
      </x:c>
      <x:c r="L70" s="17" t="str">
        <x:v>loading,empty,error,permission-denied,offline-or-timeout,success；交易页增加duplicate/unknown-result</x:v>
      </x:c>
      <x:c r="M70" s="17" t="str">
        <x:v>微信小程序真机</x:v>
      </x:c>
      <x:c r="N70" s="17" t="str">
        <x:v>REFERENCE_ASSET_ONLY</x:v>
      </x:c>
      <x:c r="O70" s="17" t="str">
        <x:v>NOT_EXECUTED</x:v>
      </x:c>
      <x:c r="P70" s="17" t="str">
        <x:v>TO_BE_CREATED</x:v>
      </x:c>
      <x:c r="Q70" s="17" t="str">
        <x:v>视觉基线不覆盖业务、权限和状态机</x:v>
      </x:c>
    </x:row>
    <x:row r="71" ht="23" customHeight="1">
      <x:c r="A71" s="17" t="str">
        <x:v>PAGE-070</x:v>
      </x:c>
      <x:c r="B71" s="17" t="str">
        <x:v>CONSUMER_MINIPROGRAM</x:v>
      </x:c>
      <x:c r="C71" s="17" t="str">
        <x:v>设置与安全</x:v>
      </x:c>
      <x:c r="D71" s="17" t="str">
        <x:v>/pages/settings/index</x:v>
      </x:c>
      <x:c r="E71" s="17" t="str">
        <x:v>福礼社UI设计资产/美团式用户小程序方案/全部22页/22-设置与安全.png</x:v>
      </x:c>
      <x:c r="F71" s="17" t="str">
        <x:v>M3</x:v>
      </x:c>
      <x:c r="G71" s="17" t="str">
        <x:v>个人用户</x:v>
      </x:c>
      <x:c r="H71" s="17" t="str">
        <x:v>P0-085,P0-098</x:v>
      </x:c>
      <x:c r="I71" s="17" t="str">
        <x:v>PUBLIC_OR_ON_DEMAND</x:v>
      </x:c>
      <x:c r="J71" s="17" t="str">
        <x:v>NEVER_RETURN</x:v>
      </x:c>
      <x:c r="K71" s="17" t="str">
        <x:v>consumer</x:v>
      </x:c>
      <x:c r="L71" s="17" t="str">
        <x:v>loading,empty,error,permission-denied,offline-or-timeout,success；交易页增加duplicate/unknown-result</x:v>
      </x:c>
      <x:c r="M71" s="17" t="str">
        <x:v>微信小程序真机</x:v>
      </x:c>
      <x:c r="N71" s="17" t="str">
        <x:v>REFERENCE_ASSET_ONLY</x:v>
      </x:c>
      <x:c r="O71" s="17" t="str">
        <x:v>NOT_EXECUTED</x:v>
      </x:c>
      <x:c r="P71" s="17" t="str">
        <x:v>TO_BE_CREATED</x:v>
      </x:c>
      <x:c r="Q71" s="17" t="str">
        <x:v>视觉基线不覆盖业务、权限和状态机</x:v>
      </x:c>
    </x:row>
    <x:row r="72" ht="23" customHeight="1">
      <x:c r="A72" s="17" t="str">
        <x:v>PAGE-071</x:v>
      </x:c>
      <x:c r="B72" s="17" t="str">
        <x:v>RUNNER_MINIPROGRAM</x:v>
      </x:c>
      <x:c r="C72" s="17" t="str">
        <x:v>登录</x:v>
      </x:c>
      <x:c r="D72" s="17" t="str">
        <x:v>/pages/login/index</x:v>
      </x:c>
      <x:c r="E72" s="17" t="str">
        <x:v>福礼社UI设计资产/蓝绿供应链暖红福利统一版/跑腿配送小程序/01-登录.png</x:v>
      </x:c>
      <x:c r="F72" s="17" t="str">
        <x:v>M4</x:v>
      </x:c>
      <x:c r="G72" s="17" t="str">
        <x:v>跑腿员</x:v>
      </x:c>
      <x:c r="H72" s="17" t="str">
        <x:v>P0-101</x:v>
      </x:c>
      <x:c r="I72" s="17" t="str">
        <x:v>REQUIRED_FIXED_FUNCTIONAL_SESSION</x:v>
      </x:c>
      <x:c r="J72" s="17" t="str">
        <x:v>NEVER_RETURN</x:v>
      </x:c>
      <x:c r="K72" s="17" t="str">
        <x:v>runner</x:v>
      </x:c>
      <x:c r="L72" s="17" t="str">
        <x:v>loading,empty,error,permission-denied,offline-or-timeout,success；交易页增加duplicate/unknown-result</x:v>
      </x:c>
      <x:c r="M72" s="17" t="str">
        <x:v>微信小程序真机</x:v>
      </x:c>
      <x:c r="N72" s="17" t="str">
        <x:v>REFERENCE_ASSET_ONLY</x:v>
      </x:c>
      <x:c r="O72" s="17" t="str">
        <x:v>NOT_EXECUTED</x:v>
      </x:c>
      <x:c r="P72" s="17" t="str">
        <x:v>TO_BE_CREATED</x:v>
      </x:c>
      <x:c r="Q72" s="17" t="str">
        <x:v>视觉基线不覆盖业务、权限和状态机</x:v>
      </x:c>
    </x:row>
    <x:row r="73" ht="23" customHeight="1">
      <x:c r="A73" s="17" t="str">
        <x:v>PAGE-072</x:v>
      </x:c>
      <x:c r="B73" s="17" t="str">
        <x:v>RUNNER_MINIPROGRAM</x:v>
      </x:c>
      <x:c r="C73" s="17" t="str">
        <x:v>注册申请</x:v>
      </x:c>
      <x:c r="D73" s="17" t="str">
        <x:v>/pages/register/index</x:v>
      </x:c>
      <x:c r="E73" s="17" t="str">
        <x:v>福礼社UI设计资产/蓝绿供应链暖红福利统一版/跑腿配送小程序/02-注册申请.png</x:v>
      </x:c>
      <x:c r="F73" s="17" t="str">
        <x:v>M4</x:v>
      </x:c>
      <x:c r="G73" s="17" t="str">
        <x:v>跑腿员</x:v>
      </x:c>
      <x:c r="H73" s="17" t="str">
        <x:v>P0-100,P0-101</x:v>
      </x:c>
      <x:c r="I73" s="17" t="str">
        <x:v>REQUIRED_FIXED_FUNCTIONAL_SESSION</x:v>
      </x:c>
      <x:c r="J73" s="17" t="str">
        <x:v>NEVER_RETURN</x:v>
      </x:c>
      <x:c r="K73" s="17" t="str">
        <x:v>runner</x:v>
      </x:c>
      <x:c r="L73" s="17" t="str">
        <x:v>loading,empty,error,permission-denied,offline-or-timeout,success；交易页增加duplicate/unknown-result</x:v>
      </x:c>
      <x:c r="M73" s="17" t="str">
        <x:v>微信小程序真机</x:v>
      </x:c>
      <x:c r="N73" s="17" t="str">
        <x:v>REFERENCE_ASSET_ONLY</x:v>
      </x:c>
      <x:c r="O73" s="17" t="str">
        <x:v>NOT_EXECUTED</x:v>
      </x:c>
      <x:c r="P73" s="17" t="str">
        <x:v>TO_BE_CREATED</x:v>
      </x:c>
      <x:c r="Q73" s="17" t="str">
        <x:v>视觉基线不覆盖业务、权限和状态机</x:v>
      </x:c>
    </x:row>
    <x:row r="74" ht="23" customHeight="1">
      <x:c r="A74" s="17" t="str">
        <x:v>PAGE-073</x:v>
      </x:c>
      <x:c r="B74" s="17" t="str">
        <x:v>RUNNER_MINIPROGRAM</x:v>
      </x:c>
      <x:c r="C74" s="17" t="str">
        <x:v>审核进度</x:v>
      </x:c>
      <x:c r="D74" s="17" t="str">
        <x:v>/pages/review-progress/index</x:v>
      </x:c>
      <x:c r="E74" s="17" t="str">
        <x:v>福礼社UI设计资产/蓝绿供应链暖红福利统一版/跑腿配送小程序/03-审核进度.png</x:v>
      </x:c>
      <x:c r="F74" s="17" t="str">
        <x:v>M4</x:v>
      </x:c>
      <x:c r="G74" s="17" t="str">
        <x:v>跑腿员</x:v>
      </x:c>
      <x:c r="H74" s="17" t="str">
        <x:v>P0-100,P0-101</x:v>
      </x:c>
      <x:c r="I74" s="17" t="str">
        <x:v>REQUIRED_FIXED_FUNCTIONAL_SESSION</x:v>
      </x:c>
      <x:c r="J74" s="17" t="str">
        <x:v>NEVER_RETURN</x:v>
      </x:c>
      <x:c r="K74" s="17" t="str">
        <x:v>runner</x:v>
      </x:c>
      <x:c r="L74" s="17" t="str">
        <x:v>loading,empty,error,permission-denied,offline-or-timeout,success；交易页增加duplicate/unknown-result</x:v>
      </x:c>
      <x:c r="M74" s="17" t="str">
        <x:v>微信小程序真机</x:v>
      </x:c>
      <x:c r="N74" s="17" t="str">
        <x:v>REFERENCE_ASSET_ONLY</x:v>
      </x:c>
      <x:c r="O74" s="17" t="str">
        <x:v>NOT_EXECUTED</x:v>
      </x:c>
      <x:c r="P74" s="17" t="str">
        <x:v>TO_BE_CREATED</x:v>
      </x:c>
      <x:c r="Q74" s="17" t="str">
        <x:v>视觉基线不覆盖业务、权限和状态机</x:v>
      </x:c>
    </x:row>
    <x:row r="75" ht="23" customHeight="1">
      <x:c r="A75" s="17" t="str">
        <x:v>PAGE-074</x:v>
      </x:c>
      <x:c r="B75" s="17" t="str">
        <x:v>RUNNER_MINIPROGRAM</x:v>
      </x:c>
      <x:c r="C75" s="17" t="str">
        <x:v>配送首页</x:v>
      </x:c>
      <x:c r="D75" s="17" t="str">
        <x:v>/pages/home/index</x:v>
      </x:c>
      <x:c r="E75" s="17" t="str">
        <x:v>福礼社UI设计资产/蓝绿供应链暖红福利统一版/跑腿配送小程序/04-配送首页.png</x:v>
      </x:c>
      <x:c r="F75" s="17" t="str">
        <x:v>M4</x:v>
      </x:c>
      <x:c r="G75" s="17" t="str">
        <x:v>跑腿员</x:v>
      </x:c>
      <x:c r="H75" s="17" t="str">
        <x:v>P0-101,P0-112</x:v>
      </x:c>
      <x:c r="I75" s="17" t="str">
        <x:v>REQUIRED_FIXED_FUNCTIONAL_SESSION</x:v>
      </x:c>
      <x:c r="J75" s="17" t="str">
        <x:v>NEVER_RETURN</x:v>
      </x:c>
      <x:c r="K75" s="17" t="str">
        <x:v>runner</x:v>
      </x:c>
      <x:c r="L75" s="17" t="str">
        <x:v>loading,empty,error,permission-denied,offline-or-timeout,success；交易页增加duplicate/unknown-result</x:v>
      </x:c>
      <x:c r="M75" s="17" t="str">
        <x:v>微信小程序真机</x:v>
      </x:c>
      <x:c r="N75" s="17" t="str">
        <x:v>REFERENCE_ASSET_ONLY</x:v>
      </x:c>
      <x:c r="O75" s="17" t="str">
        <x:v>NOT_EXECUTED</x:v>
      </x:c>
      <x:c r="P75" s="17" t="str">
        <x:v>TO_BE_CREATED</x:v>
      </x:c>
      <x:c r="Q75" s="17" t="str">
        <x:v>视觉基线不覆盖业务、权限和状态机</x:v>
      </x:c>
    </x:row>
    <x:row r="76" ht="23" customHeight="1">
      <x:c r="A76" s="17" t="str">
        <x:v>PAGE-075</x:v>
      </x:c>
      <x:c r="B76" s="17" t="str">
        <x:v>RUNNER_MINIPROGRAM</x:v>
      </x:c>
      <x:c r="C76" s="17" t="str">
        <x:v>抢单大厅</x:v>
      </x:c>
      <x:c r="D76" s="17" t="str">
        <x:v>/pages/task-hall/index</x:v>
      </x:c>
      <x:c r="E76" s="17" t="str">
        <x:v>福礼社UI设计资产/蓝绿供应链暖红福利统一版/跑腿配送小程序/05-抢单大厅.png</x:v>
      </x:c>
      <x:c r="F76" s="17" t="str">
        <x:v>M4</x:v>
      </x:c>
      <x:c r="G76" s="17" t="str">
        <x:v>跑腿员</x:v>
      </x:c>
      <x:c r="H76" s="17" t="str">
        <x:v>P0-103,P0-104,P0-105</x:v>
      </x:c>
      <x:c r="I76" s="17" t="str">
        <x:v>REQUIRED_FIXED_FUNCTIONAL_SESSION</x:v>
      </x:c>
      <x:c r="J76" s="17" t="str">
        <x:v>NEVER_RETURN</x:v>
      </x:c>
      <x:c r="K76" s="17" t="str">
        <x:v>runner</x:v>
      </x:c>
      <x:c r="L76" s="17" t="str">
        <x:v>loading,empty,error,permission-denied,offline-or-timeout,success；交易页增加duplicate/unknown-result</x:v>
      </x:c>
      <x:c r="M76" s="17" t="str">
        <x:v>微信小程序真机</x:v>
      </x:c>
      <x:c r="N76" s="17" t="str">
        <x:v>REFERENCE_ASSET_ONLY</x:v>
      </x:c>
      <x:c r="O76" s="17" t="str">
        <x:v>NOT_EXECUTED</x:v>
      </x:c>
      <x:c r="P76" s="17" t="str">
        <x:v>TO_BE_CREATED</x:v>
      </x:c>
      <x:c r="Q76" s="17" t="str">
        <x:v>视觉基线不覆盖业务、权限和状态机</x:v>
      </x:c>
    </x:row>
    <x:row r="77" ht="23" customHeight="1">
      <x:c r="A77" s="17" t="str">
        <x:v>PAGE-076</x:v>
      </x:c>
      <x:c r="B77" s="17" t="str">
        <x:v>RUNNER_MINIPROGRAM</x:v>
      </x:c>
      <x:c r="C77" s="17" t="str">
        <x:v>我的任务</x:v>
      </x:c>
      <x:c r="D77" s="17" t="str">
        <x:v>/pages/my-tasks/index</x:v>
      </x:c>
      <x:c r="E77" s="17" t="str">
        <x:v>福礼社UI设计资产/蓝绿供应链暖红福利统一版/跑腿配送小程序/06-我的任务.png</x:v>
      </x:c>
      <x:c r="F77" s="17" t="str">
        <x:v>M4</x:v>
      </x:c>
      <x:c r="G77" s="17" t="str">
        <x:v>跑腿员</x:v>
      </x:c>
      <x:c r="H77" s="17" t="str">
        <x:v>P0-106,P0-110</x:v>
      </x:c>
      <x:c r="I77" s="17" t="str">
        <x:v>REQUIRED_FIXED_FUNCTIONAL_SESSION</x:v>
      </x:c>
      <x:c r="J77" s="17" t="str">
        <x:v>NEVER_RETURN</x:v>
      </x:c>
      <x:c r="K77" s="17" t="str">
        <x:v>runner</x:v>
      </x:c>
      <x:c r="L77" s="17" t="str">
        <x:v>loading,empty,error,permission-denied,offline-or-timeout,success；交易页增加duplicate/unknown-result</x:v>
      </x:c>
      <x:c r="M77" s="17" t="str">
        <x:v>微信小程序真机</x:v>
      </x:c>
      <x:c r="N77" s="17" t="str">
        <x:v>REFERENCE_ASSET_ONLY</x:v>
      </x:c>
      <x:c r="O77" s="17" t="str">
        <x:v>NOT_EXECUTED</x:v>
      </x:c>
      <x:c r="P77" s="17" t="str">
        <x:v>TO_BE_CREATED</x:v>
      </x:c>
      <x:c r="Q77" s="17" t="str">
        <x:v>视觉基线不覆盖业务、权限和状态机</x:v>
      </x:c>
    </x:row>
    <x:row r="78" ht="23" customHeight="1">
      <x:c r="A78" s="17" t="str">
        <x:v>PAGE-077</x:v>
      </x:c>
      <x:c r="B78" s="17" t="str">
        <x:v>RUNNER_MINIPROGRAM</x:v>
      </x:c>
      <x:c r="C78" s="17" t="str">
        <x:v>任务详情</x:v>
      </x:c>
      <x:c r="D78" s="17" t="str">
        <x:v>/pages/task-detail/index</x:v>
      </x:c>
      <x:c r="E78" s="17" t="str">
        <x:v>福礼社UI设计资产/蓝绿供应链暖红福利统一版/跑腿配送小程序/07-任务详情.png</x:v>
      </x:c>
      <x:c r="F78" s="17" t="str">
        <x:v>M4</x:v>
      </x:c>
      <x:c r="G78" s="17" t="str">
        <x:v>跑腿员</x:v>
      </x:c>
      <x:c r="H78" s="17" t="str">
        <x:v>P0-106,P0-107,P0-108,P0-111</x:v>
      </x:c>
      <x:c r="I78" s="17" t="str">
        <x:v>REQUIRED_FIXED_FUNCTIONAL_SESSION</x:v>
      </x:c>
      <x:c r="J78" s="17" t="str">
        <x:v>NEVER_RETURN</x:v>
      </x:c>
      <x:c r="K78" s="17" t="str">
        <x:v>runner</x:v>
      </x:c>
      <x:c r="L78" s="17" t="str">
        <x:v>loading,empty,error,permission-denied,offline-or-timeout,success；交易页增加duplicate/unknown-result</x:v>
      </x:c>
      <x:c r="M78" s="17" t="str">
        <x:v>微信小程序真机</x:v>
      </x:c>
      <x:c r="N78" s="17" t="str">
        <x:v>REFERENCE_ASSET_ONLY</x:v>
      </x:c>
      <x:c r="O78" s="17" t="str">
        <x:v>NOT_EXECUTED</x:v>
      </x:c>
      <x:c r="P78" s="17" t="str">
        <x:v>TO_BE_CREATED</x:v>
      </x:c>
      <x:c r="Q78" s="17" t="str">
        <x:v>视觉基线不覆盖业务、权限和状态机</x:v>
      </x:c>
    </x:row>
    <x:row r="79" ht="23" customHeight="1">
      <x:c r="A79" s="17" t="str">
        <x:v>PAGE-078</x:v>
      </x:c>
      <x:c r="B79" s="17" t="str">
        <x:v>RUNNER_MINIPROGRAM</x:v>
      </x:c>
      <x:c r="C79" s="17" t="str">
        <x:v>异常上报</x:v>
      </x:c>
      <x:c r="D79" s="17" t="str">
        <x:v>/pages/exception-report/index</x:v>
      </x:c>
      <x:c r="E79" s="17" t="str">
        <x:v>福礼社UI设计资产/蓝绿供应链暖红福利统一版/跑腿配送小程序/08-异常上报.png</x:v>
      </x:c>
      <x:c r="F79" s="17" t="str">
        <x:v>M4</x:v>
      </x:c>
      <x:c r="G79" s="17" t="str">
        <x:v>跑腿员</x:v>
      </x:c>
      <x:c r="H79" s="17" t="str">
        <x:v>P0-109</x:v>
      </x:c>
      <x:c r="I79" s="17" t="str">
        <x:v>REQUIRED_FIXED_FUNCTIONAL_SESSION</x:v>
      </x:c>
      <x:c r="J79" s="17" t="str">
        <x:v>NEVER_RETURN</x:v>
      </x:c>
      <x:c r="K79" s="17" t="str">
        <x:v>runner</x:v>
      </x:c>
      <x:c r="L79" s="17" t="str">
        <x:v>loading,empty,error,permission-denied,offline-or-timeout,success；交易页增加duplicate/unknown-result</x:v>
      </x:c>
      <x:c r="M79" s="17" t="str">
        <x:v>微信小程序真机</x:v>
      </x:c>
      <x:c r="N79" s="17" t="str">
        <x:v>REFERENCE_ASSET_ONLY</x:v>
      </x:c>
      <x:c r="O79" s="17" t="str">
        <x:v>NOT_EXECUTED</x:v>
      </x:c>
      <x:c r="P79" s="17" t="str">
        <x:v>TO_BE_CREATED</x:v>
      </x:c>
      <x:c r="Q79" s="17" t="str">
        <x:v>视觉基线不覆盖业务、权限和状态机</x:v>
      </x:c>
    </x:row>
    <x:row r="80" ht="23" customHeight="1">
      <x:c r="A80" s="17" t="str">
        <x:v>PAGE-079</x:v>
      </x:c>
      <x:c r="B80" s="17" t="str">
        <x:v>RUNNER_MINIPROGRAM</x:v>
      </x:c>
      <x:c r="C80" s="17" t="str">
        <x:v>任务记录</x:v>
      </x:c>
      <x:c r="D80" s="17" t="str">
        <x:v>/pages/task-history/index</x:v>
      </x:c>
      <x:c r="E80" s="17" t="str">
        <x:v>福礼社UI设计资产/蓝绿供应链暖红福利统一版/跑腿配送小程序/09-任务记录.png</x:v>
      </x:c>
      <x:c r="F80" s="17" t="str">
        <x:v>M4</x:v>
      </x:c>
      <x:c r="G80" s="17" t="str">
        <x:v>跑腿员</x:v>
      </x:c>
      <x:c r="H80" s="17" t="str">
        <x:v>P0-113</x:v>
      </x:c>
      <x:c r="I80" s="17" t="str">
        <x:v>REQUIRED_FIXED_FUNCTIONAL_SESSION</x:v>
      </x:c>
      <x:c r="J80" s="17" t="str">
        <x:v>NEVER_RETURN</x:v>
      </x:c>
      <x:c r="K80" s="17" t="str">
        <x:v>runner</x:v>
      </x:c>
      <x:c r="L80" s="17" t="str">
        <x:v>loading,empty,error,permission-denied,offline-or-timeout,success；交易页增加duplicate/unknown-result</x:v>
      </x:c>
      <x:c r="M80" s="17" t="str">
        <x:v>微信小程序真机</x:v>
      </x:c>
      <x:c r="N80" s="17" t="str">
        <x:v>REFERENCE_ASSET_ONLY</x:v>
      </x:c>
      <x:c r="O80" s="17" t="str">
        <x:v>NOT_EXECUTED</x:v>
      </x:c>
      <x:c r="P80" s="17" t="str">
        <x:v>TO_BE_CREATED</x:v>
      </x:c>
      <x:c r="Q80" s="17" t="str">
        <x:v>视觉基线不覆盖业务、权限和状态机</x:v>
      </x:c>
    </x:row>
    <x:row r="81" ht="23" customHeight="1">
      <x:c r="A81" s="18" t="str">
        <x:v>PAGE-080</x:v>
      </x:c>
      <x:c r="B81" s="18" t="str">
        <x:v>RUNNER_MINIPROGRAM</x:v>
      </x:c>
      <x:c r="C81" s="18" t="str">
        <x:v>我的</x:v>
      </x:c>
      <x:c r="D81" s="18" t="str">
        <x:v>/pages/profile/index</x:v>
      </x:c>
      <x:c r="E81" s="18" t="str">
        <x:v>福礼社UI设计资产/蓝绿供应链暖红福利统一版/跑腿配送小程序/10-我的.png</x:v>
      </x:c>
      <x:c r="F81" s="18" t="str">
        <x:v>M4</x:v>
      </x:c>
      <x:c r="G81" s="18" t="str">
        <x:v>跑腿员</x:v>
      </x:c>
      <x:c r="H81" s="18" t="str">
        <x:v>P0-112,P0-113,P0-114</x:v>
      </x:c>
      <x:c r="I81" s="18" t="str">
        <x:v>REQUIRED_FIXED_FUNCTIONAL_SESSION</x:v>
      </x:c>
      <x:c r="J81" s="18" t="str">
        <x:v>NEVER_RETURN</x:v>
      </x:c>
      <x:c r="K81" s="18" t="str">
        <x:v>runner</x:v>
      </x:c>
      <x:c r="L81" s="18" t="str">
        <x:v>loading,empty,error,permission-denied,offline-or-timeout,success；交易页增加duplicate/unknown-result</x:v>
      </x:c>
      <x:c r="M81" s="18" t="str">
        <x:v>微信小程序真机</x:v>
      </x:c>
      <x:c r="N81" s="18" t="str">
        <x:v>REFERENCE_ASSET_ONLY</x:v>
      </x:c>
      <x:c r="O81" s="18" t="str">
        <x:v>NOT_EXECUTED</x:v>
      </x:c>
      <x:c r="P81" s="18" t="str">
        <x:v>TO_BE_CREATED</x:v>
      </x:c>
      <x:c r="Q81" s="18" t="str">
        <x:v>视觉基线不覆盖业务、权限和状态机</x:v>
      </x:c>
    </x:row>
  </x:sheetData>
  <x:conditionalFormatting sqref="N2:N81">
    <x:cfRule type="cellIs" dxfId="120" priority="1" operator="equal">
      <x:formula>"READY"</x:formula>
    </x:cfRule>
    <x:cfRule type="cellIs" dxfId="121" priority="2" operator="equal">
      <x:formula>"DONE"</x:formula>
    </x:cfRule>
    <x:cfRule type="cellIs" dxfId="122" priority="3" operator="equal">
      <x:formula>"LOCAL_PASS"</x:formula>
    </x:cfRule>
    <x:cfRule type="cellIs" dxfId="123" priority="4" operator="equal">
      <x:formula>"CI_PASS"</x:formula>
    </x:cfRule>
    <x:cfRule type="cellIs" dxfId="124" priority="5" operator="equal">
      <x:formula>"STAGING_PASS"</x:formula>
    </x:cfRule>
    <x:cfRule type="cellIs" dxfId="125" priority="6" operator="equal">
      <x:formula>"DEVICE_PASS"</x:formula>
    </x:cfRule>
    <x:cfRule type="cellIs" dxfId="126" priority="7" operator="equal">
      <x:formula>"PRODUCTION_PASS"</x:formula>
    </x:cfRule>
    <x:cfRule type="cellIs" dxfId="127" priority="8" operator="equal">
      <x:formula>"FAIL"</x:formula>
    </x:cfRule>
    <x:cfRule type="cellIs" dxfId="128" priority="9" operator="equal">
      <x:formula>"BLOCKED_EXTERNAL"</x:formula>
    </x:cfRule>
    <x:cfRule type="cellIs" dxfId="129" priority="10" operator="equal">
      <x:formula>"NOT_PROVIDED"</x:formula>
    </x:cfRule>
    <x:cfRule type="cellIs" dxfId="130" priority="11" operator="equal">
      <x:formula>"LOCKED"</x:formula>
    </x:cfRule>
    <x:cfRule type="cellIs" dxfId="131" priority="12" operator="equal">
      <x:formula>"NOT_STARTED"</x:formula>
    </x:cfRule>
    <x:cfRule type="cellIs" dxfId="132" priority="13" operator="equal">
      <x:formula>"NOT_EXECUTED"</x:formula>
    </x:cfRule>
    <x:cfRule type="cellIs" dxfId="133" priority="14" operator="equal">
      <x:formula>"IN_PROGRESS"</x:formula>
    </x:cfRule>
    <x:cfRule type="cellIs" dxfId="134" priority="15" operator="equal">
      <x:formula>"PLANNED"</x:formula>
    </x:cfRule>
  </x:conditionalFormatting>
  <x:conditionalFormatting sqref="O2:O81">
    <x:cfRule type="cellIs" dxfId="135" priority="16" operator="equal">
      <x:formula>"READY"</x:formula>
    </x:cfRule>
    <x:cfRule type="cellIs" dxfId="136" priority="17" operator="equal">
      <x:formula>"DONE"</x:formula>
    </x:cfRule>
    <x:cfRule type="cellIs" dxfId="137" priority="18" operator="equal">
      <x:formula>"LOCAL_PASS"</x:formula>
    </x:cfRule>
    <x:cfRule type="cellIs" dxfId="138" priority="19" operator="equal">
      <x:formula>"CI_PASS"</x:formula>
    </x:cfRule>
    <x:cfRule type="cellIs" dxfId="139" priority="20" operator="equal">
      <x:formula>"STAGING_PASS"</x:formula>
    </x:cfRule>
    <x:cfRule type="cellIs" dxfId="140" priority="21" operator="equal">
      <x:formula>"DEVICE_PASS"</x:formula>
    </x:cfRule>
    <x:cfRule type="cellIs" dxfId="141" priority="22" operator="equal">
      <x:formula>"PRODUCTION_PASS"</x:formula>
    </x:cfRule>
    <x:cfRule type="cellIs" dxfId="142" priority="23" operator="equal">
      <x:formula>"FAIL"</x:formula>
    </x:cfRule>
    <x:cfRule type="cellIs" dxfId="143" priority="24" operator="equal">
      <x:formula>"BLOCKED_EXTERNAL"</x:formula>
    </x:cfRule>
    <x:cfRule type="cellIs" dxfId="144" priority="25" operator="equal">
      <x:formula>"NOT_PROVIDED"</x:formula>
    </x:cfRule>
    <x:cfRule type="cellIs" dxfId="145" priority="26" operator="equal">
      <x:formula>"LOCKED"</x:formula>
    </x:cfRule>
    <x:cfRule type="cellIs" dxfId="146" priority="27" operator="equal">
      <x:formula>"NOT_STARTED"</x:formula>
    </x:cfRule>
    <x:cfRule type="cellIs" dxfId="147" priority="28" operator="equal">
      <x:formula>"NOT_EXECUTED"</x:formula>
    </x:cfRule>
    <x:cfRule type="cellIs" dxfId="148" priority="29" operator="equal">
      <x:formula>"IN_PROGRESS"</x:formula>
    </x:cfRule>
    <x:cfRule type="cellIs" dxfId="149" priority="30" operator="equal">
      <x:formula>"PLANNED"</x:formula>
    </x:cfRule>
  </x:conditionalFormatting>
  <x:dataValidations count="2">
    <x:dataValidation type="list" sqref="N2:N81">
      <x:formula1>"NOT_STARTED,READY,IN_PROGRESS,DONE,LOCKED,PLANNED,NOT_EXECUTED,LOCAL_PASS,CI_PASS,STAGING_PASS,DEVICE_PASS,PRODUCTION_PASS,BLOCKED_EXTERNAL,FAIL,NOT_PROVIDED"</x:formula1>
    </x:dataValidation>
    <x:dataValidation type="list" sqref="O2:O81">
      <x:formula1>"NOT_EXECUTED,LOCAL_PASS,CI_PASS,STAGING_PASS,DEVICE_PASS,PRODUCTION_PASS,BLOCKED_EXTERNAL,FAIL"</x:formula1>
    </x:dataValidation>
  </x:dataValidations>
  <x:pageMargins left="0.7" right="0.7" top="0.75" bottom="0.75" header="0.3" footer="0.3"/>
  <x:tableParts count="1">
    <x:tablePart xmlns:r="http://schemas.openxmlformats.org/officeDocument/2006/relationships" r:id="Rc8e005b16690462b"/>
  </x:tableParts>
</x:worksheet>
</file>

<file path=xl/worksheets/sheet9.xml><?xml version="1.0" encoding="utf-8"?>
<x:worksheet xmlns:x="http://schemas.openxmlformats.org/spreadsheetml/2006/main">
  <x:sheetViews>
    <x:sheetView showGridLines="0" workbookViewId="0"/>
  </x:sheetViews>
  <x:sheetFormatPr defaultRowHeight="15"/>
  <x:cols>
    <x:col min="1" max="1" width="14" hidden="0" customWidth="1"/>
    <x:col min="2" max="2" width="14" hidden="0" customWidth="1"/>
    <x:col min="3" max="3" width="20" hidden="0" customWidth="1"/>
    <x:col min="4" max="4" width="52" hidden="0" customWidth="1"/>
    <x:col min="5" max="5" width="20" hidden="0" customWidth="1"/>
    <x:col min="6" max="6" width="20" hidden="0" customWidth="1"/>
    <x:col min="7" max="7" width="28" hidden="0" customWidth="1"/>
    <x:col min="8" max="8" width="54" hidden="0" customWidth="1"/>
    <x:col min="9" max="9" width="18" hidden="0" customWidth="1"/>
    <x:col min="10" max="10" width="20" hidden="0" customWidth="1"/>
    <x:col min="11" max="11" width="24" hidden="0" customWidth="1"/>
    <x:col min="12" max="12" width="18" hidden="0" customWidth="1"/>
    <x:col min="13" max="13" width="18" hidden="0" customWidth="1"/>
    <x:col min="14" max="14" width="30" hidden="0" customWidth="1"/>
  </x:cols>
  <x:sheetData>
    <x:row r="1" ht="34" customHeight="1">
      <x:c r="A1" s="14" t="str">
        <x:v>DependencyID</x:v>
      </x:c>
      <x:c r="B1" s="15" t="str">
        <x:v>最早阶段</x:v>
      </x:c>
      <x:c r="C1" s="15" t="str">
        <x:v>类别</x:v>
      </x:c>
      <x:c r="D1" s="15" t="str">
        <x:v>所需资料/决定</x:v>
      </x:c>
      <x:c r="E1" s="15" t="str">
        <x:v>负责人</x:v>
      </x:c>
      <x:c r="F1" s="15" t="str">
        <x:v>当前状态</x:v>
      </x:c>
      <x:c r="G1" s="15" t="str">
        <x:v>所需证据</x:v>
      </x:c>
      <x:c r="H1" s="15" t="str">
        <x:v>安全边界</x:v>
      </x:c>
      <x:c r="I1" s="15" t="str">
        <x:v>阻塞任务</x:v>
      </x:c>
      <x:c r="J1" s="15" t="str">
        <x:v>阻塞正式验收</x:v>
      </x:c>
      <x:c r="K1" s="15" t="str">
        <x:v>证据链接</x:v>
      </x:c>
      <x:c r="L1" s="15" t="str">
        <x:v>提供时间</x:v>
      </x:c>
      <x:c r="M1" s="15" t="str">
        <x:v>批准人</x:v>
      </x:c>
      <x:c r="N1" s="16" t="str">
        <x:v>备注</x:v>
      </x:c>
    </x:row>
    <x:row r="2" ht="23" customHeight="1">
      <x:c r="A2" s="4" t="str">
        <x:v>EXT-001</x:v>
      </x:c>
      <x:c r="B2" s="4" t="str">
        <x:v>M0</x:v>
      </x:c>
      <x:c r="C2" s="4" t="str">
        <x:v>GitHub</x:v>
      </x:c>
      <x:c r="D2" s="17" t="str">
        <x:v>确认目标owner/repo或仓库URL、默认分支</x:v>
      </x:c>
      <x:c r="E2" s="4" t="str">
        <x:v>UNASSIGNED_HUMAN</x:v>
      </x:c>
      <x:c r="F2" s="4" t="str">
        <x:v>NOT_PROVIDED</x:v>
      </x:c>
      <x:c r="G2" s="17" t="str">
        <x:v>HUMAN_REQUIRED</x:v>
      </x:c>
      <x:c r="H2" s="17" t="str">
        <x:v>不得猜测远程；不得把Token粘贴聊天</x:v>
      </x:c>
      <x:c r="I2" s="4" t="str">
        <x:v>M0-003</x:v>
      </x:c>
      <x:c r="J2" s="4" t="str">
        <x:v>NO</x:v>
      </x:c>
      <x:c r="K2" s="4"/>
      <x:c r="L2" s="4"/>
      <x:c r="M2" s="4"/>
      <x:c r="N2" s="17"/>
    </x:row>
    <x:row r="3" ht="23" customHeight="1">
      <x:c r="A3" s="4" t="str">
        <x:v>EXT-002</x:v>
      </x:c>
      <x:c r="B3" s="4" t="str">
        <x:v>M0</x:v>
      </x:c>
      <x:c r="C3" s="4" t="str">
        <x:v>GitHub</x:v>
      </x:c>
      <x:c r="D3" s="17" t="str">
        <x:v>确认Codex/开发人员的最小仓库权限</x:v>
      </x:c>
      <x:c r="E3" s="4" t="str">
        <x:v>UNASSIGNED_HUMAN</x:v>
      </x:c>
      <x:c r="F3" s="4" t="str">
        <x:v>NOT_PROVIDED</x:v>
      </x:c>
      <x:c r="G3" s="17" t="str">
        <x:v>HUMAN_REQUIRED</x:v>
      </x:c>
      <x:c r="H3" s="17" t="str">
        <x:v>只授权分支、Draft PR和只读CI；合并仍人工</x:v>
      </x:c>
      <x:c r="I3" s="4" t="str">
        <x:v>M0-003</x:v>
      </x:c>
      <x:c r="J3" s="4" t="str">
        <x:v>NO</x:v>
      </x:c>
      <x:c r="K3" s="4"/>
      <x:c r="L3" s="4"/>
      <x:c r="M3" s="4"/>
      <x:c r="N3" s="17"/>
    </x:row>
    <x:row r="4" ht="23" customHeight="1">
      <x:c r="A4" s="4" t="str">
        <x:v>EXT-003</x:v>
      </x:c>
      <x:c r="B4" s="4" t="str">
        <x:v>M0</x:v>
      </x:c>
      <x:c r="C4" s="4" t="str">
        <x:v>GitHub</x:v>
      </x:c>
      <x:c r="D4" s="17" t="str">
        <x:v>配置Actions Secrets与Environment审批</x:v>
      </x:c>
      <x:c r="E4" s="4" t="str">
        <x:v>UNASSIGNED_HUMAN</x:v>
      </x:c>
      <x:c r="F4" s="4" t="str">
        <x:v>NOT_PROVIDED</x:v>
      </x:c>
      <x:c r="G4" s="17" t="str">
        <x:v>HUMAN_REQUIRED</x:v>
      </x:c>
      <x:c r="H4" s="17" t="str">
        <x:v>仅在GitHub UI/密钥管理器输入，不写仓库</x:v>
      </x:c>
      <x:c r="I4" s="4" t="str">
        <x:v>M0-011</x:v>
      </x:c>
      <x:c r="J4" s="4" t="str">
        <x:v>YES</x:v>
      </x:c>
      <x:c r="K4" s="4"/>
      <x:c r="L4" s="4"/>
      <x:c r="M4" s="4"/>
      <x:c r="N4" s="17"/>
    </x:row>
    <x:row r="5" ht="23" customHeight="1">
      <x:c r="A5" s="4" t="str">
        <x:v>EXT-004</x:v>
      </x:c>
      <x:c r="B5" s="4" t="str">
        <x:v>M0</x:v>
      </x:c>
      <x:c r="C5" s="4" t="str">
        <x:v>基础设施</x:v>
      </x:c>
      <x:c r="D5" s="17" t="str">
        <x:v>确认开发/预发布/生产域名、服务器、数据库和对象存储责任人</x:v>
      </x:c>
      <x:c r="E5" s="4" t="str">
        <x:v>UNASSIGNED_HUMAN</x:v>
      </x:c>
      <x:c r="F5" s="4" t="str">
        <x:v>NOT_PROVIDED</x:v>
      </x:c>
      <x:c r="G5" s="17" t="str">
        <x:v>HUMAN_REQUIRED</x:v>
      </x:c>
      <x:c r="H5" s="17" t="str">
        <x:v>M0只使用本地替代；生产资料不进聊天</x:v>
      </x:c>
      <x:c r="I5" s="4" t="str">
        <x:v>M0-005</x:v>
      </x:c>
      <x:c r="J5" s="4" t="str">
        <x:v>NO</x:v>
      </x:c>
      <x:c r="K5" s="4"/>
      <x:c r="L5" s="4"/>
      <x:c r="M5" s="4"/>
      <x:c r="N5" s="17"/>
    </x:row>
    <x:row r="6" ht="58" customHeight="1">
      <x:c r="A6" s="4" t="str">
        <x:v>EXT-005</x:v>
      </x:c>
      <x:c r="B6" s="4" t="str">
        <x:v>M1</x:v>
      </x:c>
      <x:c r="C6" s="4" t="str">
        <x:v>公司资料</x:v>
      </x:c>
      <x:c r="D6" s="17" t="str">
        <x:v>江苏福礼团供应链科技有限公司营业执照、对客名称、客服和开票资料由授权人员确认</x:v>
      </x:c>
      <x:c r="E6" s="4" t="str">
        <x:v>UNASSIGNED_HUMAN</x:v>
      </x:c>
      <x:c r="F6" s="4" t="str">
        <x:v>PROVIDED</x:v>
      </x:c>
      <x:c r="G6" s="17" t="str">
        <x:v>HUMAN_REQUIRED</x:v>
      </x:c>
      <x:c r="H6" s="17" t="str">
        <x:v>敏感资料进入受控存储；执行包仅登记状态</x:v>
      </x:c>
      <x:c r="I6" s="4" t="str">
        <x:v>M1-P001</x:v>
      </x:c>
      <x:c r="J6" s="4" t="str">
        <x:v>YES</x:v>
      </x:c>
      <x:c r="K6" s="17" t="str">
        <x:v>artifacts/verification/M1-GATE/ext-005-company-confirmation.json</x:v>
      </x:c>
      <x:c r="L6" s="191" t="n">
        <x:v>46243.172002314815</x:v>
      </x:c>
      <x:c r="M6" s="17" t="str">
        <x:v>COMPANY_AUTHORIZED_REVIEWER</x:v>
      </x:c>
      <x:c r="N6" s="17" t="str">
        <x:v>脱敏确认回执schemaVersion=1.1.0；三类资料均为CONTROLLED_STORAGE_CONFIRMED且NO_INTERNAL_IDENTIFIER；未提交原件或完整联系方式</x:v>
      </x:c>
    </x:row>
    <x:row r="7" ht="23" customHeight="1">
      <x:c r="A7" s="4" t="str">
        <x:v>EXT-006</x:v>
      </x:c>
      <x:c r="B7" s="4" t="str">
        <x:v>M1</x:v>
      </x:c>
      <x:c r="C7" s="4" t="str">
        <x:v>供应商规则</x:v>
      </x:c>
      <x:c r="D7" s="17" t="str">
        <x:v>供应商准入资质清单、补正/停用/退出审批责任人</x:v>
      </x:c>
      <x:c r="E7" s="4" t="str">
        <x:v>UNASSIGNED_HUMAN</x:v>
      </x:c>
      <x:c r="F7" s="4" t="str">
        <x:v>NOT_PROVIDED</x:v>
      </x:c>
      <x:c r="G7" s="17" t="str">
        <x:v>HUMAN_REQUIRED</x:v>
      </x:c>
      <x:c r="H7" s="17" t="str">
        <x:v>未确认前用可配置规则，不伪造合规结论</x:v>
      </x:c>
      <x:c r="I7" s="4" t="str">
        <x:v>M1-P003</x:v>
      </x:c>
      <x:c r="J7" s="4" t="str">
        <x:v>NO</x:v>
      </x:c>
      <x:c r="K7" s="4"/>
      <x:c r="L7" s="4"/>
      <x:c r="M7" s="4"/>
      <x:c r="N7" s="17"/>
    </x:row>
    <x:row r="8" ht="23" customHeight="1">
      <x:c r="A8" s="4" t="str">
        <x:v>EXT-007</x:v>
      </x:c>
      <x:c r="B8" s="4" t="str">
        <x:v>M2</x:v>
      </x:c>
      <x:c r="C8" s="4" t="str">
        <x:v>分类业务</x:v>
      </x:c>
      <x:c r="D8" s="17" t="str">
        <x:v>确认首批分类树、每类模板字段、公司与商品资质有效期及售后规则</x:v>
      </x:c>
      <x:c r="E8" s="4" t="str">
        <x:v>UNASSIGNED_HUMAN</x:v>
      </x:c>
      <x:c r="F8" s="4" t="str">
        <x:v>NOT_PROVIDED</x:v>
      </x:c>
      <x:c r="G8" s="17" t="str">
        <x:v>HUMAN_REQUIRED</x:v>
      </x:c>
      <x:c r="H8" s="17" t="str">
        <x:v>未提供正式数据时强监管品类默认关闭；不得把测试对象引用当正式资质</x:v>
      </x:c>
      <x:c r="I8" s="4" t="str">
        <x:v>M2-P012|M2-P018</x:v>
      </x:c>
      <x:c r="J8" s="4" t="str">
        <x:v>YES</x:v>
      </x:c>
      <x:c r="K8" s="4" t="str"/>
      <x:c r="L8" s="4" t="str"/>
      <x:c r="M8" s="4" t="str"/>
      <x:c r="N8" s="17" t="str">
        <x:v>P018可配置代码与自动化不被阻塞；M2正式业务/合规验收在授权人员提供并复核数据前保持BLOCKED_EXTERNAL</x:v>
      </x:c>
    </x:row>
    <x:row r="9" ht="23" customHeight="1">
      <x:c r="A9" s="4" t="str">
        <x:v>EXT-008</x:v>
      </x:c>
      <x:c r="B9" s="4" t="str">
        <x:v>M2</x:v>
      </x:c>
      <x:c r="C9" s="4" t="str">
        <x:v>价格治理</x:v>
      </x:c>
      <x:c r="D9" s="17" t="str">
        <x:v>确认供应价审核阈值、风险提示和计划生效规则</x:v>
      </x:c>
      <x:c r="E9" s="4" t="str">
        <x:v>UNASSIGNED_HUMAN</x:v>
      </x:c>
      <x:c r="F9" s="4" t="str">
        <x:v>NOT_PROVIDED</x:v>
      </x:c>
      <x:c r="G9" s="17" t="str">
        <x:v>HUMAN_REQUIRED</x:v>
      </x:c>
      <x:c r="H9" s="17" t="str">
        <x:v>不改变锁定边界：供应价必审，零售/集采售价免审留痕</x:v>
      </x:c>
      <x:c r="I9" s="4" t="str">
        <x:v>M2-P019</x:v>
      </x:c>
      <x:c r="J9" s="4" t="str">
        <x:v>NO</x:v>
      </x:c>
      <x:c r="K9" s="4"/>
      <x:c r="L9" s="4"/>
      <x:c r="M9" s="4"/>
      <x:c r="N9" s="17"/>
    </x:row>
    <x:row r="10" ht="23" customHeight="1">
      <x:c r="A10" s="4" t="str">
        <x:v>EXT-009</x:v>
      </x:c>
      <x:c r="B10" s="4" t="str">
        <x:v>M3</x:v>
      </x:c>
      <x:c r="C10" s="4" t="str">
        <x:v>微信小程序</x:v>
      </x:c>
      <x:c r="D10" s="17" t="str">
        <x:v>公司主体下用户小程序AppID及开发者权限</x:v>
      </x:c>
      <x:c r="E10" s="4" t="str">
        <x:v>UNASSIGNED_HUMAN</x:v>
      </x:c>
      <x:c r="F10" s="4" t="str">
        <x:v>NOT_PROVIDED</x:v>
      </x:c>
      <x:c r="G10" s="17" t="str">
        <x:v>HUMAN_REQUIRED</x:v>
      </x:c>
      <x:c r="H10" s="17" t="str">
        <x:v>AppSecret不发聊天；由环境变量/密钥管理注入</x:v>
      </x:c>
      <x:c r="I10" s="4" t="str">
        <x:v>M3-P085</x:v>
      </x:c>
      <x:c r="J10" s="4" t="str">
        <x:v>YES</x:v>
      </x:c>
      <x:c r="K10" s="4"/>
      <x:c r="L10" s="4"/>
      <x:c r="M10" s="4"/>
      <x:c r="N10" s="17"/>
    </x:row>
    <x:row r="11" ht="23" customHeight="1">
      <x:c r="A11" s="4" t="str">
        <x:v>EXT-010</x:v>
      </x:c>
      <x:c r="B11" s="4" t="str">
        <x:v>M3</x:v>
      </x:c>
      <x:c r="C11" s="4" t="str">
        <x:v>微信支付</x:v>
      </x:c>
      <x:c r="D11" s="17" t="str">
        <x:v>微信支付商户号、应用绑定、API v3密钥、证书、通知域名</x:v>
      </x:c>
      <x:c r="E11" s="4" t="str">
        <x:v>UNASSIGNED_HUMAN</x:v>
      </x:c>
      <x:c r="F11" s="4" t="str">
        <x:v>NOT_PROVIDED</x:v>
      </x:c>
      <x:c r="G11" s="17" t="str">
        <x:v>HUMAN_REQUIRED</x:v>
      </x:c>
      <x:c r="H11" s="17" t="str">
        <x:v>密钥与证书不提交；M3先完成Adapter和契约桩</x:v>
      </x:c>
      <x:c r="I11" s="4" t="str">
        <x:v>M3-P024</x:v>
      </x:c>
      <x:c r="J11" s="4" t="str">
        <x:v>YES</x:v>
      </x:c>
      <x:c r="K11" s="4"/>
      <x:c r="L11" s="4"/>
      <x:c r="M11" s="4"/>
      <x:c r="N11" s="17"/>
    </x:row>
    <x:row r="12" ht="23" customHeight="1">
      <x:c r="A12" s="4" t="str">
        <x:v>EXT-011</x:v>
      </x:c>
      <x:c r="B12" s="4" t="str">
        <x:v>M3</x:v>
      </x:c>
      <x:c r="C12" s="4" t="str">
        <x:v>微信支付</x:v>
      </x:c>
      <x:c r="D12" s="17" t="str">
        <x:v>授权人员执行1分钱/沙箱或批准金额的真实支付退款验证</x:v>
      </x:c>
      <x:c r="E12" s="4" t="str">
        <x:v>UNASSIGNED_HUMAN</x:v>
      </x:c>
      <x:c r="F12" s="4" t="str">
        <x:v>NOT_PROVIDED</x:v>
      </x:c>
      <x:c r="G12" s="17" t="str">
        <x:v>HUMAN_REQUIRED</x:v>
      </x:c>
      <x:c r="H12" s="17" t="str">
        <x:v>Codex不得自行发起真实资金动作</x:v>
      </x:c>
      <x:c r="I12" s="4" t="str">
        <x:v>M3-P026</x:v>
      </x:c>
      <x:c r="J12" s="4" t="str">
        <x:v>YES</x:v>
      </x:c>
      <x:c r="K12" s="4"/>
      <x:c r="L12" s="4"/>
      <x:c r="M12" s="4"/>
      <x:c r="N12" s="17"/>
    </x:row>
    <x:row r="13" ht="23" customHeight="1">
      <x:c r="A13" s="4" t="str">
        <x:v>EXT-012</x:v>
      </x:c>
      <x:c r="B13" s="4" t="str">
        <x:v>M3</x:v>
      </x:c>
      <x:c r="C13" s="4" t="str">
        <x:v>福利卡合规</x:v>
      </x:c>
      <x:c r="D13" s="17" t="str">
        <x:v>确认发行主体、资金属性、适用范围、有效期、退款和会计/税务处理</x:v>
      </x:c>
      <x:c r="E13" s="4" t="str">
        <x:v>UNASSIGNED_HUMAN</x:v>
      </x:c>
      <x:c r="F13" s="4" t="str">
        <x:v>NOT_PROVIDED</x:v>
      </x:c>
      <x:c r="G13" s="17" t="str">
        <x:v>LEGAL_AND_FINANCE_REVIEW</x:v>
      </x:c>
      <x:c r="H13" s="17" t="str">
        <x:v>技术实现不等于合法合规结论</x:v>
      </x:c>
      <x:c r="I13" s="4" t="str">
        <x:v>M3-P051</x:v>
      </x:c>
      <x:c r="J13" s="4" t="str">
        <x:v>YES</x:v>
      </x:c>
      <x:c r="K13" s="4"/>
      <x:c r="L13" s="4"/>
      <x:c r="M13" s="4"/>
      <x:c r="N13" s="17"/>
    </x:row>
    <x:row r="14" ht="23" customHeight="1">
      <x:c r="A14" s="4" t="str">
        <x:v>EXT-013</x:v>
      </x:c>
      <x:c r="B14" s="4" t="str">
        <x:v>M3</x:v>
      </x:c>
      <x:c r="C14" s="4" t="str">
        <x:v>企业采购</x:v>
      </x:c>
      <x:c r="D14" s="17" t="str">
        <x:v>确认企业认证资料、合同/协议、对公转账审核和发票流程</x:v>
      </x:c>
      <x:c r="E14" s="4" t="str">
        <x:v>UNASSIGNED_HUMAN</x:v>
      </x:c>
      <x:c r="F14" s="4" t="str">
        <x:v>NOT_PROVIDED</x:v>
      </x:c>
      <x:c r="G14" s="17" t="str">
        <x:v>LEGAL_AND_FINANCE_REVIEW</x:v>
      </x:c>
      <x:c r="H14" s="17" t="str">
        <x:v>企业不使用个人福利卡；不改变公司统一对客结账</x:v>
      </x:c>
      <x:c r="I14" s="4" t="str">
        <x:v>M3-P028</x:v>
      </x:c>
      <x:c r="J14" s="4" t="str">
        <x:v>YES</x:v>
      </x:c>
      <x:c r="K14" s="4"/>
      <x:c r="L14" s="4"/>
      <x:c r="M14" s="4"/>
      <x:c r="N14" s="17"/>
    </x:row>
    <x:row r="15" ht="23" customHeight="1">
      <x:c r="A15" s="4" t="str">
        <x:v>EXT-014</x:v>
      </x:c>
      <x:c r="B15" s="4" t="str">
        <x:v>M3</x:v>
      </x:c>
      <x:c r="C15" s="4" t="str">
        <x:v>短信</x:v>
      </x:c>
      <x:c r="D15" s="17" t="str">
        <x:v>如启用短信，确认供应商、模板、签名及最小权限凭据</x:v>
      </x:c>
      <x:c r="E15" s="4" t="str">
        <x:v>UNASSIGNED_HUMAN</x:v>
      </x:c>
      <x:c r="F15" s="4" t="str">
        <x:v>NOT_PROVIDED</x:v>
      </x:c>
      <x:c r="G15" s="17" t="str">
        <x:v>HUMAN_REQUIRED</x:v>
      </x:c>
      <x:c r="H15" s="17" t="str">
        <x:v>未提供时使用可替换Adapter并标BLOCKED_EXTERNAL</x:v>
      </x:c>
      <x:c r="I15" s="4" t="str">
        <x:v>M3-P077</x:v>
      </x:c>
      <x:c r="J15" s="4" t="str">
        <x:v>NO</x:v>
      </x:c>
      <x:c r="K15" s="4"/>
      <x:c r="L15" s="4"/>
      <x:c r="M15" s="4"/>
      <x:c r="N15" s="17"/>
    </x:row>
    <x:row r="16" ht="23" customHeight="1">
      <x:c r="A16" s="4" t="str">
        <x:v>EXT-015</x:v>
      </x:c>
      <x:c r="B16" s="4" t="str">
        <x:v>M3</x:v>
      </x:c>
      <x:c r="C16" s="4" t="str">
        <x:v>隐私与协议</x:v>
      </x:c>
      <x:c r="D16" s="17" t="str">
        <x:v>确认隐私政策、用户协议、企业协议、福利卡规则版本</x:v>
      </x:c>
      <x:c r="E16" s="4" t="str">
        <x:v>UNASSIGNED_HUMAN</x:v>
      </x:c>
      <x:c r="F16" s="4" t="str">
        <x:v>NOT_PROVIDED</x:v>
      </x:c>
      <x:c r="G16" s="17" t="str">
        <x:v>LEGAL_REVIEW</x:v>
      </x:c>
      <x:c r="H16" s="17" t="str">
        <x:v>未经法务确认不得标记正式发布</x:v>
      </x:c>
      <x:c r="I16" s="4" t="str">
        <x:v>M3-P082</x:v>
      </x:c>
      <x:c r="J16" s="4" t="str">
        <x:v>YES</x:v>
      </x:c>
      <x:c r="K16" s="4"/>
      <x:c r="L16" s="4"/>
      <x:c r="M16" s="4"/>
      <x:c r="N16" s="17"/>
    </x:row>
    <x:row r="17" ht="23" customHeight="1">
      <x:c r="A17" s="4" t="str">
        <x:v>EXT-016</x:v>
      </x:c>
      <x:c r="B17" s="4" t="str">
        <x:v>M4</x:v>
      </x:c>
      <x:c r="C17" s="4" t="str">
        <x:v>跑腿小程序</x:v>
      </x:c>
      <x:c r="D17" s="17" t="str">
        <x:v>跑腿小程序AppID、开发者权限和隐私接口声明</x:v>
      </x:c>
      <x:c r="E17" s="4" t="str">
        <x:v>UNASSIGNED_HUMAN</x:v>
      </x:c>
      <x:c r="F17" s="4" t="str">
        <x:v>NOT_PROVIDED</x:v>
      </x:c>
      <x:c r="G17" s="17" t="str">
        <x:v>HUMAN_REQUIRED</x:v>
      </x:c>
      <x:c r="H17" s="17" t="str">
        <x:v>与用户小程序独立应用、独立会话</x:v>
      </x:c>
      <x:c r="I17" s="4" t="str">
        <x:v>M4-P101</x:v>
      </x:c>
      <x:c r="J17" s="4" t="str">
        <x:v>YES</x:v>
      </x:c>
      <x:c r="K17" s="4"/>
      <x:c r="L17" s="4"/>
      <x:c r="M17" s="4"/>
      <x:c r="N17" s="17"/>
    </x:row>
    <x:row r="18" ht="23" customHeight="1">
      <x:c r="A18" s="4" t="str">
        <x:v>EXT-017</x:v>
      </x:c>
      <x:c r="B18" s="4" t="str">
        <x:v>M4</x:v>
      </x:c>
      <x:c r="C18" s="4" t="str">
        <x:v>地图导航</x:v>
      </x:c>
      <x:c r="D18" s="17" t="str">
        <x:v>确认微信openLocation可用范围、坐标来源和用户授权文案</x:v>
      </x:c>
      <x:c r="E18" s="4" t="str">
        <x:v>UNASSIGNED_HUMAN</x:v>
      </x:c>
      <x:c r="F18" s="4" t="str">
        <x:v>NOT_PROVIDED</x:v>
      </x:c>
      <x:c r="G18" s="17" t="str">
        <x:v>HUMAN_REQUIRED</x:v>
      </x:c>
      <x:c r="H18" s="17" t="str">
        <x:v>P0只调用跑腿员本人手机导航；不建设路径计费</x:v>
      </x:c>
      <x:c r="I18" s="4" t="str">
        <x:v>M4-P108</x:v>
      </x:c>
      <x:c r="J18" s="4" t="str">
        <x:v>YES</x:v>
      </x:c>
      <x:c r="K18" s="4"/>
      <x:c r="L18" s="4"/>
      <x:c r="M18" s="4"/>
      <x:c r="N18" s="17"/>
    </x:row>
    <x:row r="19" ht="23" customHeight="1">
      <x:c r="A19" s="4" t="str">
        <x:v>EXT-018</x:v>
      </x:c>
      <x:c r="B19" s="4" t="str">
        <x:v>M4</x:v>
      </x:c>
      <x:c r="C19" s="4" t="str">
        <x:v>跑腿规则</x:v>
      </x:c>
      <x:c r="D19" s="17" t="str">
        <x:v>跑腿准入、服务区、最大并发、报酬线下支付和异常责任规则</x:v>
      </x:c>
      <x:c r="E19" s="4" t="str">
        <x:v>UNASSIGNED_HUMAN</x:v>
      </x:c>
      <x:c r="F19" s="4" t="str">
        <x:v>NOT_PROVIDED</x:v>
      </x:c>
      <x:c r="G19" s="17" t="str">
        <x:v>HUMAN_REQUIRED</x:v>
      </x:c>
      <x:c r="H19" s="17" t="str">
        <x:v>不建设跑腿钱包/自动打款</x:v>
      </x:c>
      <x:c r="I19" s="4" t="str">
        <x:v>M4-P100</x:v>
      </x:c>
      <x:c r="J19" s="4" t="str">
        <x:v>NO</x:v>
      </x:c>
      <x:c r="K19" s="4"/>
      <x:c r="L19" s="4"/>
      <x:c r="M19" s="4"/>
      <x:c r="N19" s="17"/>
    </x:row>
    <x:row r="20" ht="23" customHeight="1">
      <x:c r="A20" s="4" t="str">
        <x:v>EXT-019</x:v>
      </x:c>
      <x:c r="B20" s="4" t="str">
        <x:v>M4</x:v>
      </x:c>
      <x:c r="C20" s="4" t="str">
        <x:v>企业配送</x:v>
      </x:c>
      <x:c r="D20" s="17" t="str">
        <x:v>确认公司车辆/司机/承运商资料字段、凭证和签收规则</x:v>
      </x:c>
      <x:c r="E20" s="4" t="str">
        <x:v>UNASSIGNED_HUMAN</x:v>
      </x:c>
      <x:c r="F20" s="4" t="str">
        <x:v>NOT_PROVIDED</x:v>
      </x:c>
      <x:c r="G20" s="17" t="str">
        <x:v>HUMAN_REQUIRED</x:v>
      </x:c>
      <x:c r="H20" s="17" t="str">
        <x:v>企业配送绝不进入跑腿大厅</x:v>
      </x:c>
      <x:c r="I20" s="4" t="str">
        <x:v>M4-P118</x:v>
      </x:c>
      <x:c r="J20" s="4" t="str">
        <x:v>NO</x:v>
      </x:c>
      <x:c r="K20" s="4"/>
      <x:c r="L20" s="4"/>
      <x:c r="M20" s="4"/>
      <x:c r="N20" s="17"/>
    </x:row>
    <x:row r="21" ht="23" customHeight="1">
      <x:c r="A21" s="4" t="str">
        <x:v>EXT-020</x:v>
      </x:c>
      <x:c r="B21" s="4" t="str">
        <x:v>M5</x:v>
      </x:c>
      <x:c r="C21" s="4" t="str">
        <x:v>银行与线下结算</x:v>
      </x:c>
      <x:c r="D21" s="17" t="str">
        <x:v>确认付款授权人、银行流水编号规则和凭证保留期</x:v>
      </x:c>
      <x:c r="E21" s="4" t="str">
        <x:v>UNASSIGNED_HUMAN</x:v>
      </x:c>
      <x:c r="F21" s="4" t="str">
        <x:v>NOT_PROVIDED</x:v>
      </x:c>
      <x:c r="G21" s="17" t="str">
        <x:v>FINANCE_APPROVAL</x:v>
      </x:c>
      <x:c r="H21" s="17" t="str">
        <x:v>系统只登记线下结果，不自动打款</x:v>
      </x:c>
      <x:c r="I21" s="4" t="str">
        <x:v>M5-P042</x:v>
      </x:c>
      <x:c r="J21" s="4" t="str">
        <x:v>YES</x:v>
      </x:c>
      <x:c r="K21" s="4"/>
      <x:c r="L21" s="4"/>
      <x:c r="M21" s="4"/>
      <x:c r="N21" s="17"/>
    </x:row>
    <x:row r="22" ht="23" customHeight="1">
      <x:c r="A22" s="4" t="str">
        <x:v>EXT-021</x:v>
      </x:c>
      <x:c r="B22" s="4" t="str">
        <x:v>M5</x:v>
      </x:c>
      <x:c r="C22" s="4" t="str">
        <x:v>发票税务</x:v>
      </x:c>
      <x:c r="D22" s="17" t="str">
        <x:v>确认供应商发票和企业开票状态、税务字段和保留规则</x:v>
      </x:c>
      <x:c r="E22" s="4" t="str">
        <x:v>UNASSIGNED_HUMAN</x:v>
      </x:c>
      <x:c r="F22" s="4" t="str">
        <x:v>NOT_PROVIDED</x:v>
      </x:c>
      <x:c r="G22" s="17" t="str">
        <x:v>LEGAL_AND_FINANCE_REVIEW</x:v>
      </x:c>
      <x:c r="H22" s="17" t="str">
        <x:v>发票状态不得回写订单履约</x:v>
      </x:c>
      <x:c r="I22" s="4" t="str">
        <x:v>M5-P042</x:v>
      </x:c>
      <x:c r="J22" s="4" t="str">
        <x:v>YES</x:v>
      </x:c>
      <x:c r="K22" s="4"/>
      <x:c r="L22" s="4"/>
      <x:c r="M22" s="4"/>
      <x:c r="N22" s="17"/>
    </x:row>
    <x:row r="23" ht="23" customHeight="1">
      <x:c r="A23" s="4" t="str">
        <x:v>EXT-022</x:v>
      </x:c>
      <x:c r="B23" s="4" t="str">
        <x:v>M5</x:v>
      </x:c>
      <x:c r="C23" s="4" t="str">
        <x:v>门户内容</x:v>
      </x:c>
      <x:c r="D23" s="17" t="str">
        <x:v>提供经批准的公司介绍、案例、新闻、联系方式和素材权利证明</x:v>
      </x:c>
      <x:c r="E23" s="4" t="str">
        <x:v>UNASSIGNED_HUMAN</x:v>
      </x:c>
      <x:c r="F23" s="4" t="str">
        <x:v>NOT_PROVIDED</x:v>
      </x:c>
      <x:c r="G23" s="17" t="str">
        <x:v>HUMAN_REQUIRED</x:v>
      </x:c>
      <x:c r="H23" s="17" t="str">
        <x:v>无权利证明素材不得正式发布</x:v>
      </x:c>
      <x:c r="I23" s="4" t="str">
        <x:v>M5-P082</x:v>
      </x:c>
      <x:c r="J23" s="4" t="str">
        <x:v>YES</x:v>
      </x:c>
      <x:c r="K23" s="4"/>
      <x:c r="L23" s="4"/>
      <x:c r="M23" s="4"/>
      <x:c r="N23" s="17"/>
    </x:row>
    <x:row r="24" ht="23" customHeight="1">
      <x:c r="A24" s="4" t="str">
        <x:v>EXT-023</x:v>
      </x:c>
      <x:c r="B24" s="4" t="str">
        <x:v>M5</x:v>
      </x:c>
      <x:c r="C24" s="4" t="str">
        <x:v>ICP备案/公安备案</x:v>
      </x:c>
      <x:c r="D24" s="17" t="str">
        <x:v>确认域名备案和公开展示信息</x:v>
      </x:c>
      <x:c r="E24" s="4" t="str">
        <x:v>UNASSIGNED_HUMAN</x:v>
      </x:c>
      <x:c r="F24" s="4" t="str">
        <x:v>NOT_PROVIDED</x:v>
      </x:c>
      <x:c r="G24" s="17" t="str">
        <x:v>LEGAL_REVIEW</x:v>
      </x:c>
      <x:c r="H24" s="17" t="str">
        <x:v>执行包不推断备案完成</x:v>
      </x:c>
      <x:c r="I24" s="4" t="str">
        <x:v>M5-P082</x:v>
      </x:c>
      <x:c r="J24" s="4" t="str">
        <x:v>YES</x:v>
      </x:c>
      <x:c r="K24" s="4"/>
      <x:c r="L24" s="4"/>
      <x:c r="M24" s="4"/>
      <x:c r="N24" s="17"/>
    </x:row>
    <x:row r="25" ht="23" customHeight="1">
      <x:c r="A25" s="4" t="str">
        <x:v>EXT-024</x:v>
      </x:c>
      <x:c r="B25" s="4" t="str">
        <x:v>M6</x:v>
      </x:c>
      <x:c r="C25" s="4" t="str">
        <x:v>容量目标</x:v>
      </x:c>
      <x:c r="D25" s="17" t="str">
        <x:v>批准SLO、并发量、订单峰值、RTO/RPO与压测窗口</x:v>
      </x:c>
      <x:c r="E25" s="4" t="str">
        <x:v>UNASSIGNED_HUMAN</x:v>
      </x:c>
      <x:c r="F25" s="4" t="str">
        <x:v>NOT_PROVIDED</x:v>
      </x:c>
      <x:c r="G25" s="17" t="str">
        <x:v>HUMAN_REQUIRED</x:v>
      </x:c>
      <x:c r="H25" s="17" t="str">
        <x:v>未批准时只报告测得值，不声称达标</x:v>
      </x:c>
      <x:c r="I25" s="4" t="str">
        <x:v>M6-901</x:v>
      </x:c>
      <x:c r="J25" s="4" t="str">
        <x:v>YES</x:v>
      </x:c>
      <x:c r="K25" s="4"/>
      <x:c r="L25" s="4"/>
      <x:c r="M25" s="4"/>
      <x:c r="N25" s="17"/>
    </x:row>
    <x:row r="26" ht="23" customHeight="1">
      <x:c r="A26" s="4" t="str">
        <x:v>EXT-025</x:v>
      </x:c>
      <x:c r="B26" s="4" t="str">
        <x:v>M6</x:v>
      </x:c>
      <x:c r="C26" s="4" t="str">
        <x:v>真机验收</x:v>
      </x:c>
      <x:c r="D26" s="17" t="str">
        <x:v>提供iOS/Android微信真机、测试账号和授权验收人</x:v>
      </x:c>
      <x:c r="E26" s="4" t="str">
        <x:v>UNASSIGNED_HUMAN</x:v>
      </x:c>
      <x:c r="F26" s="4" t="str">
        <x:v>NOT_PROVIDED</x:v>
      </x:c>
      <x:c r="G26" s="17" t="str">
        <x:v>HUMAN_REQUIRED</x:v>
      </x:c>
      <x:c r="H26" s="17" t="str">
        <x:v>模拟器/截图不能替代DEVICE_PASS</x:v>
      </x:c>
      <x:c r="I26" s="4" t="str">
        <x:v>M6-903</x:v>
      </x:c>
      <x:c r="J26" s="4" t="str">
        <x:v>YES</x:v>
      </x:c>
      <x:c r="K26" s="4"/>
      <x:c r="L26" s="4"/>
      <x:c r="M26" s="4"/>
      <x:c r="N26" s="17"/>
    </x:row>
    <x:row r="27" ht="23" customHeight="1">
      <x:c r="A27" s="4" t="str">
        <x:v>EXT-026</x:v>
      </x:c>
      <x:c r="B27" s="4" t="str">
        <x:v>M6</x:v>
      </x:c>
      <x:c r="C27" s="4" t="str">
        <x:v>预发布</x:v>
      </x:c>
      <x:c r="D27" s="17" t="str">
        <x:v>提供隔离的预发布环境、测试商户/证书和脱敏数据</x:v>
      </x:c>
      <x:c r="E27" s="4" t="str">
        <x:v>UNASSIGNED_HUMAN</x:v>
      </x:c>
      <x:c r="F27" s="4" t="str">
        <x:v>NOT_PROVIDED</x:v>
      </x:c>
      <x:c r="G27" s="17" t="str">
        <x:v>HUMAN_REQUIRED</x:v>
      </x:c>
      <x:c r="H27" s="17" t="str">
        <x:v>本地通过不能替代STAGING_PASS</x:v>
      </x:c>
      <x:c r="I27" s="4" t="str">
        <x:v>M6-902</x:v>
      </x:c>
      <x:c r="J27" s="4" t="str">
        <x:v>YES</x:v>
      </x:c>
      <x:c r="K27" s="4"/>
      <x:c r="L27" s="4"/>
      <x:c r="M27" s="4"/>
      <x:c r="N27" s="17"/>
    </x:row>
    <x:row r="28" ht="23" customHeight="1">
      <x:c r="A28" s="4" t="str">
        <x:v>EXT-027</x:v>
      </x:c>
      <x:c r="B28" s="4" t="str">
        <x:v>M6</x:v>
      </x:c>
      <x:c r="C28" s="4" t="str">
        <x:v>生产发布</x:v>
      </x:c>
      <x:c r="D28" s="17" t="str">
        <x:v>批准发布窗口、值班人、备份、回滚和生产变更单</x:v>
      </x:c>
      <x:c r="E28" s="4" t="str">
        <x:v>UNASSIGNED_HUMAN</x:v>
      </x:c>
      <x:c r="F28" s="4" t="str">
        <x:v>NOT_PROVIDED</x:v>
      </x:c>
      <x:c r="G28" s="17" t="str">
        <x:v>HUMAN_APPROVAL</x:v>
      </x:c>
      <x:c r="H28" s="17" t="str">
        <x:v>未明确批准不得部署或迁移生产</x:v>
      </x:c>
      <x:c r="I28" s="4" t="str">
        <x:v>M6-904</x:v>
      </x:c>
      <x:c r="J28" s="4" t="str">
        <x:v>YES</x:v>
      </x:c>
      <x:c r="K28" s="4"/>
      <x:c r="L28" s="4"/>
      <x:c r="M28" s="4"/>
      <x:c r="N28" s="17"/>
    </x:row>
    <x:row r="29" ht="23" customHeight="1">
      <x:c r="A29" s="5" t="str">
        <x:v>EXT-028</x:v>
      </x:c>
      <x:c r="B29" s="5" t="str">
        <x:v>M6</x:v>
      </x:c>
      <x:c r="C29" s="5" t="str">
        <x:v>Go/No-Go</x:v>
      </x:c>
      <x:c r="D29" s="18" t="str">
        <x:v>业务、技术、财务、法务、运营共同签署最终决定</x:v>
      </x:c>
      <x:c r="E29" s="5" t="str">
        <x:v>UNASSIGNED_HUMAN</x:v>
      </x:c>
      <x:c r="F29" s="5" t="str">
        <x:v>NOT_PROVIDED</x:v>
      </x:c>
      <x:c r="G29" s="18" t="str">
        <x:v>HUMAN_APPROVAL</x:v>
      </x:c>
      <x:c r="H29" s="18" t="str">
        <x:v>所有技术门禁通过也不自动等于Go</x:v>
      </x:c>
      <x:c r="I29" s="5" t="str">
        <x:v>M6-GATE</x:v>
      </x:c>
      <x:c r="J29" s="5" t="str">
        <x:v>YES</x:v>
      </x:c>
      <x:c r="K29" s="5"/>
      <x:c r="L29" s="5"/>
      <x:c r="M29" s="5"/>
      <x:c r="N29" s="18"/>
    </x:row>
  </x:sheetData>
  <x:conditionalFormatting sqref="F2:F29">
    <x:cfRule type="cellIs" dxfId="150" priority="1" operator="equal">
      <x:formula>"READY"</x:formula>
    </x:cfRule>
    <x:cfRule type="cellIs" dxfId="151" priority="2" operator="equal">
      <x:formula>"DONE"</x:formula>
    </x:cfRule>
    <x:cfRule type="cellIs" dxfId="152" priority="3" operator="equal">
      <x:formula>"LOCAL_PASS"</x:formula>
    </x:cfRule>
    <x:cfRule type="cellIs" dxfId="153" priority="4" operator="equal">
      <x:formula>"CI_PASS"</x:formula>
    </x:cfRule>
    <x:cfRule type="cellIs" dxfId="154" priority="5" operator="equal">
      <x:formula>"STAGING_PASS"</x:formula>
    </x:cfRule>
    <x:cfRule type="cellIs" dxfId="155" priority="6" operator="equal">
      <x:formula>"DEVICE_PASS"</x:formula>
    </x:cfRule>
    <x:cfRule type="cellIs" dxfId="156" priority="7" operator="equal">
      <x:formula>"PRODUCTION_PASS"</x:formula>
    </x:cfRule>
    <x:cfRule type="cellIs" dxfId="157" priority="8" operator="equal">
      <x:formula>"FAIL"</x:formula>
    </x:cfRule>
    <x:cfRule type="cellIs" dxfId="158" priority="9" operator="equal">
      <x:formula>"BLOCKED_EXTERNAL"</x:formula>
    </x:cfRule>
    <x:cfRule type="cellIs" dxfId="159" priority="10" operator="equal">
      <x:formula>"NOT_PROVIDED"</x:formula>
    </x:cfRule>
    <x:cfRule type="cellIs" dxfId="160" priority="11" operator="equal">
      <x:formula>"LOCKED"</x:formula>
    </x:cfRule>
    <x:cfRule type="cellIs" dxfId="161" priority="12" operator="equal">
      <x:formula>"NOT_STARTED"</x:formula>
    </x:cfRule>
    <x:cfRule type="cellIs" dxfId="162" priority="13" operator="equal">
      <x:formula>"NOT_EXECUTED"</x:formula>
    </x:cfRule>
    <x:cfRule type="cellIs" dxfId="163" priority="14" operator="equal">
      <x:formula>"IN_PROGRESS"</x:formula>
    </x:cfRule>
    <x:cfRule type="cellIs" dxfId="164" priority="15" operator="equal">
      <x:formula>"PLANNED"</x:formula>
    </x:cfRule>
  </x:conditionalFormatting>
  <x:dataValidations count="1">
    <x:dataValidation type="list" sqref="F2:F29">
      <x:formula1>"NOT_STARTED,READY,IN_PROGRESS,DONE,LOCKED,PLANNED,NOT_EXECUTED,LOCAL_PASS,CI_PASS,STAGING_PASS,DEVICE_PASS,PRODUCTION_PASS,BLOCKED_EXTERNAL,FAIL,NOT_PROVIDED"</x:formula1>
    </x:dataValidation>
  </x:dataValidations>
  <x:pageMargins left="0.7" right="0.7" top="0.75" bottom="0.75" header="0.3" footer="0.3"/>
  <x:tableParts count="1">
    <x:tablePart xmlns:r="http://schemas.openxmlformats.org/officeDocument/2006/relationships" r:id="R38e711ac703a48a6"/>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13" hidden="0" customWidth="1"/>
    <x:col min="2" max="2" width="12" hidden="0" customWidth="1"/>
    <x:col min="3" max="3" width="9" hidden="0" customWidth="1"/>
    <x:col min="4" max="4" width="15" hidden="0" customWidth="1"/>
    <x:col min="5" max="5" width="28" hidden="0" customWidth="1"/>
    <x:col min="6" max="6" width="20" hidden="0" customWidth="1"/>
    <x:col min="7" max="7" width="20" hidden="0" customWidth="1"/>
    <x:col min="8" max="8" width="52" hidden="0" customWidth="1"/>
    <x:col min="9" max="9" width="50" hidden="0" customWidth="1"/>
    <x:col min="10" max="10" width="32" hidden="0" customWidth="1"/>
    <x:col min="11" max="11" width="20" hidden="0" customWidth="1"/>
    <x:col min="12" max="12" width="22" hidden="0" customWidth="1"/>
    <x:col min="13" max="13" width="20" hidden="0" customWidth="1"/>
    <x:col min="14" max="14" width="20" hidden="0" customWidth="1"/>
    <x:col min="15" max="15" width="28" hidden="0" customWidth="1"/>
    <x:col min="16" max="16" width="30" hidden="0" customWidth="1"/>
    <x:col min="17" max="17" width="18" hidden="0" customWidth="1"/>
    <x:col min="18" max="18" width="20" hidden="0" customWidth="1"/>
    <x:col min="19" max="19" width="36" hidden="0" customWidth="1"/>
    <x:col min="20" max="20" width="16" hidden="0" customWidth="1"/>
    <x:col min="21" max="21" width="42" hidden="0" customWidth="1"/>
  </x:cols>
  <x:sheetData>
    <x:row r="1" ht="34" customHeight="1">
      <x:c r="A1" s="14" t="str">
        <x:v>EvidenceID</x:v>
      </x:c>
      <x:c r="B1" s="15" t="str">
        <x:v>P0ID</x:v>
      </x:c>
      <x:c r="C1" s="15" t="str">
        <x:v>Stage</x:v>
      </x:c>
      <x:c r="D1" s="15" t="str">
        <x:v>TaskID</x:v>
      </x:c>
      <x:c r="E1" s="15" t="str">
        <x:v>EvidenceType</x:v>
      </x:c>
      <x:c r="F1" s="15" t="str">
        <x:v>RequiredLevel</x:v>
      </x:c>
      <x:c r="G1" s="15" t="str">
        <x:v>CurrentStatus</x:v>
      </x:c>
      <x:c r="H1" s="15" t="str">
        <x:v>CommandOrProcedure</x:v>
      </x:c>
      <x:c r="I1" s="15" t="str">
        <x:v>Expected</x:v>
      </x:c>
      <x:c r="J1" s="15" t="str">
        <x:v>Actual</x:v>
      </x:c>
      <x:c r="K1" s="15" t="str">
        <x:v>Environment</x:v>
      </x:c>
      <x:c r="L1" s="15" t="str">
        <x:v>AppOrBrowserVersion</x:v>
      </x:c>
      <x:c r="M1" s="15" t="str">
        <x:v>ExecutedAt</x:v>
      </x:c>
      <x:c r="N1" s="15" t="str">
        <x:v>CommitSHA</x:v>
      </x:c>
      <x:c r="O1" s="15" t="str">
        <x:v>CIRunURL</x:v>
      </x:c>
      <x:c r="P1" s="15" t="str">
        <x:v>ArtifactOrScreenshot</x:v>
      </x:c>
      <x:c r="Q1" s="15" t="str">
        <x:v>Executor</x:v>
      </x:c>
      <x:c r="R1" s="15" t="str">
        <x:v>Freshness</x:v>
      </x:c>
      <x:c r="S1" s="15" t="str">
        <x:v>FailureOrBlocker</x:v>
      </x:c>
      <x:c r="T1" s="15" t="str">
        <x:v>RetestRequired</x:v>
      </x:c>
      <x:c r="U1" s="16" t="str">
        <x:v>Notes</x:v>
      </x:c>
    </x:row>
    <x:row r="2" ht="23" customHeight="1">
      <x:c r="A2" s="17" t="str">
        <x:v>EVD-001</x:v>
      </x:c>
      <x:c r="B2" s="17" t="str">
        <x:v>P0-001</x:v>
      </x:c>
      <x:c r="C2" s="17" t="str">
        <x:v>M1</x:v>
      </x:c>
      <x:c r="D2" s="17" t="str">
        <x:v>M1-P001</x:v>
      </x:c>
      <x:c r="E2" s="17" t="str">
        <x:v>AUTOMATED_AND_MANUAL_AS_REQUIRED</x:v>
      </x:c>
      <x:c r="F2" s="17" t="str">
        <x:v>CI_PASS</x:v>
      </x:c>
      <x:c r="G2" s="17" t="str">
        <x:v>CI_PASS</x:v>
      </x:c>
      <x:c r="H2" s="17" t="str">
        <x:v>node --test单商户策略；Vitest Supertest API；Prisma真实MySQL dry-run；OpenAPI生成/漂移/破坏检查；Playwright P0-001；PR与main push执行pnpm verify</x:v>
      </x:c>
      <x:c r="I2" s="17" t="str">
        <x:v>前台销售主体、订单收款主体、退款主体均为江苏福礼团供应链科技有限公司。</x:v>
      </x:c>
      <x:c r="J2" s="17" t="str">
        <x:v>三类主体固定为公司；三项负向测试与本地17/17通过；PR #8精确head CI及合并后main CI均成功</x:v>
      </x:c>
      <x:c r="K2" s="17" t="str">
        <x:v>LOCAL_WINDOWS_DOCKER_MYSQL_CHROMIUM+GITHUB_ACTIONS</x:v>
      </x:c>
      <x:c r="L2" s="17" t="str">
        <x:v>Node 22.23.1；MySQL 8.4.11；Chromium</x:v>
      </x:c>
      <x:c r="M2" s="17" t="n">
        <x:v>46239.164189814815</x:v>
      </x:c>
      <x:c r="N2" s="17" t="str">
        <x:v>7eb91066846204a18afa20c4c8b4c7b94676dca0</x:v>
      </x:c>
      <x:c r="O2" s="17" t="str">
        <x:v>https://github.com/EasyStep-lee/flt1/actions/runs/30972862174</x:v>
      </x:c>
      <x:c r="P2" s="17" t="str">
        <x:v>artifacts/verification/M1-P001/single-merchant.json</x:v>
      </x:c>
      <x:c r="Q2" s="17" t="str">
        <x:v>GITHUB_ACTIONS+CODEX_SELF_REVIEW</x:v>
      </x:c>
      <x:c r="R2" s="17" t="str">
        <x:v>MERGED_HEAD</x:v>
      </x:c>
      <x:c r="S2" s="17" t="str">
        <x:v>STAGING/PRODUCTION未执行；EXT-005公司证照与支付主体材料未提供</x:v>
      </x:c>
      <x:c r="T2" s="17" t="str">
        <x:v>YES</x:v>
      </x:c>
      <x:c r="U2" s="17" t="str">
        <x:v>main CI run 30973491201通过；CI证据不替代预发布、生产迁移或正式验收</x:v>
      </x:c>
    </x:row>
    <x:row r="3" ht="23" customHeight="1">
      <x:c r="A3" s="17" t="str">
        <x:v>EVD-002</x:v>
      </x:c>
      <x:c r="B3" s="17" t="str">
        <x:v>P0-002</x:v>
      </x:c>
      <x:c r="C3" s="17" t="str">
        <x:v>M1</x:v>
      </x:c>
      <x:c r="D3" s="17" t="str">
        <x:v>M1-P002</x:v>
      </x:c>
      <x:c r="E3" s="17" t="str">
        <x:v>AUTOMATED_AND_MANUAL_AS_REQUIRED</x:v>
      </x:c>
      <x:c r="F3" s="17" t="str">
        <x:v>CI_PASS</x:v>
      </x:c>
      <x:c r="G3" s="17" t="str">
        <x:v>CI_PASS</x:v>
      </x:c>
      <x:c r="H3" s="17" t="str">
        <x:v>领域策略单测；仓库Schema/迁移/OpenAPI/路由守卫；Supertest禁止路由；Playwright P0-002；PR与main push执行pnpm verify</x:v>
      </x:c>
      <x:c r="I3" s="17" t="str">
        <x:v>系统无加盟商注册、区域分账、加盟合同和加盟商后台入口。</x:v>
      </x:c>
      <x:c r="J3" s="17" t="str">
        <x:v>三项锁定负例及仓库守卫通过；本地与PR精确head完整门禁17/17；PR #9合并后main CI成功</x:v>
      </x:c>
      <x:c r="K3" s="17" t="str">
        <x:v>LOCAL_WINDOWS_DOCKER_MYSQL_CHROMIUM+GITHUB_ACTIONS</x:v>
      </x:c>
      <x:c r="L3" s="17" t="str">
        <x:v>Node 22.23.1；MySQL 8.4.11；Chromium</x:v>
      </x:c>
      <x:c r="M3" s="17" t="n">
        <x:v>46239.32738425926</x:v>
      </x:c>
      <x:c r="N3" s="17" t="str">
        <x:v>fb3c7a5e311d4472778eb63f9ef7351182ddc010</x:v>
      </x:c>
      <x:c r="O3" s="17" t="str">
        <x:v>https://github.com/EasyStep-lee/flt1/actions/runs/30985328986</x:v>
      </x:c>
      <x:c r="P3" s="17" t="str">
        <x:v>artifacts/verification/M1-P002/no-franchise-capabilities.json</x:v>
      </x:c>
      <x:c r="Q3" s="17" t="str">
        <x:v>GITHUB_ACTIONS+CODEX_SELF_REVIEW</x:v>
      </x:c>
      <x:c r="R3" s="17" t="str">
        <x:v>MERGED_HEAD</x:v>
      </x:c>
      <x:c r="S3" s="17" t="str">
        <x:v>STAGING/PRODUCTION/FORMAL_ACCEPTANCE未执行</x:v>
      </x:c>
      <x:c r="T3" s="17" t="str">
        <x:v>YES</x:v>
      </x:c>
      <x:c r="U3" s="17" t="str">
        <x:v>main CI run 30986393602通过；本任务无真机要求；CI证据不替代预发布、生产或正式验收</x:v>
      </x:c>
    </x:row>
    <x:row r="4" ht="23" customHeight="1">
      <x:c r="A4" s="17" t="str">
        <x:v>EVD-003</x:v>
      </x:c>
      <x:c r="B4" s="17" t="str">
        <x:v>P0-003</x:v>
      </x:c>
      <x:c r="C4" s="17" t="str">
        <x:v>M1</x:v>
      </x:c>
      <x:c r="D4" s="17" t="str">
        <x:v>M1-P003</x:v>
      </x:c>
      <x:c r="E4" s="17" t="str">
        <x:v>AUTOMATED_AND_MANUAL_AS_REQUIRED</x:v>
      </x:c>
      <x:c r="F4" s="17" t="str">
        <x:v>CI_PASS</x:v>
      </x:c>
      <x:c r="G4" s="17" t="str">
        <x:v>CI_PASS</x:v>
      </x:c>
      <x:c r="H4" s="17" t="str">
        <x:v>领域策略单测；Supertest所有权/幂等/状态闭环；迁移与OpenAPI契约；Playwright双页面P0；pnpm verify；本地Docker MySQL迁移演练</x:v>
      </x:c>
      <x:c r="I4" s="17" t="str">
        <x:v>供应商可注册、补资料、提交审核，并看到草稿、待审、补正、启用等状态。</x:v>
      </x:c>
      <x:c r="J4" s="17" t="str">
        <x:v>四项锁定负例及DRAFT→PENDING_REVIEW→CORRECTION_REQUIRED→PENDING_REVIEW→ACTIVE闭环通过；PR #10精确head与合并后main CI成功</x:v>
      </x:c>
      <x:c r="K4" s="17" t="str">
        <x:v>LOCAL_WINDOWS_DOCKER_MYSQL_CHROMIUM_AND_GITHUB_ACTIONS</x:v>
      </x:c>
      <x:c r="L4" s="17" t="str">
        <x:v>Node 22.23.1；MySQL 8.4.11；Chromium；GitHub Actions</x:v>
      </x:c>
      <x:c r="M4" s="17" t="n">
        <x:v>46239.43664351852</x:v>
      </x:c>
      <x:c r="N4" s="17" t="str">
        <x:v>d7067a59f1bc66680121d9e2b38e04cb3083dee2</x:v>
      </x:c>
      <x:c r="O4" s="17" t="str">
        <x:v>https://github.com/EasyStep-lee/flt1/pull/10</x:v>
      </x:c>
      <x:c r="P4" s="17" t="str">
        <x:v>artifacts/verification/M1-P003/supplier-onboarding.json</x:v>
      </x:c>
      <x:c r="Q4" s="17" t="str">
        <x:v>CODEX</x:v>
      </x:c>
      <x:c r="R4" s="17" t="str">
        <x:v>MERGED_MAIN_CI_PASS</x:v>
      </x:c>
      <x:c r="S4" s="17" t="str">
        <x:v>STAGING/PRODUCTION/FORMAL_ACCEPTANCE未执行；EXT-006未提供</x:v>
      </x:c>
      <x:c r="T4" s="17" t="str">
        <x:v>YES</x:v>
      </x:c>
      <x:c r="U4" s="17" t="str">
        <x:v>CI成功不替代预发布、生产或正式验收；真实短信和生产职能会话适配尚未接入并保持默认拒绝</x:v>
      </x:c>
    </x:row>
    <x:row r="5" ht="23" customHeight="1">
      <x:c r="A5" s="17" t="str">
        <x:v>EVD-004</x:v>
      </x:c>
      <x:c r="B5" s="17" t="str">
        <x:v>P0-004</x:v>
      </x:c>
      <x:c r="C5" s="17" t="str">
        <x:v>M1</x:v>
      </x:c>
      <x:c r="D5" s="17" t="str">
        <x:v>M1-P004</x:v>
      </x:c>
      <x:c r="E5" s="17" t="str">
        <x:v>AUTOMATED_AND_MANUAL_AS_REQUIRED</x:v>
      </x:c>
      <x:c r="F5" s="17" t="str">
        <x:v>CI_PASS</x:v>
      </x:c>
      <x:c r="G5" s="17" t="str">
        <x:v>CI_PASS</x:v>
      </x:c>
      <x:c r="H5" s="17" t="str">
        <x:v>范围策略单测；Supertest服务端归属与响应白名单；OpenAPI契约；pnpm verify；本地Docker MySQL迁移演练</x:v>
      </x:c>
      <x:c r="I5" s="17" t="str">
        <x:v>供应商不能访问其他供应商的商品、订单、库存、对账和账号。</x:v>
      </x:c>
      <x:c r="J5" s="17" t="str">
        <x:v>四项冻结负例、服务端归属、响应白名单与OpenAPI在最终切片及M1-GATE回归中通过</x:v>
      </x:c>
      <x:c r="K5" s="17" t="str">
        <x:v>LOCAL_WINDOWS_DOCKER_MYSQL_AND_GITHUB_ACTIONS</x:v>
      </x:c>
      <x:c r="L5" s="17" t="str">
        <x:v>Node 22.23.1；MySQL 8.4.11；GitHub Actions</x:v>
      </x:c>
      <x:c r="M5" s="17" t="n">
        <x:v>46242.269328703704</x:v>
      </x:c>
      <x:c r="N5" s="17" t="str">
        <x:v>e8fe7c6bd80ff9a7622aea627b0d9b82eb530e3f</x:v>
      </x:c>
      <x:c r="O5" s="17" t="str">
        <x:v>https://github.com/EasyStep-lee/flt1/actions/runs/31002208379</x:v>
      </x:c>
      <x:c r="P5" s="17" t="str">
        <x:v>artifacts/verification/M1-P004/supplier-isolation.json</x:v>
      </x:c>
      <x:c r="Q5" s="17" t="str">
        <x:v>GITHUB_ACTIONS+CODEX</x:v>
      </x:c>
      <x:c r="R5" s="17" t="str">
        <x:v>EXACT_PR_HEAD_AND_POST_MERGE_MAIN_CI</x:v>
      </x:c>
      <x:c r="S5" s="17" t="str">
        <x:v>预发布/生产/正式验收未执行</x:v>
      </x:c>
      <x:c r="T5" s="17" t="str">
        <x:v>YES</x:v>
      </x:c>
      <x:c r="U5" s="17" t="str">
        <x:v>PR #12合并为4315760，main CI run 31002976288成功；M1-GATE候选main 4ff0258复验。</x:v>
      </x:c>
    </x:row>
    <x:row r="6" ht="23" customHeight="1">
      <x:c r="A6" s="17" t="str">
        <x:v>EVD-005</x:v>
      </x:c>
      <x:c r="B6" s="17" t="str">
        <x:v>P0-005</x:v>
      </x:c>
      <x:c r="C6" s="17" t="str">
        <x:v>M1</x:v>
      </x:c>
      <x:c r="D6" s="17" t="str">
        <x:v>M1-P005</x:v>
      </x:c>
      <x:c r="E6" s="17" t="str">
        <x:v>AUTOMATED_AND_MANUAL_AS_REQUIRED</x:v>
      </x:c>
      <x:c r="F6" s="17" t="str">
        <x:v>CI_PASS</x:v>
      </x:c>
      <x:c r="G6" s="17" t="str">
        <x:v>CI_PASS</x:v>
      </x:c>
      <x:c r="H6" s="17" t="str">
        <x:v>策略单测；Supertest权限/幂等/白名单；OpenAPI与迁移合同；Prisma真实MySQL演练；Playwright P0-005；pnpm verify</x:v>
      </x:c>
      <x:c r="I6" s="17" t="str">
        <x:v>主体、商品、价格、库存、履约、售后、财务和审计分别使用独立职能账号与固定页面，敏感账户变更需二次验证。</x:v>
      </x:c>
      <x:c r="J6" s="17" t="str">
        <x:v>八类账号、固定路由、二次验证边界、API白名单与页面回归通过</x:v>
      </x:c>
      <x:c r="K6" s="17" t="str">
        <x:v>LOCAL_WINDOWS_DOCKER_MYSQL_CHROMIUM_AND_GITHUB_ACTIONS</x:v>
      </x:c>
      <x:c r="L6" s="17" t="str">
        <x:v>Node 22.23.1；MySQL 8.4.11；Chromium；GitHub Actions</x:v>
      </x:c>
      <x:c r="M6" s="17" t="n">
        <x:v>46242.269328703704</x:v>
      </x:c>
      <x:c r="N6" s="17" t="str">
        <x:v>2e9846b1872463805c29128414bdfb927b514ad9</x:v>
      </x:c>
      <x:c r="O6" s="17" t="str">
        <x:v>https://github.com/EasyStep-lee/flt1/actions/runs/31007483633</x:v>
      </x:c>
      <x:c r="P6" s="17" t="str">
        <x:v>artifacts/verification/M1-P005/supplier-functional-accounts.json</x:v>
      </x:c>
      <x:c r="Q6" s="17" t="str">
        <x:v>GITHUB_ACTIONS+CODEX</x:v>
      </x:c>
      <x:c r="R6" s="17" t="str">
        <x:v>EXACT_PR_HEAD_AND_POST_MERGE_MAIN_CI</x:v>
      </x:c>
      <x:c r="S6" s="17" t="str">
        <x:v>真实二次验证/预发布/生产/正式验收未执行；EXT-006未提供</x:v>
      </x:c>
      <x:c r="T6" s="17" t="str">
        <x:v>YES</x:v>
      </x:c>
      <x:c r="U6" s="17" t="str">
        <x:v>PR #14合并为a128a6f，main CI run 31063510585成功；M1-GATE候选main 4ff0258复验。</x:v>
      </x:c>
    </x:row>
    <x:row r="7" ht="23" customHeight="1">
      <x:c r="A7" s="17" t="str">
        <x:v>EVD-006</x:v>
      </x:c>
      <x:c r="B7" s="17" t="str">
        <x:v>P0-006</x:v>
      </x:c>
      <x:c r="C7" s="17" t="str">
        <x:v>M2</x:v>
      </x:c>
      <x:c r="D7" s="17" t="str">
        <x:v>M2-P006</x:v>
      </x:c>
      <x:c r="E7" s="17" t="str">
        <x:v>AUTOMATED_AND_MANUAL_AS_REQUIRED</x:v>
      </x:c>
      <x:c r="F7" s="17" t="str">
        <x:v>CI_PASS</x:v>
      </x:c>
      <x:c r="G7" s="17" t="str">
        <x:v>CI_PASS</x:v>
      </x:c>
      <x:c r="H7" s="17" t="str">
        <x:v>vitest supplier-products-api 5/5；playwright P0-006 1/1；migration rehearsal PASS；pnpm verify 17/17 PASS；PR与main CI</x:v>
      </x:c>
      <x:c r="I7" s="17" t="str">
        <x:v>双审前0个Product/Sku；审批后并发物化仅1组；页面请求不含归属或供应价</x:v>
      </x:c>
      <x:c r="J7" s="17" t="str">
        <x:v>focused API 5/5；P0 E2E 25/25；PNPM_VERIFY_OK:steps=17；PR run 31304973970与main run 31306358667成功</x:v>
      </x:c>
      <x:c r="K7" s="17" t="str">
        <x:v>LOCAL+GITHUB_ACTIONS</x:v>
      </x:c>
      <x:c r="L7" s="17" t="str">
        <x:v>Node 22.23.1 / Chromium / GitHub Actions</x:v>
      </x:c>
      <x:c r="M7" s="17" t="n">
        <x:v>46243.41143518518</x:v>
      </x:c>
      <x:c r="N7" s="17" t="str">
        <x:v>ae7abc827f1759cd2dc00201ce23fab4710fe6ce</x:v>
      </x:c>
      <x:c r="O7" s="17" t="str">
        <x:v>https://github.com/EasyStep-lee/flt1/actions/runs/31306358667</x:v>
      </x:c>
      <x:c r="P7" s="17" t="str">
        <x:v>apps/api/test/supertest/supplier-products-api.test.mjs|tests/e2e/p0/p0-006-product-two-layer.spec.ts|artifacts/test-results/verification/pnpm-verify.json</x:v>
      </x:c>
      <x:c r="Q7" s="17" t="str">
        <x:v>GITHUB_ACTIONS+CODEX</x:v>
      </x:c>
      <x:c r="R7" s="17" t="str">
        <x:v>MERGED_MAIN_CI_PASS</x:v>
      </x:c>
      <x:c r="S7" s="17" t="str"/>
      <x:c r="T7" s="17" t="str">
        <x:v>NO</x:v>
      </x:c>
      <x:c r="U7" s="17" t="str">
        <x:v>PR #38已合并；P0-006达到CI_PASS，staging/production未执行且不需要本切片真机证据。</x:v>
      </x:c>
      <x:c r="V7" t="str"/>
    </x:row>
    <x:row r="8" ht="23" customHeight="1">
      <x:c r="A8" s="17" t="str">
        <x:v>EVD-007</x:v>
      </x:c>
      <x:c r="B8" s="17" t="str">
        <x:v>P0-007</x:v>
      </x:c>
      <x:c r="C8" s="17" t="str">
        <x:v>M2</x:v>
      </x:c>
      <x:c r="D8" s="17" t="str">
        <x:v>M2-P007</x:v>
      </x:c>
      <x:c r="E8" s="17" t="str">
        <x:v>AUTOMATED_AND_MANUAL_AS_REQUIRED</x:v>
      </x:c>
      <x:c r="F8" s="17" t="str">
        <x:v>CI_PASS</x:v>
      </x:c>
      <x:c r="G8" s="17" t="str">
        <x:v>CI_PASS</x:v>
      </x:c>
      <x:c r="H8" s="17" t="str">
        <x:v>pnpm exec vitest run apps/api/test/supertest/company-product-approvals-api.test.mjs --config vitest.config.ts --project api-contract；再运行focused页面与pnpm verify</x:v>
      </x:c>
      <x:c r="I8" s="17" t="str">
        <x:v>公司商品职能页面完成商品资料审核、公司价格审核页面完成三类初始价格审核；两项均通过前商品无法出现在前台或加入购物车。</x:v>
      </x:c>
      <x:c r="J8" s="17" t="str">
        <x:v>RED 5/5缺少stageInitialPrices而失败；GREEN API 6/6；focused Playwright 2/2；pnpm verify 17/17通过，含API、P0 E2E、Prisma validate、13条迁移回放、OpenAPI确定性/破坏性检查和全端构建。</x:v>
      </x:c>
      <x:c r="K8" s="17" t="str">
        <x:v>LOCAL_WINDOWS_MYSQL_CHROMIUM</x:v>
      </x:c>
      <x:c r="L8" s="17" t="str">
        <x:v>Node 22.23.1 / Chromium</x:v>
      </x:c>
      <x:c r="M8" s="17" t="n">
        <x:v>46243.49652777778</x:v>
      </x:c>
      <x:c r="N8" s="17" t="str">
        <x:v>96367acf9304dadee489e97ca7047deccedbb1a4</x:v>
      </x:c>
      <x:c r="O8" s="17" t="str">
        <x:v>https://github.com/EasyStep-lee/flt1/actions/runs/31311125039</x:v>
      </x:c>
      <x:c r="P8" s="17" t="str">
        <x:v>apps/api/test/supertest/company-product-approvals-api.test.mjs|tests/e2e/p0/p0-007-company-product-approvals.spec.ts|artifacts/verification/M2-P007/company-product-approvals.json</x:v>
      </x:c>
      <x:c r="Q8" s="17" t="str">
        <x:v>CODEX</x:v>
      </x:c>
      <x:c r="R8" s="17" t="str">
        <x:v>PR_HEAD_AND_POST_MERGE_MAIN_CI</x:v>
      </x:c>
      <x:c r="S8" s="17" t="str"/>
      <x:c r="T8" s="17" t="str">
        <x:v>NO</x:v>
      </x:c>
      <x:c r="U8" s="17" t="str">
        <x:v>PR #40精确head CI通过并按授权合并；main@15a10da post-merge run 31311672836成功，P0-007达到CI_PASS。</x:v>
      </x:c>
      <x:c r="V8" t="str">
        <x:v>契约和失败测试路径已登记；未执行前保持NOT_EXECUTED。</x:v>
      </x:c>
    </x:row>
    <x:row r="9" ht="23" customHeight="1">
      <x:c r="A9" s="17" t="str">
        <x:v>EVD-008</x:v>
      </x:c>
      <x:c r="B9" s="17" t="str">
        <x:v>P0-008</x:v>
      </x:c>
      <x:c r="C9" s="17" t="str">
        <x:v>M2</x:v>
      </x:c>
      <x:c r="D9" s="17" t="str">
        <x:v>M2-P008</x:v>
      </x:c>
      <x:c r="E9" s="17" t="str">
        <x:v>AUTOMATED_AND_MANUAL_AS_REQUIRED</x:v>
      </x:c>
      <x:c r="F9" s="17" t="str">
        <x:v>CI_PASS</x:v>
      </x:c>
      <x:c r="G9" s="17" t="str">
        <x:v>CI_PASS</x:v>
      </x:c>
      <x:c r="H9" s="17" t="str">
        <x:v>pnpm exec vitest run --config ./vitest.config.ts --project api-contract apps/api/test/supertest/supplier-pricing-api.test.mjs apps/api/test/supertest/company-product-approvals-api.test.mjs；pnpm exec playwright test tests/e2e/p0/p0-008-supplier-pricing.spec.ts --config playwright.p0.config.ts；pnpm verify</x:v>
      </x:c>
      <x:c r="I9" s="17" t="str">
        <x:v>供应商商品页面不加载价格字段；价格职能页面自主设置供应价、平台零售价和集采销售价并提交初始价格审核，公司不得静默改价。</x:v>
      </x:c>
      <x:c r="J9" s="17" t="str">
        <x:v>RED与focused GREEN后pnpm verify 17/17、PR #42精确head CI run 31318336134、合并后main@590a770 CI run 31346326144均通过。</x:v>
      </x:c>
      <x:c r="K9" s="17" t="str">
        <x:v>LOCAL_WINDOWS_MYSQL_CHROMIUM_CI</x:v>
      </x:c>
      <x:c r="L9" s="17" t="str">
        <x:v>Node 22.23.1 / Chromium</x:v>
      </x:c>
      <x:c r="M9" s="17" t="n">
        <x:v>46244.05306712963</x:v>
      </x:c>
      <x:c r="N9" s="17" t="str">
        <x:v>23397b8eac5dff197d6ba7c9e4afc9f77e2287e3</x:v>
      </x:c>
      <x:c r="O9" s="17" t="str">
        <x:v>https://github.com/EasyStep-lee/flt1/actions/runs/31318336134</x:v>
      </x:c>
      <x:c r="P9" s="17" t="str">
        <x:v>apps/api/test/supertest/supplier-pricing-api.test.mjs|tests/e2e/p0/p0-008-supplier-pricing.spec.ts|docs/contracts/m2/M2-P008-supplier-pricing.md</x:v>
      </x:c>
      <x:c r="Q9" s="17" t="str">
        <x:v>CODEX</x:v>
      </x:c>
      <x:c r="R9" s="17" t="str">
        <x:v>PR_HEAD_AND_POST_MERGE_MAIN_CI</x:v>
      </x:c>
      <x:c r="S9" s="17" t="str"/>
      <x:c r="T9" s="17" t="str">
        <x:v>NO</x:v>
      </x:c>
      <x:c r="U9" s="17" t="str">
        <x:v>PR #42已按精确head授权合并；P0-008达到CI_PASS，staging/production仍未执行且不由此推断。</x:v>
      </x:c>
    </x:row>
    <x:row r="10" ht="23" customHeight="1">
      <x:c r="A10" s="17" t="str">
        <x:v>EVD-009</x:v>
      </x:c>
      <x:c r="B10" s="17" t="str">
        <x:v>P0-009</x:v>
      </x:c>
      <x:c r="C10" s="17" t="str">
        <x:v>M2</x:v>
      </x:c>
      <x:c r="D10" s="17" t="str">
        <x:v>M2-P009</x:v>
      </x:c>
      <x:c r="E10" s="17" t="str">
        <x:v>AUTOMATED_AND_MANUAL_AS_REQUIRED</x:v>
      </x:c>
      <x:c r="F10" s="17" t="str">
        <x:v>CI_PASS</x:v>
      </x:c>
      <x:c r="G10" s="17" t="str">
        <x:v>CI_PASS</x:v>
      </x:c>
      <x:c r="H10" s="17" t="str">
        <x:v>node --test apps/api/test/unit/no-supplier-storefront-policy.test.mjs；node --test tests/contracts/m2-p009-no-supplier-storefront.contract.test.mjs；pnpm exec vitest run --config ./vitest.config.ts --project api-contract apps/api/test/supertest/single-merchant-api.test.mjs；pnpm exec playwright test tests/e2e/p0/p0-009-no-supplier-storefront.spec.ts --config playwright.p0.config.ts；pnpm verify</x:v>
      </x:c>
      <x:c r="I10" s="17" t="str">
        <x:v>不存在供应商装修页、独立结算、店铺优惠券和供应商收款入口。</x:v>
      </x:c>
      <x:c r="J10" s="17" t="str">
        <x:v>RED：策略/检查器/页面缺失且API错误码不符；GREEN：focused 4/4+4/4+7/7+1/1；最终PR head fbf8fe6的Actions run 31351519702通过，合并后main@fb242c0的run 31352608893通过。</x:v>
      </x:c>
      <x:c r="K10" s="17" t="str">
        <x:v>GITHUB_ACTIONS_AND_LOCAL_WINDOWS_CHROMIUM</x:v>
      </x:c>
      <x:c r="L10" s="17" t="str">
        <x:v>Node 22.23.1 / Chromium</x:v>
      </x:c>
      <x:c r="M10" s="17" t="n">
        <x:v>46244.1490162037</x:v>
      </x:c>
      <x:c r="N10" s="17" t="str">
        <x:v>fbf8fe62ce7113007a7ff3240974e9df72b08ba0</x:v>
      </x:c>
      <x:c r="O10" s="17" t="str">
        <x:v>https://github.com/EasyStep-lee/flt1/actions/runs/31351519702</x:v>
      </x:c>
      <x:c r="P10" s="17" t="str">
        <x:v>apps/api/test/unit/no-supplier-storefront-policy.test.mjs|apps/api/test/supertest/single-merchant-api.test.mjs|tests/contracts/m2-p009-no-supplier-storefront.contract.test.mjs|tests/e2e/p0/p0-009-no-supplier-storefront.spec.ts|docs/contracts/m2/M2-P009-no-supplier-storefront.md|artifacts/verification/M2-P009/no-supplier-storefront.json</x:v>
      </x:c>
      <x:c r="Q10" s="17" t="str">
        <x:v>CODEX</x:v>
      </x:c>
      <x:c r="R10" s="17" t="str">
        <x:v>EXACT_PR_HEAD_AND_POST_MERGE_MAIN_CI</x:v>
      </x:c>
      <x:c r="S10" s="17" t="str">
        <x:v>staging与production未执行</x:v>
      </x:c>
      <x:c r="T10" s="17" t="str">
        <x:v>NO</x:v>
      </x:c>
      <x:c r="U10" s="17" t="str">
        <x:v>PR #44已合并；本切片不要求真机；P0-010已解锁。</x:v>
      </x:c>
    </x:row>
    <x:row r="11" ht="23" customHeight="1">
      <x:c r="A11" s="17" t="str">
        <x:v>EVD-010</x:v>
      </x:c>
      <x:c r="B11" s="17" t="str">
        <x:v>P0-010</x:v>
      </x:c>
      <x:c r="C11" s="17" t="str">
        <x:v>M2</x:v>
      </x:c>
      <x:c r="D11" s="17" t="str">
        <x:v>M2-P010</x:v>
      </x:c>
      <x:c r="E11" s="17" t="str">
        <x:v>AUTOMATED_AND_MANUAL_AS_REQUIRED</x:v>
      </x:c>
      <x:c r="F11" s="17" t="str">
        <x:v>CI_PASS</x:v>
      </x:c>
      <x:c r="G11" s="17" t="str">
        <x:v>CI_PASS</x:v>
      </x:c>
      <x:c r="H11" s="17" t="str">
        <x:v>node --test apps/api/test/supertest/public-catalog-api.test.mjs；node --test apps/api/test/unit/public-catalog-prisma-repository.test.mjs tests/contracts/m2-p010-public-catalog.contract.test.mjs；node --test apps/user-miniapp/test/supplier-products-build.test.mjs；pnpm exec playwright test tests/e2e/p0/p0-010-more-from-supplier.spec.ts --config playwright.p0.config.ts；pnpm verify</x:v>
      </x:c>
      <x:c r="I11" s="17" t="str">
        <x:v>按 supplierId 筛选公司已上架商品，销售主体和统一货架不改变。</x:v>
      </x:c>
      <x:c r="J11" s="17" t="str">
        <x:v>RED与GREEN证据保留；PR #46精确head 08745d1的CI run 31358378754成功，按授权合并，main@d1c34e7的run 31359557525成功。</x:v>
      </x:c>
      <x:c r="K11" s="17" t="str">
        <x:v>GITHUB_ACTIONS_UBUNTU</x:v>
      </x:c>
      <x:c r="L11" s="17" t="str">
        <x:v>Node 22.23.1 / Chromium</x:v>
      </x:c>
      <x:c r="M11" s="17" t="n">
        <x:v>46244.24444444444</x:v>
      </x:c>
      <x:c r="N11" s="17" t="str">
        <x:v>08745d1d1f2ecb41acbfc4d21104c13daa570146</x:v>
      </x:c>
      <x:c r="O11" s="17" t="str">
        <x:v>https://github.com/EasyStep-lee/flt1/actions/runs/31358378754</x:v>
      </x:c>
      <x:c r="P11" s="17" t="str">
        <x:v>apps/api/test/supertest/public-catalog-api.test.mjs|apps/api/test/unit/public-catalog-prisma-repository.test.mjs|apps/user-miniapp/test/supplier-products-build.test.mjs|tests/contracts/m2-p010-public-catalog.contract.test.mjs|tests/e2e/p0/p0-010-more-from-supplier.spec.ts|docs/contracts/m2/M2-P010-more-from-supplier.md|artifacts/verification/M2-P010/more-from-supplier.json</x:v>
      </x:c>
      <x:c r="Q11" s="17" t="str">
        <x:v>CODEX</x:v>
      </x:c>
      <x:c r="R11" s="17" t="str">
        <x:v>EXACT_HEAD_CI_AND_MAIN_POST_MERGE_CI</x:v>
      </x:c>
      <x:c r="S11" s="17" t="str">
        <x:v>真机、staging与production未执行</x:v>
      </x:c>
      <x:c r="T11" s="17" t="str">
        <x:v>YES</x:v>
      </x:c>
      <x:c r="U11" s="17" t="str">
        <x:v>P0-010升级为CI_PASS；P0-089仍未执行；生产需HTTPS API地址并配置微信request合法域名。</x:v>
      </x:c>
    </x:row>
    <x:row r="12" ht="23" customHeight="1">
      <x:c r="A12" s="17" t="str">
        <x:v>EVD-011</x:v>
      </x:c>
      <x:c r="B12" s="17" t="str">
        <x:v>P0-011</x:v>
      </x:c>
      <x:c r="C12" s="17" t="str">
        <x:v>M2</x:v>
      </x:c>
      <x:c r="D12" s="17" t="str">
        <x:v>M2-P011</x:v>
      </x:c>
      <x:c r="E12" s="17" t="str">
        <x:v>AUTOMATED_AND_MANUAL_AS_REQUIRED</x:v>
      </x:c>
      <x:c r="F12" s="17" t="str">
        <x:v>CI_PASS</x:v>
      </x:c>
      <x:c r="G12" s="17" t="str">
        <x:v>CI_PASS</x:v>
      </x:c>
      <x:c r="H12" s="17" t="str">
        <x:v>node --test apps/api/test/supertest/categories-api.test.mjs；node --test apps/api/test/supertest/supplier-products-api.test.mjs apps/api/test/supertest/company-product-approval-api.test.mjs apps/api/test/supertest/categories-api.test.mjs；node --test tests/contracts/m2-p011-category-tree.contract.test.mjs tests/migrations/m2-p011-category-tree-migration.contract.test.mjs；pnpm exec playwright test tests/e2e/p0/p0-011-category-tree.spec.ts --config playwright.p0.config.ts；pnpm verify；GitHub Actions</x:v>
      </x:c>
      <x:c r="I12" s="17" t="str">
        <x:v>商品必须绑定同公司启用的末级分类；分类支持排序、移动、停用、幂等和历史引用保护。</x:v>
      </x:c>
      <x:c r="J12" s="17" t="str">
        <x:v>RED后GREEN；本地pnpm verify 17/17；PR #48精确head abb82b1 CI run 31372338118通过；人工授权合并为main@49b59ea；main CI run 31375326708通过。</x:v>
      </x:c>
      <x:c r="K12" s="17" t="str">
        <x:v>LOCAL_WINDOWS_NODE_VM_CHROMIUM+GITHUB_ACTIONS</x:v>
      </x:c>
      <x:c r="L12" s="17" t="str">
        <x:v>Node 22.23.1 / Chromium / GitHub Actions</x:v>
      </x:c>
      <x:c r="M12" s="17" t="n">
        <x:v>46244.40503472222</x:v>
      </x:c>
      <x:c r="N12" s="17" t="str">
        <x:v>abb82b1be670ab145f719d8682b59ba23ffcfe7d</x:v>
      </x:c>
      <x:c r="O12" s="17" t="str">
        <x:v>https://github.com/EasyStep-lee/flt1/actions/runs/31372338118</x:v>
      </x:c>
      <x:c r="P12" s="17" t="str">
        <x:v>apps/api/test/supertest/categories-api.test.mjs|tests/contracts/m2-p011-category-tree.contract.test.mjs|tests/migrations/m2-p011-category-tree-migration.contract.test.mjs|tests/e2e/p0/p0-011-category-tree.spec.ts|docs/contracts/m2/M2-P011-category-tree.md|artifacts/verification/M2-P011/category-tree.json</x:v>
      </x:c>
      <x:c r="Q12" s="17" t="str">
        <x:v>GITHUB_ACTIONS+CODEX_SELF_REVIEW</x:v>
      </x:c>
      <x:c r="R12" s="17" t="str">
        <x:v>MERGED_MAIN</x:v>
      </x:c>
      <x:c r="S12" s="17" t="str">
        <x:v>staging与production未执行</x:v>
      </x:c>
      <x:c r="T12" s="17" t="str">
        <x:v>YES</x:v>
      </x:c>
      <x:c r="U12" s="17" t="str">
        <x:v>仅P0-011取得CI_PASS；main post-merge run 31375326708通过。</x:v>
      </x:c>
    </x:row>
    <x:row r="13" ht="23" customHeight="1">
      <x:c r="A13" s="17" t="str">
        <x:v>EVD-012</x:v>
      </x:c>
      <x:c r="B13" s="17" t="str">
        <x:v>P0-012</x:v>
      </x:c>
      <x:c r="C13" s="17" t="str">
        <x:v>M2</x:v>
      </x:c>
      <x:c r="D13" s="17" t="str">
        <x:v>M2-P012</x:v>
      </x:c>
      <x:c r="E13" s="17" t="str">
        <x:v>AUTOMATED_AND_MANUAL_AS_REQUIRED</x:v>
      </x:c>
      <x:c r="F13" s="17" t="str">
        <x:v>CI_PASS</x:v>
      </x:c>
      <x:c r="G13" s="17" t="str">
        <x:v>LOCAL_PASS</x:v>
      </x:c>
      <x:c r="H13" s="17" t="str">
        <x:v>pnpm exec vitest run --config vitest.report.config.ts apps/api/test/supertest/category-templates-api.test.mjs；pnpm test:api:supertest；node --test tests/contracts/m2-p012-category-template.contract.test.mjs tests/migrations/m2-p012-category-template-migration.contract.test.mjs；pnpm exec playwright test --config playwright.p0.config.ts tests/e2e/p0/p0-012-category-template.spec.ts；pnpm verify</x:v>
      </x:c>
      <x:c r="I13" s="17" t="str">
        <x:v>末级分类绑定当前发布模板版本；模板决定必填字段、SKU维度、资质、详情模块和售后提示；历史不可覆盖。</x:v>
      </x:c>
      <x:c r="J13" s="17" t="str">
        <x:v>RED：行为测试因dist/category-templates/in-memory-category-template.repository.js不存在失败。GREEN：focused API 5/5、相关API 29/29、全量Supertest 136/136、契约/迁移4/4、P0 E2E 2/2；pnpm verify 17/17；迁移演练empty=2/upgrade=2/restore=2/product=15/cleanup=PASS。</x:v>
      </x:c>
      <x:c r="K13" s="17" t="str">
        <x:v>LOCAL_WINDOWS_DOCKER_MYSQL_CHROMIUM</x:v>
      </x:c>
      <x:c r="L13" s="17" t="str">
        <x:v>Node 22.23.1 / MySQL 8 / Chromium</x:v>
      </x:c>
      <x:c r="M13" s="17" t="n">
        <x:v>46244.46314814815</x:v>
      </x:c>
      <x:c r="N13" s="17" t="str">
        <x:v>dcc4c133ede9f1e28880fc70394c2e55715a10d8</x:v>
      </x:c>
      <x:c r="O13" s="17" t="str"/>
      <x:c r="P13" s="17" t="str">
        <x:v>apps/api/test/supertest/category-templates-api.test.mjs|tests/contracts/m2-p012-category-template.contract.test.mjs|tests/migrations/m2-p012-category-template-migration.contract.test.mjs|tests/e2e/p0/p0-012-category-template.spec.ts|docs/contracts/m2/M2-P012-category-template.md|artifacts/verification/M2-P012/category-template.json</x:v>
      </x:c>
      <x:c r="Q13" s="17" t="str">
        <x:v>CODEX</x:v>
      </x:c>
      <x:c r="R13" s="17" t="str">
        <x:v>FULL_GATE_CURRENT_IMPLEMENTATION_HEAD</x:v>
      </x:c>
      <x:c r="S13" s="17" t="str">
        <x:v>Draft PR #50最终head CI、人工合并、合并后main CI、staging与production未执行；EXT-007正式模板内容未提供</x:v>
      </x:c>
      <x:c r="T13" s="17" t="str">
        <x:v>YES</x:v>
      </x:c>
      <x:c r="U13" s="17" t="str">
        <x:v>仅P0-012 LOCAL_PASS；P0-013至P0-018未实现，M2-P013不得开始。</x:v>
      </x:c>
    </x:row>
    <x:row r="14" ht="23" customHeight="1">
      <x:c r="A14" s="17" t="str">
        <x:v>EVD-013</x:v>
      </x:c>
      <x:c r="B14" s="17" t="str">
        <x:v>P0-013</x:v>
      </x:c>
      <x:c r="C14" s="17" t="str">
        <x:v>M2</x:v>
      </x:c>
      <x:c r="D14" s="17" t="str">
        <x:v>M2-P013</x:v>
      </x:c>
      <x:c r="E14" s="17" t="str">
        <x:v>AUTOMATED_AND_MANUAL_AS_REQUIRED</x:v>
      </x:c>
      <x:c r="F14" s="17" t="str">
        <x:v>CI_PASS</x:v>
      </x:c>
      <x:c r="G14" s="17" t="str">
        <x:v>CI_PASS</x:v>
      </x:c>
      <x:c r="H14" s="17" t="str">
        <x:v>pnpm --filter @fulishe/api build；node --test apps/api/test/unit/food-detail-policy.test.mjs；pnpm exec vitest run --config vitest.report.config.ts apps/api/test/supertest/category-templates-api.test.mjs apps/api/test/supertest/food-product-detail-api.test.mjs；pnpm test:api:supertest；pnpm --filter @fulishe/user-miniapp test；node --test tests/contracts/m2-p013-food-detail.contract.test.mjs tests/migrations/m2-p013-food-template-migration.contract.test.mjs；pnpm exec playwright test --config playwright.p0.config.ts tests/e2e/p0/p0-013-food-detail.spec.ts；pnpm prisma:migrate:dry-run；pnpm verify</x:v>
      </x:c>
      <x:c r="I14" s="17" t="str">
        <x:v>配料、营养、许可、保质期、储存和过敏原按模板展示。</x:v>
      </x:c>
      <x:c r="J14" s="17" t="str">
        <x:v>RED：food-detail-policy运行时模块缺失导致ERR_MODULE_NOT_FOUND。GREEN：unit 3/3、focused API 11/11、全量Supertest 142/142、用户小程序7/7、契约与迁移8/8；PR #52精确head 22d42359的CI run 31413574540通过并合并；main@81e3808c的CI run 31448561555通过。</x:v>
      </x:c>
      <x:c r="K14" s="17" t="str">
        <x:v>LOCAL_WINDOWS_DOCKER_MYSQL_CHROMIUM+GITHUB_ACTIONS</x:v>
      </x:c>
      <x:c r="L14" s="17" t="str">
        <x:v>Node 22.23.1 / MySQL 8 / Chromium</x:v>
      </x:c>
      <x:c r="M14" s="17" t="n">
        <x:v>46245.055763888886</x:v>
      </x:c>
      <x:c r="N14" s="17" t="str">
        <x:v>22d42359eb6e5ecfaf978efea0c2964c84267d27</x:v>
      </x:c>
      <x:c r="O14" s="17" t="str">
        <x:v>https://github.com/EasyStep-lee/flt1/actions/runs/31413574540</x:v>
      </x:c>
      <x:c r="P14" s="17" t="str">
        <x:v>apps/api/test/unit/food-detail-policy.test.mjs|apps/api/test/supertest/food-product-detail-api.test.mjs|apps/user-miniapp/test/product-detail-build.test.mjs|tests/contracts/m2-p013-food-detail.contract.test.mjs|tests/migrations/m2-p013-food-template-migration.contract.test.mjs|tests/e2e/p0/p0-013-food-detail.spec.ts|docs/contracts/m2/M2-P013-food-detail.md|artifacts/verification/M2-P013/food-detail.json|artifacts/test-results/verification/pnpm-verify.json</x:v>
      </x:c>
      <x:c r="Q14" s="17" t="str">
        <x:v>GITHUB_ACTIONS+CODEX</x:v>
      </x:c>
      <x:c r="R14" s="17" t="str">
        <x:v>MERGED_MAIN_CI_PASS</x:v>
      </x:c>
      <x:c r="S14" s="17" t="str">
        <x:v>staging、device与production未执行；EXT-007正式食品模板数据未提供</x:v>
      </x:c>
      <x:c r="T14" s="17" t="str">
        <x:v>YES</x:v>
      </x:c>
      <x:c r="U14" s="17" t="str">
        <x:v>P0-013达到CI_PASS；P0-021/P0-088完整商品详情仍未完成。</x:v>
      </x:c>
    </x:row>
    <x:row r="15" ht="23" customHeight="1">
      <x:c r="A15" s="17" t="str">
        <x:v>EVD-014</x:v>
      </x:c>
      <x:c r="B15" s="17" t="str">
        <x:v>P0-014</x:v>
      </x:c>
      <x:c r="C15" s="17" t="str">
        <x:v>M2</x:v>
      </x:c>
      <x:c r="D15" s="17" t="str">
        <x:v>M2-P014</x:v>
      </x:c>
      <x:c r="E15" s="17" t="str">
        <x:v>AUTOMATED_AND_MANUAL_AS_REQUIRED</x:v>
      </x:c>
      <x:c r="F15" s="17" t="str">
        <x:v>CI_PASS</x:v>
      </x:c>
      <x:c r="G15" s="17" t="str">
        <x:v>CI_PASS</x:v>
      </x:c>
      <x:c r="H15" s="17" t="str">
        <x:v>pnpm --filter @fulishe/api build；node --test apps/api/test/unit/fresh-detail-policy.test.mjs；pnpm exec vitest run --config vitest.report.config.ts apps/api/test/supertest/category-templates-api.test.mjs apps/api/test/supertest/fresh-product-detail-api.test.mjs；pnpm test:api:supertest；pnpm --filter @fulishe/user-miniapp test；node --test tests/contracts/m2-p014-fresh-detail.contract.test.mjs tests/migrations/m2-p014-fresh-template-migration.contract.test.mjs；pnpm exec playwright test --config playwright.p0.config.ts tests/e2e/p0/p0-013-food-detail.spec.ts tests/e2e/p0/p0-014-fresh-detail.spec.ts；pnpm prisma:migrate:dry-run；pnpm openapi:generate；pnpm openapi:check；pnpm verify</x:v>
      </x:c>
      <x:c r="I15" s="17" t="str">
        <x:v>产地、等级、保鲜、温区、称重和售后规则按模板展示。</x:v>
      </x:c>
      <x:c r="J15" s="17" t="str">
        <x:v>RED：fresh-detail-policy运行时模块缺失导致ERR_MODULE_NOT_FOUND。GREEN：unit FOOD+FRESH 6/6、focused API 16/16、全量Supertest 25文件147/147、用户小程序8/8、契约与迁移8/8、P013+P014 P0 E2E 2/2；迁移演练empty=2/upgrade=2/restore=2/product=17/cleanup=PASS；OpenAPI字节一致。PR #54最终head 9bbaa92e的CI run 31452009986通过；按人工授权合并为main@f2d6c1c，合并后main CI run 31453656294通过。</x:v>
      </x:c>
      <x:c r="K15" s="17" t="str">
        <x:v>GITHUB_ACTIONS_UBUNTU_AND_LOCAL_WINDOWS_DOCKER_MYSQL_CHROMIUM</x:v>
      </x:c>
      <x:c r="L15" s="17" t="str">
        <x:v>Node 22.23.1 / MySQL 8 / Chromium / GitHub Actions</x:v>
      </x:c>
      <x:c r="M15" s="17" t="n">
        <x:v>46245.12520833333</x:v>
      </x:c>
      <x:c r="N15" s="17" t="str">
        <x:v>9bbaa92e22d2c7055ffefbe089f92eaaf69cdabe</x:v>
      </x:c>
      <x:c r="O15" s="17" t="str">
        <x:v>https://github.com/EasyStep-lee/flt1/actions/runs/31452009986</x:v>
      </x:c>
      <x:c r="P15" s="17" t="str">
        <x:v>apps/api/test/unit/fresh-detail-policy.test.mjs|apps/api/test/supertest/fresh-product-detail-api.test.mjs|apps/user-miniapp/test/product-detail-build.test.mjs|tests/contracts/m2-p014-fresh-detail.contract.test.mjs|tests/migrations/m2-p014-fresh-template-migration.contract.test.mjs|tests/e2e/p0/p0-014-fresh-detail.spec.ts|docs/contracts/m2/M2-P014-fresh-detail.md|artifacts/verification/M2-P014/fresh-detail.json|artifacts/test-results/verification/pnpm-verify.json</x:v>
      </x:c>
      <x:c r="Q15" s="17" t="str">
        <x:v>CODEX</x:v>
      </x:c>
      <x:c r="R15" s="17" t="str">
        <x:v>EXACT_HEAD_CI_AND_POST_MERGE_MAIN_CI</x:v>
      </x:c>
      <x:c r="S15" s="17" t="str">
        <x:v>staging、device与production未执行；EXT-007正式生鲜模板数据未提供</x:v>
      </x:c>
      <x:c r="T15" s="17" t="str">
        <x:v>NO</x:v>
      </x:c>
      <x:c r="U15" s="17" t="str">
        <x:v>P0-014已合并并有main CI；P0-021/P0-088完整商品详情仍未完成。</x:v>
      </x:c>
    </x:row>
    <x:row r="16" ht="23" customHeight="1">
      <x:c r="A16" s="17" t="str">
        <x:v>EVD-015</x:v>
      </x:c>
      <x:c r="B16" s="17" t="str">
        <x:v>P0-015</x:v>
      </x:c>
      <x:c r="C16" s="17" t="str">
        <x:v>M2</x:v>
      </x:c>
      <x:c r="D16" s="17" t="str">
        <x:v>M2-P015</x:v>
      </x:c>
      <x:c r="E16" s="17" t="str">
        <x:v>AUTOMATED_AND_MANUAL_AS_REQUIRED</x:v>
      </x:c>
      <x:c r="F16" s="17" t="str">
        <x:v>CI_PASS</x:v>
      </x:c>
      <x:c r="G16" s="17" t="str">
        <x:v>CI_PASS</x:v>
      </x:c>
      <x:c r="H16" s="17" t="str">
        <x:v>pnpm --filter @fulishe/api build；node --test apps/api/test/unit/apparel-detail-policy.test.mjs；pnpm exec vitest run --config vitest.report.config.ts apps/api/test/supertest/category-templates-api.test.mjs apps/api/test/supertest/apparel-product-detail-api.test.mjs；pnpm --filter @fulishe/user-miniapp build；pnpm --filter @fulishe/user-miniapp test；pnpm test；pnpm -r --workspace-concurrency=1 --if-present test；pnpm test:e2e:p0；pnpm prisma:validate；pnpm prisma:migrate:dry-run；pnpm openapi:generate；pnpm openapi:check；pnpm -r --workspace-concurrency=1 --if-present build；pnpm secrets:scan；pnpm verify</x:v>
      </x:c>
      <x:c r="I16" s="17" t="str">
        <x:v>颜色尺码 SKU、材质、尺码表和洗护说明完整。</x:v>
      </x:c>
      <x:c r="J16" s="17" t="str">
        <x:v>RED：服饰策略运行时模块缺失导致ERR_MODULE_NOT_FOUND。GREEN：unit 3/3、focused API 15/15、全量Supertest 26文件152/152、用户小程序9/9、迁移契约2/2、P015 E2E 1/1、P0全量40/40、MySQL演练empty=2/upgrade=2/restore=2/product=18/cleanup=PASS、OpenAPI字节一致、逐包测试与构建13/14 workspace项目通过、秘密扫描665文件。本机完整pnpm verify被Windows Code Integrity阻止；中间head 82e9010的run 31459272007因未使用常量而lint失败，486b32f已修复且GitHub Ubuntu Actions run 31459377570完整pnpm verify通过，自审无新发现。</x:v>
      </x:c>
      <x:c r="K16" s="17" t="str">
        <x:v>GITHUB_ACTIONS_UBUNTU_AND_LOCAL_WINDOWS_DOCKER_MYSQL_CHROMIUM_WITH_ENTERPRISE_APPLICATION_CONTROL</x:v>
      </x:c>
      <x:c r="L16" s="17" t="str">
        <x:v>Node 22.23.1 / MySQL 8 / Chromium / GitHub Actions</x:v>
      </x:c>
      <x:c r="M16" s="17" t="n">
        <x:v>46245.20300925926</x:v>
      </x:c>
      <x:c r="N16" s="17" t="str">
        <x:v>486b32ffd255b144bb856b88f64db9b7218789af</x:v>
      </x:c>
      <x:c r="O16" s="17" t="str">
        <x:v>https://github.com/EasyStep-lee/flt1/actions/runs/31459377570</x:v>
      </x:c>
      <x:c r="P16" s="17" t="str">
        <x:v>apps/api/test/unit/apparel-detail-policy.test.mjs|apps/api/test/supertest/apparel-product-detail-api.test.mjs|apps/user-miniapp/test/product-detail-build.test.mjs|tests/contracts/m2-p015-apparel-detail.contract.test.mjs|tests/migrations/m2-p015-apparel-template-migration.contract.test.mjs|tests/e2e/p0/p0-015-apparel-detail.spec.ts|docs/contracts/m2/M2-P015-apparel-detail.md|artifacts/verification/M2-P015/apparel-detail.json|artifacts/test-results/playwright-p0/results.json|artifacts/test-results/verification/pnpm-verify.json</x:v>
      </x:c>
      <x:c r="Q16" s="17" t="str">
        <x:v>GITHUB_ACTIONS+CODEX_SELF_REVIEW</x:v>
      </x:c>
      <x:c r="R16" s="17" t="str">
        <x:v>EXACT_HEAD_PR_CI_WITH_LOCAL_WINDOWS_POLICY_BOUNDARY</x:v>
      </x:c>
      <x:c r="S16" s="17" t="str">
        <x:v>人工Ready/合并、合并后main CI、staging、device、production与EXT-007正式服饰数据未执行</x:v>
      </x:c>
      <x:c r="T16" s="17" t="str">
        <x:v>YES</x:v>
      </x:c>
      <x:c r="U16" s="17" t="str">
        <x:v>P0-015达到CI_PASS；任务GitHub门禁仍为BLOCKED_EXTERNAL，PR保持Draft且未合并，P0-021/P0-088及M2-P016保持锁定</x:v>
      </x:c>
    </x:row>
    <x:row r="17" ht="23" customHeight="1">
      <x:c r="A17" s="17" t="str">
        <x:v>EVD-016</x:v>
      </x:c>
      <x:c r="B17" s="17" t="str">
        <x:v>P0-016</x:v>
      </x:c>
      <x:c r="C17" s="17" t="str">
        <x:v>M2</x:v>
      </x:c>
      <x:c r="D17" s="17" t="str">
        <x:v>M2-P016</x:v>
      </x:c>
      <x:c r="E17" s="17" t="str">
        <x:v>AUTOMATED_AND_MANUAL_AS_REQUIRED</x:v>
      </x:c>
      <x:c r="F17" s="17" t="str">
        <x:v>CI_PASS</x:v>
      </x:c>
      <x:c r="G17" s="17" t="str">
        <x:v>CI_PASS</x:v>
      </x:c>
      <x:c r="H17" s="17" t="str">
        <x:v>pnpm --filter @fulishe/api build；node --test apps/api/test/unit/digital-detail-policy.test.mjs；pnpm exec vitest run --config vitest.config.ts --project api-contract apps/api/test/supertest/digital-product-detail-api.test.mjs apps/api/test/supertest/category-templates-api.test.mjs；pnpm --filter @fulishe/user-miniapp build；pnpm --filter @fulishe/user-miniapp test；pnpm --filter @fulishe/api test；pnpm test:migrations；pnpm exec playwright test tests/e2e/p0/p0-016-digital-detail.spec.ts --config playwright.p0.config.ts；pnpm prisma:validate；pnpm prisma:migrate:dry-run；pnpm openapi:generate；pnpm openapi:check；pnpm verify</x:v>
      </x:c>
      <x:c r="I17" s="17" t="str">
        <x:v>型号、参数、能效、包装清单和保修信息完整。</x:v>
      </x:c>
      <x:c r="J17" s="17" t="str">
        <x:v>RED：数码策略运行时模块缺失导致ERR_MODULE_NOT_FOUND且退出1。GREEN：unit 2/2、focused API 17/17、全量API unit53与Supertest157、用户小程序10/10、迁移36/36、P016 E2E 1/1、MySQL演练empty=2/upgrade=2/restore=2/product=19/cleanup=PASS、clean-head pnpm verify 17/17；PR #58最终head 6ec6e8f的run 31471253414成功并合并，main@371d99d run 31472192291成功。</x:v>
      </x:c>
      <x:c r="K17" s="17" t="str">
        <x:v>GITHUB_ACTIONS_UBUNTU_AND_LOCAL_WINDOWS_DOCKER_MYSQL_CHROMIUM</x:v>
      </x:c>
      <x:c r="L17" s="17" t="str">
        <x:v>Node 22.23.1 / MySQL 8 / Chromium / GitHub Actions</x:v>
      </x:c>
      <x:c r="M17" s="17" t="n">
        <x:v>46245.362233796295</x:v>
      </x:c>
      <x:c r="N17" s="17" t="str">
        <x:v>371d99dc668cf021583fb43f86750cb4630573b7</x:v>
      </x:c>
      <x:c r="O17" s="17" t="str">
        <x:v>https://github.com/EasyStep-lee/flt1/actions/runs/31472192291</x:v>
      </x:c>
      <x:c r="P17" s="17" t="str">
        <x:v>apps/api/test/unit/digital-detail-policy.test.mjs|apps/api/test/supertest/digital-product-detail-api.test.mjs|apps/user-miniapp/test/product-detail-build.test.mjs|tests/migrations/m2-p016-digital-template-migration.contract.test.mjs|tests/e2e/p0/p0-016-digital-detail.spec.ts|docs/contracts/m2/M2-P016-digital-detail.md|artifacts/verification/M2-P016/digital-detail.json|artifacts/test-results/verification/pnpm-verify.json</x:v>
      </x:c>
      <x:c r="Q17" s="17" t="str">
        <x:v>GITHUB_ACTIONS+CODEX</x:v>
      </x:c>
      <x:c r="R17" s="17" t="str">
        <x:v>MERGED_MAIN_CI</x:v>
      </x:c>
      <x:c r="S17" s="17" t="str">
        <x:v>正式数据、staging、device、production与EXT-007正式数码数据未执行</x:v>
      </x:c>
      <x:c r="T17" s="17" t="str">
        <x:v>NO</x:v>
      </x:c>
      <x:c r="U17" s="17" t="str">
        <x:v>P0-016达到CI_PASS并在main闭环；P017已解锁</x:v>
      </x:c>
    </x:row>
    <x:row r="18" ht="23" customHeight="1">
      <x:c r="A18" s="17" t="str">
        <x:v>EVD-017</x:v>
      </x:c>
      <x:c r="B18" s="17" t="str">
        <x:v>P0-017</x:v>
      </x:c>
      <x:c r="C18" s="17" t="str">
        <x:v>M2</x:v>
      </x:c>
      <x:c r="D18" s="17" t="str">
        <x:v>M2-P017</x:v>
      </x:c>
      <x:c r="E18" s="17" t="str">
        <x:v>AUTOMATED_AND_MANUAL_AS_REQUIRED</x:v>
      </x:c>
      <x:c r="F18" s="17" t="str">
        <x:v>CI_PASS</x:v>
      </x:c>
      <x:c r="G18" s="17" t="str">
        <x:v>CI_PASS</x:v>
      </x:c>
      <x:c r="H18" s="17" t="str">
        <x:v>pnpm verify；PR精确head CI；合并后main CI</x:v>
      </x:c>
      <x:c r="I18" s="17" t="str">
        <x:v>组合商品明确展示子项、数量、规格和有效期下限。</x:v>
      </x:c>
      <x:c r="J18" s="17" t="str">
        <x:v>最终head 59b020e的PR CI run 31479644045成功；按用户精确head授权合并为main@56bd581；合并后main CI run 31480997963成功。</x:v>
      </x:c>
      <x:c r="K18" s="17" t="str">
        <x:v>LOCAL_WINDOWS_DOCKER_MYSQL_CHROMIUM_AND_GITHUB_ACTIONS</x:v>
      </x:c>
      <x:c r="L18" s="17" t="str">
        <x:v>Node 22.23.1 / MySQL 8 / Chromium / GitHub Actions</x:v>
      </x:c>
      <x:c r="M18" s="17" t="n">
        <x:v>46245.42947916667</x:v>
      </x:c>
      <x:c r="N18" s="17" t="str">
        <x:v>59b020e38d38dc2a8d5d1e1009a2fdc8c5558d30</x:v>
      </x:c>
      <x:c r="O18" s="17" t="str">
        <x:v>https://github.com/EasyStep-lee/flt1/actions/runs/31479644045</x:v>
      </x:c>
      <x:c r="P18" s="17" t="str">
        <x:v>apps/api/test/unit/gift-box-detail-policy.test.mjs|apps/api/test/supertest/gift-box-product-detail-api.test.mjs|apps/user-miniapp/test/product-detail-build.test.mjs|tests/contracts/m2-p017-gift-box-detail.contract.test.mjs|tests/migrations/m2-p017-gift-box-template-migration.contract.test.mjs|tests/e2e/p0/p0-017-gift-box-detail.spec.ts|docs/contracts/m2/M2-P017-gift-box-detail.md|artifacts/verification/M2-P017/gift-box-detail.json|artifacts/test-results/verification/pnpm-verify.json</x:v>
      </x:c>
      <x:c r="Q18" s="17" t="str">
        <x:v>CODEX+GITHUB_ACTIONS</x:v>
      </x:c>
      <x:c r="R18" s="17" t="str">
        <x:v>FRESH_FINAL_HEAD_AND_POST_MERGE_MAIN_CI</x:v>
      </x:c>
      <x:c r="S18" s="17" t="str">
        <x:v>正式礼盒数据、staging、device和production未执行</x:v>
      </x:c>
      <x:c r="T18" s="17" t="str">
        <x:v>NO</x:v>
      </x:c>
      <x:c r="U18" s="17" t="str">
        <x:v>P0-017已完成精确head CI、人工授权合并和合并后main CI；P018已解锁</x:v>
      </x:c>
    </x:row>
    <x:row r="19" ht="23" customHeight="1">
      <x:c r="A19" s="17" t="str">
        <x:v>EVD-018</x:v>
      </x:c>
      <x:c r="B19" s="17" t="str">
        <x:v>P0-018</x:v>
      </x:c>
      <x:c r="C19" s="17" t="str">
        <x:v>M2</x:v>
      </x:c>
      <x:c r="D19" s="17" t="str">
        <x:v>M2-P018</x:v>
      </x:c>
      <x:c r="E19" s="17" t="str">
        <x:v>AUTOMATED_AND_MANUAL_AS_REQUIRED</x:v>
      </x:c>
      <x:c r="F19" s="17" t="str">
        <x:v>CI_PASS</x:v>
      </x:c>
      <x:c r="G19" s="17" t="str">
        <x:v>CI_PASS</x:v>
      </x:c>
      <x:c r="H19" s="17" t="str">
        <x:v>pnpm --filter @fulishe/api build；pnpm exec vitest run --project api-contract apps/api/test/supertest/regulated-category-controls-api.test.mjs；node --test tests/contracts/m2-p018-regulated-category.contract.test.mjs tests/migrations/m2-p018-regulated-category-migration.contract.test.mjs；pnpm exec playwright test tests/e2e/p0/p0-018-regulated-category.spec.ts --config playwright.p0.config.ts；pnpm prisma:validate；pnpm prisma:migrate:dry-run；pnpm openapi:generate；pnpm verify</x:v>
      </x:c>
      <x:c r="I19" s="17" t="str">
        <x:v>未配置公司资质、模板和人工开关的高风险品类不能交易。</x:v>
      </x:c>
      <x:c r="J19" s="17" t="str">
        <x:v>RED→GREEN、本地完整verify和PR精确head通过；PR #62 head 37e9f10经用户授权合并为main@413adffe，合并后Actions run 31552935068/job 93979305359成功。</x:v>
      </x:c>
      <x:c r="K19" s="17" t="str">
        <x:v>LOCAL_AND_GITHUB_ACTIONS</x:v>
      </x:c>
      <x:c r="L19" s="17" t="str">
        <x:v>Node 22.23.1 / MySQL 8 / Chromium</x:v>
      </x:c>
      <x:c r="M19" s="17" t="n">
        <x:v>46246.057650462964</x:v>
      </x:c>
      <x:c r="N19" s="17" t="str">
        <x:v>413adffe4e4276d3378e8218e99022193627e57a</x:v>
      </x:c>
      <x:c r="O19" s="17" t="str">
        <x:v>https://github.com/EasyStep-lee/flt1/actions/runs/31552935068</x:v>
      </x:c>
      <x:c r="P19" s="17" t="str">
        <x:v>apps/api/test/supertest/regulated-category-controls-api.test.mjs|apps/api/test/unit/public-catalog-prisma-repository.test.mjs|tests/contracts/m2-p018-regulated-category.contract.test.mjs|tests/migrations/m2-p018-regulated-category-migration.contract.test.mjs|tests/e2e/p0/p0-018-regulated-category.spec.ts|docs/contracts/m2/M2-P018-regulated-category.md|artifacts/verification/M2-P018/regulated-category-default-deny.json</x:v>
      </x:c>
      <x:c r="Q19" s="17" t="str">
        <x:v>CODEX_AND_GITHUB_ACTIONS</x:v>
      </x:c>
      <x:c r="R19" s="17" t="str">
        <x:v>FRESH_MERGED_MAIN_CI</x:v>
      </x:c>
      <x:c r="S19" s="17" t="str">
        <x:v>EXT-007正式分类/资质/法务数据、staging、device和production未执行</x:v>
      </x:c>
      <x:c r="T19" s="17" t="str">
        <x:v>YES</x:v>
      </x:c>
      <x:c r="U19" s="17" t="str">
        <x:v>PR精确head和合并后main CI均真实通过</x:v>
      </x:c>
    </x:row>
    <x:row r="20" ht="23" customHeight="1">
      <x:c r="A20" s="17" t="str">
        <x:v>EVD-019</x:v>
      </x:c>
      <x:c r="B20" s="17" t="str">
        <x:v>P0-019</x:v>
      </x:c>
      <x:c r="C20" s="17" t="str">
        <x:v>M2</x:v>
      </x:c>
      <x:c r="D20" s="17" t="str">
        <x:v>M2-P019</x:v>
      </x:c>
      <x:c r="E20" s="17" t="str">
        <x:v>AUTOMATED_AND_MANUAL_AS_REQUIRED</x:v>
      </x:c>
      <x:c r="F20" s="17" t="str">
        <x:v>CI_PASS</x:v>
      </x:c>
      <x:c r="G20" s="17" t="str">
        <x:v>LOCAL_PASS</x:v>
      </x:c>
      <x:c r="H20" s="17" t="str">
        <x:v>pnpm --filter @fulishe/api build；pnpm exec vitest run --project api-contract apps/api/test/supertest/tiered-price-change-api.test.mjs；node --test tests/contracts/m2-p019-tiered-price-change.contract.test.mjs tests/migrations/m2-p019-tiered-price-change-migration.contract.test.mjs；pnpm exec playwright test tests/e2e/p0/p0-019-tiered-price-change.spec.ts --config playwright.p0.config.ts；pnpm prisma:validate；pnpm prisma:migrate:dry-run；pnpm openapi:generate；pnpm openapi:check；pnpm verify</x:v>
      </x:c>
      <x:c r="I20" s="17" t="str">
        <x:v>已上架商品供应价变更必须提交 SupplyPriceChangeRequest，审核通过前继续使用原价；平台零售价和集采销售价变更不产生审批单，立即或定时生效。三类变更均完整留痕且不回改历史订单。</x:v>
      </x:c>
      <x:c r="J20" s="17" t="str">
        <x:v>真实RED 3/3因接口404失败；GREEN API 9/9、相关双审核回归15/15、契约/迁移3/3、P019 E2E 2/2、MySQL迁移演练empty2/upgrade2/restore2/product22/cleanupPASS；head 66a2511完整pnpm verify 17/17、API 172/172、P0 E2E 46/46通过；失败轮次已修复OpenAPI冻结、workbook hash与当前任务指针。</x:v>
      </x:c>
      <x:c r="K20" s="17" t="str">
        <x:v>LOCAL_WINDOWS_DOCKER_MYSQL_CHROMIUM</x:v>
      </x:c>
      <x:c r="L20" s="17" t="str">
        <x:v>Node 22.23.1 / MySQL 8 / Chromium</x:v>
      </x:c>
      <x:c r="M20" s="17" t="n">
        <x:v>46246.131157407406</x:v>
      </x:c>
      <x:c r="N20" s="17" t="str">
        <x:v>66a251160cf5229550c35dbd14f3e8a0660cd753</x:v>
      </x:c>
      <x:c r="O20" s="17" t="str"/>
      <x:c r="P20" s="17" t="str">
        <x:v>apps/api/test/supertest/tiered-price-change-api.test.mjs|tests/contracts/m2-p019-tiered-price-change.contract.test.mjs|tests/migrations/m2-p019-tiered-price-change-migration.contract.test.mjs|tests/e2e/p0/p0-019-tiered-price-change.spec.ts|docs/contracts/m2/M2-P019-tiered-price-change.md|packages/contracts/openapi.json|artifacts/test-results/verification/pnpm-verify.json</x:v>
      </x:c>
      <x:c r="Q20" s="17" t="str">
        <x:v>CODEX</x:v>
      </x:c>
      <x:c r="R20" s="17" t="str">
        <x:v>FRESH_LOCAL_FULL_VERIFY</x:v>
      </x:c>
      <x:c r="S20" s="17" t="str">
        <x:v>staging/device/production未执行；Draft PR、精确head CI和人工合并待执行</x:v>
      </x:c>
      <x:c r="T20" s="17" t="str">
        <x:v>YES</x:v>
      </x:c>
      <x:c r="U20" s="17" t="str">
        <x:v>实现提交739b0b0、加固提交007f065与完整验证head 66a2511已形成；CI完成前保持IN_PROGRESS</x:v>
      </x:c>
    </x:row>
    <x:row r="21" ht="23" customHeight="1">
      <x:c r="A21" s="17" t="str">
        <x:v>EVD-020</x:v>
      </x:c>
      <x:c r="B21" s="17" t="str">
        <x:v>P0-020</x:v>
      </x:c>
      <x:c r="C21" s="17" t="str">
        <x:v>M3</x:v>
      </x:c>
      <x:c r="D21" s="17" t="str">
        <x:v>M3-P020</x:v>
      </x:c>
      <x:c r="E21" s="17" t="str">
        <x:v>AUTOMATED_AND_MANUAL_AS_REQUIRED</x:v>
      </x:c>
      <x:c r="F21" s="17" t="str">
        <x:v>CI_PASS</x:v>
      </x:c>
      <x:c r="G21" s="17" t="str">
        <x:v>NOT_EXECUTED</x:v>
      </x:c>
      <x:c r="H21" s="17" t="str">
        <x:v>在对应切片先登记失败测试ID，再记录focused tests与pnpm verify；真机/预发布按要求执行</x:v>
      </x:c>
      <x:c r="I21" s="17" t="str">
        <x:v>搜索、分类、活动、福利卡、配送区域和个人订单入口完整；不混入企业采购入口。</x:v>
      </x:c>
      <x:c r="J21" s="17" t="str"/>
      <x:c r="K21" s="17" t="str"/>
      <x:c r="L21" s="17" t="str"/>
      <x:c r="M21" s="17" t="str"/>
      <x:c r="N21" s="17" t="str"/>
      <x:c r="O21" s="17" t="str"/>
      <x:c r="P21" s="17" t="str"/>
      <x:c r="Q21" s="17" t="str"/>
      <x:c r="R21" s="17" t="str">
        <x:v>NO_EVIDENCE_YET</x:v>
      </x:c>
      <x:c r="S21" s="17" t="str"/>
      <x:c r="T21" s="17" t="str">
        <x:v>YES</x:v>
      </x:c>
      <x:c r="U21" s="17" t="str">
        <x:v>不得以旧输出、字符串搜索、页面资产或模型自述替代</x:v>
      </x:c>
    </x:row>
    <x:row r="22" ht="23" customHeight="1">
      <x:c r="A22" s="17" t="str">
        <x:v>EVD-021</x:v>
      </x:c>
      <x:c r="B22" s="17" t="str">
        <x:v>P0-021</x:v>
      </x:c>
      <x:c r="C22" s="17" t="str">
        <x:v>M2</x:v>
      </x:c>
      <x:c r="D22" s="17" t="str">
        <x:v>M2-P021</x:v>
      </x:c>
      <x:c r="E22" s="17" t="str">
        <x:v>AUTOMATED_AND_MANUAL_AS_REQUIRED</x:v>
      </x:c>
      <x:c r="F22" s="17" t="str">
        <x:v>CI_PASS</x:v>
      </x:c>
      <x:c r="G22" s="17" t="str">
        <x:v>NOT_EXECUTED</x:v>
      </x:c>
      <x:c r="H22" s="17" t="str">
        <x:v>在对应切片先登记失败测试ID，再记录focused tests与pnpm verify；真机/预发布按要求执行</x:v>
      </x:c>
      <x:c r="I22" s="17" t="str">
        <x:v>个人详情只展示平台零售价，企业详情只展示集采销售价；页面、源码、接口响应、缓存和埋点均不包含供应价、供应价快照或内部毛利。</x:v>
      </x:c>
      <x:c r="J22" s="17" t="str"/>
      <x:c r="K22" s="17" t="str"/>
      <x:c r="L22" s="17" t="str"/>
      <x:c r="M22" s="17" t="str"/>
      <x:c r="N22" s="17" t="str"/>
      <x:c r="O22" s="17" t="str"/>
      <x:c r="P22" s="17" t="str"/>
      <x:c r="Q22" s="17" t="str"/>
      <x:c r="R22" s="17" t="str">
        <x:v>NO_EVIDENCE_YET</x:v>
      </x:c>
      <x:c r="S22" s="17" t="str"/>
      <x:c r="T22" s="17" t="str">
        <x:v>YES</x:v>
      </x:c>
      <x:c r="U22" s="17" t="str">
        <x:v>不得以旧输出、字符串搜索、页面资产或模型自述替代</x:v>
      </x:c>
    </x:row>
    <x:row r="23" ht="23" customHeight="1">
      <x:c r="A23" s="17" t="str">
        <x:v>EVD-022</x:v>
      </x:c>
      <x:c r="B23" s="17" t="str">
        <x:v>P0-022</x:v>
      </x:c>
      <x:c r="C23" s="17" t="str">
        <x:v>M3</x:v>
      </x:c>
      <x:c r="D23" s="17" t="str">
        <x:v>M3-P022</x:v>
      </x:c>
      <x:c r="E23" s="17" t="str">
        <x:v>AUTOMATED_AND_MANUAL_AS_REQUIRED</x:v>
      </x:c>
      <x:c r="F23" s="17" t="str">
        <x:v>CI_PASS</x:v>
      </x:c>
      <x:c r="G23" s="17" t="str">
        <x:v>NOT_EXECUTED</x:v>
      </x:c>
      <x:c r="H23" s="17" t="str">
        <x:v>在对应切片先登记失败测试ID，再记录focused tests与pnpm verify；真机/预发布按要求执行</x:v>
      </x:c>
      <x:c r="I23" s="17" t="str">
        <x:v>个人零售和企业采购均允许一次选择至少三个供应商商品，向公司提交一个主订单并完成一次结账；平台按 supplierId 准确生成各供应商履约子单。</x:v>
      </x:c>
      <x:c r="J23" s="17" t="str"/>
      <x:c r="K23" s="17" t="str"/>
      <x:c r="L23" s="17" t="str"/>
      <x:c r="M23" s="17" t="str"/>
      <x:c r="N23" s="17" t="str"/>
      <x:c r="O23" s="17" t="str"/>
      <x:c r="P23" s="17" t="str"/>
      <x:c r="Q23" s="17" t="str"/>
      <x:c r="R23" s="17" t="str">
        <x:v>NO_EVIDENCE_YET</x:v>
      </x:c>
      <x:c r="S23" s="17" t="str"/>
      <x:c r="T23" s="17" t="str">
        <x:v>YES</x:v>
      </x:c>
      <x:c r="U23" s="17" t="str">
        <x:v>不得以旧输出、字符串搜索、页面资产或模型自述替代</x:v>
      </x:c>
    </x:row>
    <x:row r="24" ht="23" customHeight="1">
      <x:c r="A24" s="17" t="str">
        <x:v>EVD-023</x:v>
      </x:c>
      <x:c r="B24" s="17" t="str">
        <x:v>P0-023</x:v>
      </x:c>
      <x:c r="C24" s="17" t="str">
        <x:v>M3</x:v>
      </x:c>
      <x:c r="D24" s="17" t="str">
        <x:v>M3-P023</x:v>
      </x:c>
      <x:c r="E24" s="17" t="str">
        <x:v>AUTOMATED_AND_MANUAL_AS_REQUIRED</x:v>
      </x:c>
      <x:c r="F24" s="17" t="str">
        <x:v>CI_PASS</x:v>
      </x:c>
      <x:c r="G24" s="17" t="str">
        <x:v>NOT_EXECUTED</x:v>
      </x:c>
      <x:c r="H24" s="17" t="str">
        <x:v>在对应切片先登记失败测试ID，再记录focused tests与pnpm verify；真机/预发布按要求执行</x:v>
      </x:c>
      <x:c r="I24" s="17" t="str">
        <x:v>提交订单预扣库存，支付取消、失败或超时时库存与福利卡冻结均准确释放。</x:v>
      </x:c>
      <x:c r="J24" s="17" t="str"/>
      <x:c r="K24" s="17" t="str"/>
      <x:c r="L24" s="17" t="str"/>
      <x:c r="M24" s="17" t="str"/>
      <x:c r="N24" s="17" t="str"/>
      <x:c r="O24" s="17" t="str"/>
      <x:c r="P24" s="17" t="str"/>
      <x:c r="Q24" s="17" t="str"/>
      <x:c r="R24" s="17" t="str">
        <x:v>NO_EVIDENCE_YET</x:v>
      </x:c>
      <x:c r="S24" s="17" t="str"/>
      <x:c r="T24" s="17" t="str">
        <x:v>YES</x:v>
      </x:c>
      <x:c r="U24" s="17" t="str">
        <x:v>不得以旧输出、字符串搜索、页面资产或模型自述替代</x:v>
      </x:c>
    </x:row>
    <x:row r="25" ht="23" customHeight="1">
      <x:c r="A25" s="17" t="str">
        <x:v>EVD-024</x:v>
      </x:c>
      <x:c r="B25" s="17" t="str">
        <x:v>P0-024</x:v>
      </x:c>
      <x:c r="C25" s="17" t="str">
        <x:v>M3</x:v>
      </x:c>
      <x:c r="D25" s="17" t="str">
        <x:v>M3-P024</x:v>
      </x:c>
      <x:c r="E25" s="17" t="str">
        <x:v>AUTOMATED_AND_MANUAL_AS_REQUIRED</x:v>
      </x:c>
      <x:c r="F25" s="17" t="str">
        <x:v>STAGING_PASS</x:v>
      </x:c>
      <x:c r="G25" s="17" t="str">
        <x:v>NOT_EXECUTED</x:v>
      </x:c>
      <x:c r="H25" s="17" t="str">
        <x:v>在对应切片先登记失败测试ID，再记录focused tests与pnpm verify；真机/预发布按要求执行</x:v>
      </x:c>
      <x:c r="I25" s="17" t="str">
        <x:v>重复微信支付回调不重复扣福利卡、微信支付金额或共用库存，不重复生成个人跑腿任务、企业配送单或改变订单金额。</x:v>
      </x:c>
      <x:c r="J25" s="17" t="str"/>
      <x:c r="K25" s="17" t="str"/>
      <x:c r="L25" s="17" t="str"/>
      <x:c r="M25" s="17" t="str"/>
      <x:c r="N25" s="17" t="str"/>
      <x:c r="O25" s="17" t="str"/>
      <x:c r="P25" s="17" t="str"/>
      <x:c r="Q25" s="17" t="str"/>
      <x:c r="R25" s="17" t="str">
        <x:v>NO_EVIDENCE_YET</x:v>
      </x:c>
      <x:c r="S25" s="17" t="str"/>
      <x:c r="T25" s="17" t="str">
        <x:v>YES</x:v>
      </x:c>
      <x:c r="U25" s="17" t="str">
        <x:v>不得以旧输出、字符串搜索、页面资产或模型自述替代</x:v>
      </x:c>
    </x:row>
    <x:row r="26" ht="23" customHeight="1">
      <x:c r="A26" s="17" t="str">
        <x:v>EVD-025</x:v>
      </x:c>
      <x:c r="B26" s="17" t="str">
        <x:v>P0-025</x:v>
      </x:c>
      <x:c r="C26" s="17" t="str">
        <x:v>M3</x:v>
      </x:c>
      <x:c r="D26" s="17" t="str">
        <x:v>M3-P025</x:v>
      </x:c>
      <x:c r="E26" s="17" t="str">
        <x:v>AUTOMATED_AND_MANUAL_AS_REQUIRED</x:v>
      </x:c>
      <x:c r="F26" s="17" t="str">
        <x:v>CI_PASS</x:v>
      </x:c>
      <x:c r="G26" s="17" t="str">
        <x:v>NOT_EXECUTED</x:v>
      </x:c>
      <x:c r="H26" s="17" t="str">
        <x:v>在对应切片先登记失败测试ID，再记录focused tests与pnpm verify；真机/预发布按要求执行</x:v>
      </x:c>
      <x:c r="I26" s="17" t="str">
        <x:v>个人和企业跨供应商主订单均只向公司结账；福利卡由公司统一发行记账，P0 在线现金付款只进入公司微信支付商户号，供应商不接触客户资金或分别收款，支付宝等其他通道请求被拒绝。</x:v>
      </x:c>
      <x:c r="J26" s="17" t="str"/>
      <x:c r="K26" s="17" t="str"/>
      <x:c r="L26" s="17" t="str"/>
      <x:c r="M26" s="17" t="str"/>
      <x:c r="N26" s="17" t="str"/>
      <x:c r="O26" s="17" t="str"/>
      <x:c r="P26" s="17" t="str"/>
      <x:c r="Q26" s="17" t="str"/>
      <x:c r="R26" s="17" t="str">
        <x:v>NO_EVIDENCE_YET</x:v>
      </x:c>
      <x:c r="S26" s="17" t="str"/>
      <x:c r="T26" s="17" t="str">
        <x:v>YES</x:v>
      </x:c>
      <x:c r="U26" s="17" t="str">
        <x:v>不得以旧输出、字符串搜索、页面资产或模型自述替代</x:v>
      </x:c>
    </x:row>
    <x:row r="27" ht="23" customHeight="1">
      <x:c r="A27" s="17" t="str">
        <x:v>EVD-026</x:v>
      </x:c>
      <x:c r="B27" s="17" t="str">
        <x:v>P0-026</x:v>
      </x:c>
      <x:c r="C27" s="17" t="str">
        <x:v>M3</x:v>
      </x:c>
      <x:c r="D27" s="17" t="str">
        <x:v>M3-P026</x:v>
      </x:c>
      <x:c r="E27" s="17" t="str">
        <x:v>AUTOMATED_AND_MANUAL_AS_REQUIRED</x:v>
      </x:c>
      <x:c r="F27" s="17" t="str">
        <x:v>STAGING_PASS</x:v>
      </x:c>
      <x:c r="G27" s="17" t="str">
        <x:v>NOT_EXECUTED</x:v>
      </x:c>
      <x:c r="H27" s="17" t="str">
        <x:v>在对应切片先登记失败测试ID，再记录focused tests与pnpm verify；真机/预发布按要求执行</x:v>
      </x:c>
      <x:c r="I27" s="17" t="str">
        <x:v>公司发起退款，福利卡部分退原账户、微信支付部分退原微信支付交易，并生成资金、库存和对账影响记录。</x:v>
      </x:c>
      <x:c r="J27" s="17" t="str"/>
      <x:c r="K27" s="17" t="str"/>
      <x:c r="L27" s="17" t="str"/>
      <x:c r="M27" s="17" t="str"/>
      <x:c r="N27" s="17" t="str"/>
      <x:c r="O27" s="17" t="str"/>
      <x:c r="P27" s="17" t="str"/>
      <x:c r="Q27" s="17" t="str"/>
      <x:c r="R27" s="17" t="str">
        <x:v>NO_EVIDENCE_YET</x:v>
      </x:c>
      <x:c r="S27" s="17" t="str"/>
      <x:c r="T27" s="17" t="str">
        <x:v>YES</x:v>
      </x:c>
      <x:c r="U27" s="17" t="str">
        <x:v>不得以旧输出、字符串搜索、页面资产或模型自述替代</x:v>
      </x:c>
    </x:row>
    <x:row r="28" ht="23" customHeight="1">
      <x:c r="A28" s="17" t="str">
        <x:v>EVD-027</x:v>
      </x:c>
      <x:c r="B28" s="17" t="str">
        <x:v>P0-027</x:v>
      </x:c>
      <x:c r="C28" s="17" t="str">
        <x:v>M3</x:v>
      </x:c>
      <x:c r="D28" s="17" t="str">
        <x:v>M3-P027</x:v>
      </x:c>
      <x:c r="E28" s="17" t="str">
        <x:v>AUTOMATED_AND_MANUAL_AS_REQUIRED</x:v>
      </x:c>
      <x:c r="F28" s="17" t="str">
        <x:v>CI_PASS</x:v>
      </x:c>
      <x:c r="G28" s="17" t="str">
        <x:v>NOT_EXECUTED</x:v>
      </x:c>
      <x:c r="H28" s="17" t="str">
        <x:v>在对应切片先登记失败测试ID，再记录focused tests与pnpm verify；真机/预发布按要求执行</x:v>
      </x:c>
      <x:c r="I28" s="17" t="str">
        <x:v>公司介绍、供应链能力、案例、供应商合作、新闻和联系页面完整并支持 SEO。</x:v>
      </x:c>
      <x:c r="J28" s="17" t="str"/>
      <x:c r="K28" s="17" t="str"/>
      <x:c r="L28" s="17" t="str"/>
      <x:c r="M28" s="17" t="str"/>
      <x:c r="N28" s="17" t="str"/>
      <x:c r="O28" s="17" t="str"/>
      <x:c r="P28" s="17" t="str"/>
      <x:c r="Q28" s="17" t="str"/>
      <x:c r="R28" s="17" t="str">
        <x:v>NO_EVIDENCE_YET</x:v>
      </x:c>
      <x:c r="S28" s="17" t="str"/>
      <x:c r="T28" s="17" t="str">
        <x:v>YES</x:v>
      </x:c>
      <x:c r="U28" s="17" t="str">
        <x:v>不得以旧输出、字符串搜索、页面资产或模型自述替代</x:v>
      </x:c>
    </x:row>
    <x:row r="29" ht="23" customHeight="1">
      <x:c r="A29" s="17" t="str">
        <x:v>EVD-028</x:v>
      </x:c>
      <x:c r="B29" s="17" t="str">
        <x:v>P0-028</x:v>
      </x:c>
      <x:c r="C29" s="17" t="str">
        <x:v>M3</x:v>
      </x:c>
      <x:c r="D29" s="17" t="str">
        <x:v>M3-P028</x:v>
      </x:c>
      <x:c r="E29" s="17" t="str">
        <x:v>AUTOMATED_AND_MANUAL_AS_REQUIRED</x:v>
      </x:c>
      <x:c r="F29" s="17" t="str">
        <x:v>CI_PASS</x:v>
      </x:c>
      <x:c r="G29" s="17" t="str">
        <x:v>NOT_EXECUTED</x:v>
      </x:c>
      <x:c r="H29" s="17" t="str">
        <x:v>在对应切片先登记失败测试ID，再记录focused tests与pnpm verify；真机/预发布按要求执行</x:v>
      </x:c>
      <x:c r="I29" s="17" t="str">
        <x:v>正常企业可从门户“社区集采”入口注册，提交营业执照、联系人、开票和收货资料，并完成审核补正和认证。</x:v>
      </x:c>
      <x:c r="J29" s="17" t="str"/>
      <x:c r="K29" s="17" t="str"/>
      <x:c r="L29" s="17" t="str"/>
      <x:c r="M29" s="17" t="str"/>
      <x:c r="N29" s="17" t="str"/>
      <x:c r="O29" s="17" t="str"/>
      <x:c r="P29" s="17" t="str"/>
      <x:c r="Q29" s="17" t="str"/>
      <x:c r="R29" s="17" t="str">
        <x:v>NO_EVIDENCE_YET</x:v>
      </x:c>
      <x:c r="S29" s="17" t="str"/>
      <x:c r="T29" s="17" t="str">
        <x:v>YES</x:v>
      </x:c>
      <x:c r="U29" s="17" t="str">
        <x:v>不得以旧输出、字符串搜索、页面资产或模型自述替代</x:v>
      </x:c>
    </x:row>
    <x:row r="30" ht="23" customHeight="1">
      <x:c r="A30" s="17" t="str">
        <x:v>EVD-029</x:v>
      </x:c>
      <x:c r="B30" s="17" t="str">
        <x:v>P0-029</x:v>
      </x:c>
      <x:c r="C30" s="17" t="str">
        <x:v>M3</x:v>
      </x:c>
      <x:c r="D30" s="17" t="str">
        <x:v>M3-P029</x:v>
      </x:c>
      <x:c r="E30" s="17" t="str">
        <x:v>AUTOMATED_AND_MANUAL_AS_REQUIRED</x:v>
      </x:c>
      <x:c r="F30" s="17" t="str">
        <x:v>CI_PASS</x:v>
      </x:c>
      <x:c r="G30" s="17" t="str">
        <x:v>NOT_EXECUTED</x:v>
      </x:c>
      <x:c r="H30" s="17" t="str">
        <x:v>在对应切片先登记失败测试ID，再记录focused tests与pnpm verify；真机/预发布按要求执行</x:v>
      </x:c>
      <x:c r="I30" s="17" t="str">
        <x:v>认证企业可跨供应商选择带集采标识的共用商品，提交一个企业主订单并完成付款、统一配送、收货、售后和发票。</x:v>
      </x:c>
      <x:c r="J30" s="17" t="str"/>
      <x:c r="K30" s="17" t="str"/>
      <x:c r="L30" s="17" t="str"/>
      <x:c r="M30" s="17" t="str"/>
      <x:c r="N30" s="17" t="str"/>
      <x:c r="O30" s="17" t="str"/>
      <x:c r="P30" s="17" t="str"/>
      <x:c r="Q30" s="17" t="str"/>
      <x:c r="R30" s="17" t="str">
        <x:v>NO_EVIDENCE_YET</x:v>
      </x:c>
      <x:c r="S30" s="17" t="str"/>
      <x:c r="T30" s="17" t="str">
        <x:v>YES</x:v>
      </x:c>
      <x:c r="U30" s="17" t="str">
        <x:v>不得以旧输出、字符串搜索、页面资产或模型自述替代</x:v>
      </x:c>
    </x:row>
    <x:row r="31" ht="23" customHeight="1">
      <x:c r="A31" s="17" t="str">
        <x:v>EVD-030</x:v>
      </x:c>
      <x:c r="B31" s="17" t="str">
        <x:v>P0-030</x:v>
      </x:c>
      <x:c r="C31" s="17" t="str">
        <x:v>M3</x:v>
      </x:c>
      <x:c r="D31" s="17" t="str">
        <x:v>M3-P030</x:v>
      </x:c>
      <x:c r="E31" s="17" t="str">
        <x:v>AUTOMATED_AND_MANUAL_AS_REQUIRED</x:v>
      </x:c>
      <x:c r="F31" s="17" t="str">
        <x:v>CI_PASS</x:v>
      </x:c>
      <x:c r="G31" s="17" t="str">
        <x:v>NOT_EXECUTED</x:v>
      </x:c>
      <x:c r="H31" s="17" t="str">
        <x:v>在对应切片先登记失败测试ID，再记录focused tests与pnpm verify；真机/预发布按要求执行</x:v>
      </x:c>
      <x:c r="I31" s="17" t="str">
        <x:v>“社区集采”不依赖指定社区、活动时间、成团门槛或团长；平台不实现企业内部 OA、预算和采购审批。</x:v>
      </x:c>
      <x:c r="J31" s="17" t="str"/>
      <x:c r="K31" s="17" t="str"/>
      <x:c r="L31" s="17" t="str"/>
      <x:c r="M31" s="17" t="str"/>
      <x:c r="N31" s="17" t="str"/>
      <x:c r="O31" s="17" t="str"/>
      <x:c r="P31" s="17" t="str"/>
      <x:c r="Q31" s="17" t="str"/>
      <x:c r="R31" s="17" t="str">
        <x:v>NO_EVIDENCE_YET</x:v>
      </x:c>
      <x:c r="S31" s="17" t="str"/>
      <x:c r="T31" s="17" t="str">
        <x:v>YES</x:v>
      </x:c>
      <x:c r="U31" s="17" t="str">
        <x:v>不得以旧输出、字符串搜索、页面资产或模型自述替代</x:v>
      </x:c>
    </x:row>
    <x:row r="32" ht="23" customHeight="1">
      <x:c r="A32" s="17" t="str">
        <x:v>EVD-031</x:v>
      </x:c>
      <x:c r="B32" s="17" t="str">
        <x:v>P0-031</x:v>
      </x:c>
      <x:c r="C32" s="17" t="str">
        <x:v>M3</x:v>
      </x:c>
      <x:c r="D32" s="17" t="str">
        <x:v>M3-P031</x:v>
      </x:c>
      <x:c r="E32" s="17" t="str">
        <x:v>AUTOMATED_AND_MANUAL_AS_REQUIRED</x:v>
      </x:c>
      <x:c r="F32" s="17" t="str">
        <x:v>CI_PASS</x:v>
      </x:c>
      <x:c r="G32" s="17" t="str">
        <x:v>NOT_EXECUTED</x:v>
      </x:c>
      <x:c r="H32" s="17" t="str">
        <x:v>在对应切片先登记失败测试ID，再记录focused tests与pnpm verify；真机/预发布按要求执行</x:v>
      </x:c>
      <x:c r="I32" s="17" t="str">
        <x:v>个人和企业主订单均按 supplierId 生成 SupplierFulfillmentSubOrder；各供应商只能确认、报缺、备货和移交自己的商品，不得看到其他供应商子单。</x:v>
      </x:c>
      <x:c r="J32" s="17" t="str"/>
      <x:c r="K32" s="17" t="str"/>
      <x:c r="L32" s="17" t="str"/>
      <x:c r="M32" s="17" t="str"/>
      <x:c r="N32" s="17" t="str"/>
      <x:c r="O32" s="17" t="str"/>
      <x:c r="P32" s="17" t="str"/>
      <x:c r="Q32" s="17" t="str"/>
      <x:c r="R32" s="17" t="str">
        <x:v>NO_EVIDENCE_YET</x:v>
      </x:c>
      <x:c r="S32" s="17" t="str"/>
      <x:c r="T32" s="17" t="str">
        <x:v>YES</x:v>
      </x:c>
      <x:c r="U32" s="17" t="str">
        <x:v>不得以旧输出、字符串搜索、页面资产或模型自述替代</x:v>
      </x:c>
    </x:row>
    <x:row r="33" ht="23" customHeight="1">
      <x:c r="A33" s="17" t="str">
        <x:v>EVD-032</x:v>
      </x:c>
      <x:c r="B33" s="17" t="str">
        <x:v>P0-032</x:v>
      </x:c>
      <x:c r="C33" s="17" t="str">
        <x:v>M4</x:v>
      </x:c>
      <x:c r="D33" s="17" t="str">
        <x:v>M4-P032</x:v>
      </x:c>
      <x:c r="E33" s="17" t="str">
        <x:v>AUTOMATED_AND_MANUAL_AS_REQUIRED</x:v>
      </x:c>
      <x:c r="F33" s="17" t="str">
        <x:v>CI_PASS</x:v>
      </x:c>
      <x:c r="G33" s="17" t="str">
        <x:v>NOT_EXECUTED</x:v>
      </x:c>
      <x:c r="H33" s="17" t="str">
        <x:v>在对应切片先登记失败测试ID，再记录focused tests与pnpm verify；真机/预发布按要求执行</x:v>
      </x:c>
      <x:c r="I33" s="17" t="str">
        <x:v>每个个人供应商履约子单幂等生成一个 DeliveryTask，对已启用跑腿员可见并可乐观锁抢单；同一个人主订单可形成多个任务，企业采购子单始终不可见。</x:v>
      </x:c>
      <x:c r="J33" s="17" t="str"/>
      <x:c r="K33" s="17" t="str"/>
      <x:c r="L33" s="17" t="str"/>
      <x:c r="M33" s="17" t="str"/>
      <x:c r="N33" s="17" t="str"/>
      <x:c r="O33" s="17" t="str"/>
      <x:c r="P33" s="17" t="str"/>
      <x:c r="Q33" s="17" t="str"/>
      <x:c r="R33" s="17" t="str">
        <x:v>NO_EVIDENCE_YET</x:v>
      </x:c>
      <x:c r="S33" s="17" t="str"/>
      <x:c r="T33" s="17" t="str">
        <x:v>YES</x:v>
      </x:c>
      <x:c r="U33" s="17" t="str">
        <x:v>不得以旧输出、字符串搜索、页面资产或模型自述替代</x:v>
      </x:c>
    </x:row>
    <x:row r="34" ht="23" customHeight="1">
      <x:c r="A34" s="17" t="str">
        <x:v>EVD-033</x:v>
      </x:c>
      <x:c r="B34" s="17" t="str">
        <x:v>P0-033</x:v>
      </x:c>
      <x:c r="C34" s="17" t="str">
        <x:v>M4</x:v>
      </x:c>
      <x:c r="D34" s="17" t="str">
        <x:v>M4-P033</x:v>
      </x:c>
      <x:c r="E34" s="17" t="str">
        <x:v>AUTOMATED_AND_MANUAL_AS_REQUIRED</x:v>
      </x:c>
      <x:c r="F34" s="17" t="str">
        <x:v>CI_PASS</x:v>
      </x:c>
      <x:c r="G34" s="17" t="str">
        <x:v>NOT_EXECUTED</x:v>
      </x:c>
      <x:c r="H34" s="17" t="str">
        <x:v>在对应切片先登记失败测试ID，再记录focused tests与pnpm verify；真机/预发布按要求执行</x:v>
      </x:c>
      <x:c r="I34" s="17" t="str">
        <x:v>跑腿员按顺序点击到店、取货、配送、到达和送达，不能越级。</x:v>
      </x:c>
      <x:c r="J34" s="17" t="str"/>
      <x:c r="K34" s="17" t="str"/>
      <x:c r="L34" s="17" t="str"/>
      <x:c r="M34" s="17" t="str"/>
      <x:c r="N34" s="17" t="str"/>
      <x:c r="O34" s="17" t="str"/>
      <x:c r="P34" s="17" t="str"/>
      <x:c r="Q34" s="17" t="str"/>
      <x:c r="R34" s="17" t="str">
        <x:v>NO_EVIDENCE_YET</x:v>
      </x:c>
      <x:c r="S34" s="17" t="str"/>
      <x:c r="T34" s="17" t="str">
        <x:v>YES</x:v>
      </x:c>
      <x:c r="U34" s="17" t="str">
        <x:v>不得以旧输出、字符串搜索、页面资产或模型自述替代</x:v>
      </x:c>
    </x:row>
    <x:row r="35" ht="23" customHeight="1">
      <x:c r="A35" s="17" t="str">
        <x:v>EVD-034</x:v>
      </x:c>
      <x:c r="B35" s="17" t="str">
        <x:v>P0-034</x:v>
      </x:c>
      <x:c r="C35" s="17" t="str">
        <x:v>M4</x:v>
      </x:c>
      <x:c r="D35" s="17" t="str">
        <x:v>M4-P034</x:v>
      </x:c>
      <x:c r="E35" s="17" t="str">
        <x:v>AUTOMATED_AND_MANUAL_AS_REQUIRED</x:v>
      </x:c>
      <x:c r="F35" s="17" t="str">
        <x:v>CI_PASS</x:v>
      </x:c>
      <x:c r="G35" s="17" t="str">
        <x:v>NOT_EXECUTED</x:v>
      </x:c>
      <x:c r="H35" s="17" t="str">
        <x:v>在对应切片先登记失败测试ID，再记录focused tests与pnpm verify；真机/预发布按要求执行</x:v>
      </x:c>
      <x:c r="I35" s="17" t="str">
        <x:v>个人任务必须同时提供供应商取货点和用户收货目的地；取货完成前拉起本人手机地图导航到取货点，取货完成后导航到目的地。两个地点导航失败均可复制完整地址，地图不回写业务状态。</x:v>
      </x:c>
      <x:c r="J35" s="17" t="str"/>
      <x:c r="K35" s="17" t="str"/>
      <x:c r="L35" s="17" t="str"/>
      <x:c r="M35" s="17" t="str"/>
      <x:c r="N35" s="17" t="str"/>
      <x:c r="O35" s="17" t="str"/>
      <x:c r="P35" s="17" t="str"/>
      <x:c r="Q35" s="17" t="str"/>
      <x:c r="R35" s="17" t="str">
        <x:v>NO_EVIDENCE_YET</x:v>
      </x:c>
      <x:c r="S35" s="17" t="str"/>
      <x:c r="T35" s="17" t="str">
        <x:v>YES</x:v>
      </x:c>
      <x:c r="U35" s="17" t="str">
        <x:v>不得以旧输出、字符串搜索、页面资产或模型自述替代</x:v>
      </x:c>
    </x:row>
    <x:row r="36" ht="23" customHeight="1">
      <x:c r="A36" s="17" t="str">
        <x:v>EVD-035</x:v>
      </x:c>
      <x:c r="B36" s="17" t="str">
        <x:v>P0-035</x:v>
      </x:c>
      <x:c r="C36" s="17" t="str">
        <x:v>M4</x:v>
      </x:c>
      <x:c r="D36" s="17" t="str">
        <x:v>M4-P035</x:v>
      </x:c>
      <x:c r="E36" s="17" t="str">
        <x:v>AUTOMATED_AND_MANUAL_AS_REQUIRED</x:v>
      </x:c>
      <x:c r="F36" s="17" t="str">
        <x:v>CI_PASS</x:v>
      </x:c>
      <x:c r="G36" s="17" t="str">
        <x:v>NOT_EXECUTED</x:v>
      </x:c>
      <x:c r="H36" s="17" t="str">
        <x:v>在对应切片先登记失败测试ID，再记录focused tests与pnpm verify；真机/预发布按要求执行</x:v>
      </x:c>
      <x:c r="I36" s="17" t="str">
        <x:v>个人跑腿无智能调度、路线优化和按地图实际距离结算逻辑。</x:v>
      </x:c>
      <x:c r="J36" s="17" t="str"/>
      <x:c r="K36" s="17" t="str"/>
      <x:c r="L36" s="17" t="str"/>
      <x:c r="M36" s="17" t="str"/>
      <x:c r="N36" s="17" t="str"/>
      <x:c r="O36" s="17" t="str"/>
      <x:c r="P36" s="17" t="str"/>
      <x:c r="Q36" s="17" t="str"/>
      <x:c r="R36" s="17" t="str">
        <x:v>NO_EVIDENCE_YET</x:v>
      </x:c>
      <x:c r="S36" s="17" t="str"/>
      <x:c r="T36" s="17" t="str">
        <x:v>YES</x:v>
      </x:c>
      <x:c r="U36" s="17" t="str">
        <x:v>不得以旧输出、字符串搜索、页面资产或模型自述替代</x:v>
      </x:c>
    </x:row>
    <x:row r="37" ht="23" customHeight="1">
      <x:c r="A37" s="17" t="str">
        <x:v>EVD-036</x:v>
      </x:c>
      <x:c r="B37" s="17" t="str">
        <x:v>P0-036</x:v>
      </x:c>
      <x:c r="C37" s="17" t="str">
        <x:v>M4</x:v>
      </x:c>
      <x:c r="D37" s="17" t="str">
        <x:v>M4-P036</x:v>
      </x:c>
      <x:c r="E37" s="17" t="str">
        <x:v>AUTOMATED_AND_MANUAL_AS_REQUIRED</x:v>
      </x:c>
      <x:c r="F37" s="17" t="str">
        <x:v>CI_PASS</x:v>
      </x:c>
      <x:c r="G37" s="17" t="str">
        <x:v>NOT_EXECUTED</x:v>
      </x:c>
      <x:c r="H37" s="17" t="str">
        <x:v>在对应切片先登记失败测试ID，再记录focused tests与pnpm verify；真机/预发布按要求执行</x:v>
      </x:c>
      <x:c r="I37" s="17" t="str">
        <x:v>个人跑腿异常和企业平台汇总/配送异常分别上报，均保留责任、数量、照片和处理结果。</x:v>
      </x:c>
      <x:c r="J37" s="17" t="str"/>
      <x:c r="K37" s="17" t="str"/>
      <x:c r="L37" s="17" t="str"/>
      <x:c r="M37" s="17" t="str"/>
      <x:c r="N37" s="17" t="str"/>
      <x:c r="O37" s="17" t="str"/>
      <x:c r="P37" s="17" t="str"/>
      <x:c r="Q37" s="17" t="str"/>
      <x:c r="R37" s="17" t="str">
        <x:v>NO_EVIDENCE_YET</x:v>
      </x:c>
      <x:c r="S37" s="17" t="str"/>
      <x:c r="T37" s="17" t="str">
        <x:v>YES</x:v>
      </x:c>
      <x:c r="U37" s="17" t="str">
        <x:v>不得以旧输出、字符串搜索、页面资产或模型自述替代</x:v>
      </x:c>
    </x:row>
    <x:row r="38" ht="23" customHeight="1">
      <x:c r="A38" s="17" t="str">
        <x:v>EVD-037</x:v>
      </x:c>
      <x:c r="B38" s="17" t="str">
        <x:v>P0-037</x:v>
      </x:c>
      <x:c r="C38" s="17" t="str">
        <x:v>M4</x:v>
      </x:c>
      <x:c r="D38" s="17" t="str">
        <x:v>M4-P037</x:v>
      </x:c>
      <x:c r="E38" s="17" t="str">
        <x:v>AUTOMATED_AND_MANUAL_AS_REQUIRED</x:v>
      </x:c>
      <x:c r="F38" s="17" t="str">
        <x:v>CI_PASS</x:v>
      </x:c>
      <x:c r="G38" s="17" t="str">
        <x:v>NOT_EXECUTED</x:v>
      </x:c>
      <x:c r="H38" s="17" t="str">
        <x:v>在对应切片先登记失败测试ID，再记录focused tests与pnpm verify；真机/预发布按要求执行</x:v>
      </x:c>
      <x:c r="I38" s="17" t="str">
        <x:v>个人用户或企业指定收货人可确认收货，不强制扫码；异常场景可要求照片或客服复核。</x:v>
      </x:c>
      <x:c r="J38" s="17" t="str"/>
      <x:c r="K38" s="17" t="str"/>
      <x:c r="L38" s="17" t="str"/>
      <x:c r="M38" s="17" t="str"/>
      <x:c r="N38" s="17" t="str"/>
      <x:c r="O38" s="17" t="str"/>
      <x:c r="P38" s="17" t="str"/>
      <x:c r="Q38" s="17" t="str"/>
      <x:c r="R38" s="17" t="str">
        <x:v>NO_EVIDENCE_YET</x:v>
      </x:c>
      <x:c r="S38" s="17" t="str"/>
      <x:c r="T38" s="17" t="str">
        <x:v>YES</x:v>
      </x:c>
      <x:c r="U38" s="17" t="str">
        <x:v>不得以旧输出、字符串搜索、页面资产或模型自述替代</x:v>
      </x:c>
    </x:row>
    <x:row r="39" ht="23" customHeight="1">
      <x:c r="A39" s="17" t="str">
        <x:v>EVD-038</x:v>
      </x:c>
      <x:c r="B39" s="17" t="str">
        <x:v>P0-038</x:v>
      </x:c>
      <x:c r="C39" s="17" t="str">
        <x:v>M5</x:v>
      </x:c>
      <x:c r="D39" s="17" t="str">
        <x:v>M5-P038</x:v>
      </x:c>
      <x:c r="E39" s="17" t="str">
        <x:v>AUTOMATED_AND_MANUAL_AS_REQUIRED</x:v>
      </x:c>
      <x:c r="F39" s="17" t="str">
        <x:v>CI_PASS</x:v>
      </x:c>
      <x:c r="G39" s="17" t="str">
        <x:v>NOT_EXECUTED</x:v>
      </x:c>
      <x:c r="H39" s="17" t="str">
        <x:v>在对应切片先登记失败测试ID，再记录focused tests与pnpm verify；真机/预发布按要求执行</x:v>
      </x:c>
      <x:c r="I39" s="17" t="str">
        <x:v>用户向公司申请售后，供应商仅提交意见和凭证。</x:v>
      </x:c>
      <x:c r="J39" s="17" t="str"/>
      <x:c r="K39" s="17" t="str"/>
      <x:c r="L39" s="17" t="str"/>
      <x:c r="M39" s="17" t="str"/>
      <x:c r="N39" s="17" t="str"/>
      <x:c r="O39" s="17" t="str"/>
      <x:c r="P39" s="17" t="str"/>
      <x:c r="Q39" s="17" t="str"/>
      <x:c r="R39" s="17" t="str">
        <x:v>NO_EVIDENCE_YET</x:v>
      </x:c>
      <x:c r="S39" s="17" t="str"/>
      <x:c r="T39" s="17" t="str">
        <x:v>YES</x:v>
      </x:c>
      <x:c r="U39" s="17" t="str">
        <x:v>不得以旧输出、字符串搜索、页面资产或模型自述替代</x:v>
      </x:c>
    </x:row>
    <x:row r="40" ht="23" customHeight="1">
      <x:c r="A40" s="17" t="str">
        <x:v>EVD-039</x:v>
      </x:c>
      <x:c r="B40" s="17" t="str">
        <x:v>P0-039</x:v>
      </x:c>
      <x:c r="C40" s="17" t="str">
        <x:v>M5</x:v>
      </x:c>
      <x:c r="D40" s="17" t="str">
        <x:v>M5-P039</x:v>
      </x:c>
      <x:c r="E40" s="17" t="str">
        <x:v>AUTOMATED_AND_MANUAL_AS_REQUIRED</x:v>
      </x:c>
      <x:c r="F40" s="17" t="str">
        <x:v>CI_PASS</x:v>
      </x:c>
      <x:c r="G40" s="17" t="str">
        <x:v>NOT_EXECUTED</x:v>
      </x:c>
      <x:c r="H40" s="17" t="str">
        <x:v>在对应切片先登记失败测试ID，再记录focused tests与pnpm verify；真机/预发布按要求执行</x:v>
      </x:c>
      <x:c r="I40" s="17" t="str">
        <x:v>用户/企业、供应商、个人跑腿、平台企业配送、公司和责任不清均有退款与对账处理规则。</x:v>
      </x:c>
      <x:c r="J40" s="17" t="str"/>
      <x:c r="K40" s="17" t="str"/>
      <x:c r="L40" s="17" t="str"/>
      <x:c r="M40" s="17" t="str"/>
      <x:c r="N40" s="17" t="str"/>
      <x:c r="O40" s="17" t="str"/>
      <x:c r="P40" s="17" t="str"/>
      <x:c r="Q40" s="17" t="str"/>
      <x:c r="R40" s="17" t="str">
        <x:v>NO_EVIDENCE_YET</x:v>
      </x:c>
      <x:c r="S40" s="17" t="str"/>
      <x:c r="T40" s="17" t="str">
        <x:v>YES</x:v>
      </x:c>
      <x:c r="U40" s="17" t="str">
        <x:v>不得以旧输出、字符串搜索、页面资产或模型自述替代</x:v>
      </x:c>
    </x:row>
    <x:row r="41" ht="23" customHeight="1">
      <x:c r="A41" s="17" t="str">
        <x:v>EVD-040</x:v>
      </x:c>
      <x:c r="B41" s="17" t="str">
        <x:v>P0-040</x:v>
      </x:c>
      <x:c r="C41" s="17" t="str">
        <x:v>M5</x:v>
      </x:c>
      <x:c r="D41" s="17" t="str">
        <x:v>M5-P040</x:v>
      </x:c>
      <x:c r="E41" s="17" t="str">
        <x:v>AUTOMATED_AND_MANUAL_AS_REQUIRED</x:v>
      </x:c>
      <x:c r="F41" s="17" t="str">
        <x:v>CI_PASS</x:v>
      </x:c>
      <x:c r="G41" s="17" t="str">
        <x:v>NOT_EXECUTED</x:v>
      </x:c>
      <x:c r="H41" s="17" t="str">
        <x:v>在对应切片先登记失败测试ID，再记录focused tests与pnpm verify；真机/预发布按要求执行</x:v>
      </x:c>
      <x:c r="I41" s="17" t="str">
        <x:v>供应商逐项查看订单、经审核生效的供应价快照、数量、退款、调整和本期应付。</x:v>
      </x:c>
      <x:c r="J41" s="17" t="str"/>
      <x:c r="K41" s="17" t="str"/>
      <x:c r="L41" s="17" t="str"/>
      <x:c r="M41" s="17" t="str"/>
      <x:c r="N41" s="17" t="str"/>
      <x:c r="O41" s="17" t="str"/>
      <x:c r="P41" s="17" t="str"/>
      <x:c r="Q41" s="17" t="str"/>
      <x:c r="R41" s="17" t="str">
        <x:v>NO_EVIDENCE_YET</x:v>
      </x:c>
      <x:c r="S41" s="17" t="str"/>
      <x:c r="T41" s="17" t="str">
        <x:v>YES</x:v>
      </x:c>
      <x:c r="U41" s="17" t="str">
        <x:v>不得以旧输出、字符串搜索、页面资产或模型自述替代</x:v>
      </x:c>
    </x:row>
    <x:row r="42" ht="23" customHeight="1">
      <x:c r="A42" s="17" t="str">
        <x:v>EVD-041</x:v>
      </x:c>
      <x:c r="B42" s="17" t="str">
        <x:v>P0-041</x:v>
      </x:c>
      <x:c r="C42" s="17" t="str">
        <x:v>M5</x:v>
      </x:c>
      <x:c r="D42" s="17" t="str">
        <x:v>M5-P041</x:v>
      </x:c>
      <x:c r="E42" s="17" t="str">
        <x:v>AUTOMATED_AND_MANUAL_AS_REQUIRED</x:v>
      </x:c>
      <x:c r="F42" s="17" t="str">
        <x:v>CI_PASS</x:v>
      </x:c>
      <x:c r="G42" s="17" t="str">
        <x:v>NOT_EXECUTED</x:v>
      </x:c>
      <x:c r="H42" s="17" t="str">
        <x:v>在对应切片先登记失败测试ID，再记录focused tests与pnpm verify；真机/预发布按要求执行</x:v>
      </x:c>
      <x:c r="I42" s="17" t="str">
        <x:v>供应商可对账单提出差异、上传凭证，公司复核过程可追溯。</x:v>
      </x:c>
      <x:c r="J42" s="17" t="str"/>
      <x:c r="K42" s="17" t="str"/>
      <x:c r="L42" s="17" t="str"/>
      <x:c r="M42" s="17" t="str"/>
      <x:c r="N42" s="17" t="str"/>
      <x:c r="O42" s="17" t="str"/>
      <x:c r="P42" s="17" t="str"/>
      <x:c r="Q42" s="17" t="str"/>
      <x:c r="R42" s="17" t="str">
        <x:v>NO_EVIDENCE_YET</x:v>
      </x:c>
      <x:c r="S42" s="17" t="str"/>
      <x:c r="T42" s="17" t="str">
        <x:v>YES</x:v>
      </x:c>
      <x:c r="U42" s="17" t="str">
        <x:v>不得以旧输出、字符串搜索、页面资产或模型自述替代</x:v>
      </x:c>
    </x:row>
    <x:row r="43" ht="23" customHeight="1">
      <x:c r="A43" s="17" t="str">
        <x:v>EVD-042</x:v>
      </x:c>
      <x:c r="B43" s="17" t="str">
        <x:v>P0-042</x:v>
      </x:c>
      <x:c r="C43" s="17" t="str">
        <x:v>M5</x:v>
      </x:c>
      <x:c r="D43" s="17" t="str">
        <x:v>M5-P042</x:v>
      </x:c>
      <x:c r="E43" s="17" t="str">
        <x:v>AUTOMATED_AND_MANUAL_AS_REQUIRED</x:v>
      </x:c>
      <x:c r="F43" s="17" t="str">
        <x:v>STAGING_PASS</x:v>
      </x:c>
      <x:c r="G43" s="17" t="str">
        <x:v>NOT_EXECUTED</x:v>
      </x:c>
      <x:c r="H43" s="17" t="str">
        <x:v>在对应切片先登记失败测试ID，再记录focused tests与pnpm verify；真机/预发布按要求执行</x:v>
      </x:c>
      <x:c r="I43" s="17" t="str">
        <x:v>系统不自动出款；公司登记线下付款金额、时间、银行流水和凭证。</x:v>
      </x:c>
      <x:c r="J43" s="17" t="str"/>
      <x:c r="K43" s="17" t="str"/>
      <x:c r="L43" s="17" t="str"/>
      <x:c r="M43" s="17" t="str"/>
      <x:c r="N43" s="17" t="str"/>
      <x:c r="O43" s="17" t="str"/>
      <x:c r="P43" s="17" t="str"/>
      <x:c r="Q43" s="17" t="str"/>
      <x:c r="R43" s="17" t="str">
        <x:v>NO_EVIDENCE_YET</x:v>
      </x:c>
      <x:c r="S43" s="17" t="str"/>
      <x:c r="T43" s="17" t="str">
        <x:v>YES</x:v>
      </x:c>
      <x:c r="U43" s="17" t="str">
        <x:v>不得以旧输出、字符串搜索、页面资产或模型自述替代</x:v>
      </x:c>
    </x:row>
    <x:row r="44" ht="23" customHeight="1">
      <x:c r="A44" s="17" t="str">
        <x:v>EVD-043</x:v>
      </x:c>
      <x:c r="B44" s="17" t="str">
        <x:v>P0-043</x:v>
      </x:c>
      <x:c r="C44" s="17" t="str">
        <x:v>M5</x:v>
      </x:c>
      <x:c r="D44" s="17" t="str">
        <x:v>M5-P043</x:v>
      </x:c>
      <x:c r="E44" s="17" t="str">
        <x:v>AUTOMATED_AND_MANUAL_AS_REQUIRED</x:v>
      </x:c>
      <x:c r="F44" s="17" t="str">
        <x:v>CI_PASS</x:v>
      </x:c>
      <x:c r="G44" s="17" t="str">
        <x:v>NOT_EXECUTED</x:v>
      </x:c>
      <x:c r="H44" s="17" t="str">
        <x:v>在对应切片先登记失败测试ID，再记录focused tests与pnpm verify；真机/预发布按要求执行</x:v>
      </x:c>
      <x:c r="I44" s="17" t="str">
        <x:v>已确认账单不允许直接修改，错误通过补充或冲正调整处理。</x:v>
      </x:c>
      <x:c r="J44" s="17" t="str"/>
      <x:c r="K44" s="17" t="str"/>
      <x:c r="L44" s="17" t="str"/>
      <x:c r="M44" s="17" t="str"/>
      <x:c r="N44" s="17" t="str"/>
      <x:c r="O44" s="17" t="str"/>
      <x:c r="P44" s="17" t="str"/>
      <x:c r="Q44" s="17" t="str"/>
      <x:c r="R44" s="17" t="str">
        <x:v>NO_EVIDENCE_YET</x:v>
      </x:c>
      <x:c r="S44" s="17" t="str"/>
      <x:c r="T44" s="17" t="str">
        <x:v>YES</x:v>
      </x:c>
      <x:c r="U44" s="17" t="str">
        <x:v>不得以旧输出、字符串搜索、页面资产或模型自述替代</x:v>
      </x:c>
    </x:row>
    <x:row r="45" ht="23" customHeight="1">
      <x:c r="A45" s="17" t="str">
        <x:v>EVD-044</x:v>
      </x:c>
      <x:c r="B45" s="17" t="str">
        <x:v>P0-044</x:v>
      </x:c>
      <x:c r="C45" s="17" t="str">
        <x:v>M5</x:v>
      </x:c>
      <x:c r="D45" s="17" t="str">
        <x:v>M5-P044</x:v>
      </x:c>
      <x:c r="E45" s="17" t="str">
        <x:v>AUTOMATED_AND_MANUAL_AS_REQUIRED</x:v>
      </x:c>
      <x:c r="F45" s="17" t="str">
        <x:v>CI_PASS</x:v>
      </x:c>
      <x:c r="G45" s="17" t="str">
        <x:v>NOT_EXECUTED</x:v>
      </x:c>
      <x:c r="H45" s="17" t="str">
        <x:v>在对应切片先登记失败测试ID，再记录focused tests与pnpm verify；真机/预发布按要求执行</x:v>
      </x:c>
      <x:c r="I45" s="17" t="str">
        <x:v>终止前完成订单、售后、对账和发票；历史记录保留。</x:v>
      </x:c>
      <x:c r="J45" s="17" t="str"/>
      <x:c r="K45" s="17" t="str"/>
      <x:c r="L45" s="17" t="str"/>
      <x:c r="M45" s="17" t="str"/>
      <x:c r="N45" s="17" t="str"/>
      <x:c r="O45" s="17" t="str"/>
      <x:c r="P45" s="17" t="str"/>
      <x:c r="Q45" s="17" t="str"/>
      <x:c r="R45" s="17" t="str">
        <x:v>NO_EVIDENCE_YET</x:v>
      </x:c>
      <x:c r="S45" s="17" t="str"/>
      <x:c r="T45" s="17" t="str">
        <x:v>YES</x:v>
      </x:c>
      <x:c r="U45" s="17" t="str">
        <x:v>不得以旧输出、字符串搜索、页面资产或模型自述替代</x:v>
      </x:c>
    </x:row>
    <x:row r="46" ht="23" customHeight="1">
      <x:c r="A46" s="17" t="str">
        <x:v>EVD-045</x:v>
      </x:c>
      <x:c r="B46" s="17" t="str">
        <x:v>P0-045</x:v>
      </x:c>
      <x:c r="C46" s="17" t="str">
        <x:v>M1</x:v>
      </x:c>
      <x:c r="D46" s="17" t="str">
        <x:v>M1-P045</x:v>
      </x:c>
      <x:c r="E46" s="17" t="str">
        <x:v>AUTOMATED_AND_MANUAL_AS_REQUIRED</x:v>
      </x:c>
      <x:c r="F46" s="17" t="str">
        <x:v>CI_PASS</x:v>
      </x:c>
      <x:c r="G46" s="17" t="str">
        <x:v>CI_PASS</x:v>
      </x:c>
      <x:c r="H46" s="17" t="str">
        <x:v>策略单测；Supertest原子回滚/越权/白名单；OpenAPI与迁移合同；Prisma真实MySQL演练；Playwright P0-045；pnpm verify</x:v>
      </x:c>
      <x:c r="I46" s="17" t="str">
        <x:v>退款、强制下架、银行账户变更和付款标记均记录操作人及前后值。</x:v>
      </x:c>
      <x:c r="J46" s="17" t="str">
        <x:v>追加式AuditLog、原子回滚、API-015/PAGE-012白名单与负例在M1-GATE回归中通过</x:v>
      </x:c>
      <x:c r="K46" s="17" t="str">
        <x:v>LOCAL_WINDOWS_DOCKER_MYSQL_CHROMIUM_AND_GITHUB_ACTIONS</x:v>
      </x:c>
      <x:c r="L46" s="17" t="str">
        <x:v>Node 22.23.1；pnpm 10.12.1；MySQL 8.4.11；Chromium；GitHub Actions</x:v>
      </x:c>
      <x:c r="M46" s="17" t="n">
        <x:v>46242.269328703704</x:v>
      </x:c>
      <x:c r="N46" s="17" t="str">
        <x:v>91c9a73f17db46d88aaad6590a7a3d39d63c786e</x:v>
      </x:c>
      <x:c r="O46" s="17" t="str">
        <x:v>https://github.com/EasyStep-lee/flt1/actions/runs/31066656197</x:v>
      </x:c>
      <x:c r="P46" s="17" t="str">
        <x:v>artifacts/verification/M1-P045/sensitive-audit.json</x:v>
      </x:c>
      <x:c r="Q46" s="17" t="str">
        <x:v>GITHUB_ACTIONS+CODEX</x:v>
      </x:c>
      <x:c r="R46" s="17" t="str">
        <x:v>EXACT_PR_HEAD_AND_POST_MERGE_MAIN_CI</x:v>
      </x:c>
      <x:c r="S46" s="17" t="str">
        <x:v>预发布/生产迁移/正式验收未执行；后续业务动作须切片复验</x:v>
      </x:c>
      <x:c r="T46" s="17" t="str">
        <x:v>YES</x:v>
      </x:c>
      <x:c r="U46" s="17" t="str">
        <x:v>PR #16合并为de6957b，main CI run 31067369336成功；M1-GATE候选main 4ff0258复验。</x:v>
      </x:c>
    </x:row>
    <x:row r="47" ht="23" customHeight="1">
      <x:c r="A47" s="17" t="str">
        <x:v>EVD-046</x:v>
      </x:c>
      <x:c r="B47" s="17" t="str">
        <x:v>P0-046</x:v>
      </x:c>
      <x:c r="C47" s="17" t="str">
        <x:v>M1</x:v>
      </x:c>
      <x:c r="D47" s="17" t="str">
        <x:v>M1-P046</x:v>
      </x:c>
      <x:c r="E47" s="17" t="str">
        <x:v>AUTOMATED_AND_MANUAL_AS_REQUIRED</x:v>
      </x:c>
      <x:c r="F47" s="17" t="str">
        <x:v>CI_PASS</x:v>
      </x:c>
      <x:c r="G47" s="17" t="str">
        <x:v>CI_PASS</x:v>
      </x:c>
      <x:c r="H47" s="17" t="str">
        <x:v>node --test策略/迁移/合同；Vitest Supertest；pnpm test:e2e:p0；pnpm prisma:migrate:dry-run；pnpm verify</x:v>
      </x:c>
      <x:c r="I47" s="17" t="str">
        <x:v>跑腿员只在个人订单履约阶段看到必要地址；供应价和供应商结算数据仅公司价格审核/财务页面及对应供应商价格/财务页面可见，其他职能页面、个人端、企业端、跑腿端和其他供应商越权请求均不返回敏感字段。</x:v>
      </x:c>
      <x:c r="J47" s="17" t="str">
        <x:v>默认拒绝、供应商/职能数据隔离、审计白名单与MySQL约束在M1-GATE回归中通过</x:v>
      </x:c>
      <x:c r="K47" s="17" t="str">
        <x:v>LOCAL_WINDOWS_DOCKER_MYSQL_CHROMIUM_AND_GITHUB_ACTIONS</x:v>
      </x:c>
      <x:c r="L47" s="17" t="str">
        <x:v>Node 22.23.1；pnpm 10.12.1；MySQL 8.4.11；Chromium；GitHub Actions</x:v>
      </x:c>
      <x:c r="M47" s="17" t="n">
        <x:v>46242.269328703704</x:v>
      </x:c>
      <x:c r="N47" s="17" t="str">
        <x:v>1dd9074e88e8b1eb16699556648edd6b16ad9a11</x:v>
      </x:c>
      <x:c r="O47" s="17" t="str">
        <x:v>https://github.com/EasyStep-lee/flt1/actions/runs/31069644893</x:v>
      </x:c>
      <x:c r="P47" s="17" t="str">
        <x:v>artifacts/verification/M1-P046/sensitive-data-isolation.json</x:v>
      </x:c>
      <x:c r="Q47" s="17" t="str">
        <x:v>GITHUB_ACTIONS+CODEX</x:v>
      </x:c>
      <x:c r="R47" s="17" t="str">
        <x:v>EXACT_PR_HEAD_AND_POST_MERGE_MAIN_CI</x:v>
      </x:c>
      <x:c r="S47" s="17" t="str">
        <x:v>预发布/生产/正式验收未执行；M4真实跑腿履约未接入</x:v>
      </x:c>
      <x:c r="T47" s="17" t="str">
        <x:v>YES</x:v>
      </x:c>
      <x:c r="U47" s="17" t="str">
        <x:v>PR #18合并为7637fe3，main CI run 31070163062成功；M1-GATE候选main 4ff0258复验。</x:v>
      </x:c>
    </x:row>
    <x:row r="48" ht="23" customHeight="1">
      <x:c r="A48" s="17" t="str">
        <x:v>EVD-047</x:v>
      </x:c>
      <x:c r="B48" s="17" t="str">
        <x:v>P0-047</x:v>
      </x:c>
      <x:c r="C48" s="17" t="str">
        <x:v>M1</x:v>
      </x:c>
      <x:c r="D48" s="17" t="str">
        <x:v>M1-P047</x:v>
      </x:c>
      <x:c r="E48" s="17" t="str">
        <x:v>AUTOMATED_AND_MANUAL_AS_REQUIRED</x:v>
      </x:c>
      <x:c r="F48" s="17" t="str">
        <x:v>CI_PASS</x:v>
      </x:c>
      <x:c r="G48" s="17" t="str">
        <x:v>CI_PASS</x:v>
      </x:c>
      <x:c r="H48" s="17" t="str">
        <x:v>node --test P047白名单注入；Vitest Supertest；pnpm test:openapi；miniapp-kit；pnpm test:e2e:p0；pnpm prisma:migrate:dry-run；pnpm verify</x:v>
      </x:c>
      <x:c r="I48" s="17" t="str">
        <x:v>各端接口有权限、请求、响应、幂等和用户可读错误码；对客响应禁止供应价、供应商应付及毛利字段。</x:v>
      </x:c>
      <x:c r="J48" s="17" t="str">
        <x:v>确定性OpenAPI、统一类型、oasdiff、miniapp-kit与响应白名单在M1-GATE回归中通过</x:v>
      </x:c>
      <x:c r="K48" s="17" t="str">
        <x:v>LOCAL_WINDOWS_DOCKER_MYSQL_CHROMIUM_AND_GITHUB_ACTIONS</x:v>
      </x:c>
      <x:c r="L48" s="17" t="str">
        <x:v>Node 22.23.1；pnpm 10.12.1；MySQL 8.4.11；Chromium；GitHub Actions</x:v>
      </x:c>
      <x:c r="M48" s="17" t="n">
        <x:v>46242.269328703704</x:v>
      </x:c>
      <x:c r="N48" s="17" t="str">
        <x:v>2a0791976a8190d7668d98f2bd808e78073582cc</x:v>
      </x:c>
      <x:c r="O48" s="17" t="str">
        <x:v>https://github.com/EasyStep-lee/flt1/actions/runs/31076242739</x:v>
      </x:c>
      <x:c r="P48" s="17" t="str">
        <x:v>artifacts/verification/M1-P047/openapi-response-whitelist.json</x:v>
      </x:c>
      <x:c r="Q48" s="17" t="str">
        <x:v>GITHUB_ACTIONS+CODEX</x:v>
      </x:c>
      <x:c r="R48" s="17" t="str">
        <x:v>EXACT_PR_HEAD_AND_POST_MERGE_MAIN_CI</x:v>
      </x:c>
      <x:c r="S48" s="17" t="str">
        <x:v>预发布/生产/正式验收未执行</x:v>
      </x:c>
      <x:c r="T48" s="17" t="str">
        <x:v>YES</x:v>
      </x:c>
      <x:c r="U48" s="17" t="str">
        <x:v>PR #20合并为9931842，main CI run 31076692902成功；M1-GATE候选main 4ff0258复验。</x:v>
      </x:c>
    </x:row>
    <x:row r="49" ht="23" customHeight="1">
      <x:c r="A49" s="17" t="str">
        <x:v>EVD-048</x:v>
      </x:c>
      <x:c r="B49" s="17" t="str">
        <x:v>P0-048</x:v>
      </x:c>
      <x:c r="C49" s="17" t="str">
        <x:v>M6</x:v>
      </x:c>
      <x:c r="D49" s="17" t="str">
        <x:v>M6-P048</x:v>
      </x:c>
      <x:c r="E49" s="17" t="str">
        <x:v>AUTOMATED_AND_MANUAL_AS_REQUIRED</x:v>
      </x:c>
      <x:c r="F49" s="17" t="str">
        <x:v>CI_PASS</x:v>
      </x:c>
      <x:c r="G49" s="17" t="str">
        <x:v>NOT_EXECUTED</x:v>
      </x:c>
      <x:c r="H49" s="17" t="str">
        <x:v>在对应切片先登记失败测试ID，再记录focused tests与pnpm verify；真机/预发布按要求执行</x:v>
      </x:c>
      <x:c r="I49" s="17" t="str">
        <x:v>Prisma validate、migration dry-run、lint、typecheck、test 和 build 全部通过。</x:v>
      </x:c>
      <x:c r="J49" s="17" t="str"/>
      <x:c r="K49" s="17" t="str"/>
      <x:c r="L49" s="17" t="str"/>
      <x:c r="M49" s="17" t="str"/>
      <x:c r="N49" s="17" t="str"/>
      <x:c r="O49" s="17" t="str"/>
      <x:c r="P49" s="17" t="str"/>
      <x:c r="Q49" s="17" t="str"/>
      <x:c r="R49" s="17" t="str">
        <x:v>NO_EVIDENCE_YET</x:v>
      </x:c>
      <x:c r="S49" s="17" t="str"/>
      <x:c r="T49" s="17" t="str">
        <x:v>YES</x:v>
      </x:c>
      <x:c r="U49" s="17" t="str">
        <x:v>不得以旧输出、字符串搜索、页面资产或模型自述替代</x:v>
      </x:c>
    </x:row>
    <x:row r="50" ht="23" customHeight="1">
      <x:c r="A50" s="17" t="str">
        <x:v>EVD-049</x:v>
      </x:c>
      <x:c r="B50" s="17" t="str">
        <x:v>P0-049</x:v>
      </x:c>
      <x:c r="C50" s="17" t="str">
        <x:v>M6</x:v>
      </x:c>
      <x:c r="D50" s="17" t="str">
        <x:v>M6-P049</x:v>
      </x:c>
      <x:c r="E50" s="17" t="str">
        <x:v>AUTOMATED_AND_MANUAL_AS_REQUIRED</x:v>
      </x:c>
      <x:c r="F50" s="17" t="str">
        <x:v>CI_PASS</x:v>
      </x:c>
      <x:c r="G50" s="17" t="str">
        <x:v>NOT_EXECUTED</x:v>
      </x:c>
      <x:c r="H50" s="17" t="str">
        <x:v>在对应切片先登记失败测试ID，再记录focused tests与pnpm verify；真机/预发布按要求执行</x:v>
      </x:c>
      <x:c r="I50" s="17" t="str">
        <x:v>用户、企业门户、供应商、公司物流工作台和跑腿端覆盖加载、空态、失败、禁用和无权限。</x:v>
      </x:c>
      <x:c r="J50" s="17" t="str"/>
      <x:c r="K50" s="17" t="str"/>
      <x:c r="L50" s="17" t="str"/>
      <x:c r="M50" s="17" t="str"/>
      <x:c r="N50" s="17" t="str"/>
      <x:c r="O50" s="17" t="str"/>
      <x:c r="P50" s="17" t="str"/>
      <x:c r="Q50" s="17" t="str"/>
      <x:c r="R50" s="17" t="str">
        <x:v>NO_EVIDENCE_YET</x:v>
      </x:c>
      <x:c r="S50" s="17" t="str"/>
      <x:c r="T50" s="17" t="str">
        <x:v>YES</x:v>
      </x:c>
      <x:c r="U50" s="17" t="str">
        <x:v>不得以旧输出、字符串搜索、页面资产或模型自述替代</x:v>
      </x:c>
    </x:row>
    <x:row r="51" ht="23" customHeight="1">
      <x:c r="A51" s="17" t="str">
        <x:v>EVD-050</x:v>
      </x:c>
      <x:c r="B51" s="17" t="str">
        <x:v>P0-050</x:v>
      </x:c>
      <x:c r="C51" s="17" t="str">
        <x:v>M6</x:v>
      </x:c>
      <x:c r="D51" s="17" t="str">
        <x:v>M6-P050</x:v>
      </x:c>
      <x:c r="E51" s="17" t="str">
        <x:v>AUTOMATED_AND_MANUAL_AS_REQUIRED</x:v>
      </x:c>
      <x:c r="F51" s="17" t="str">
        <x:v>CI_PASS</x:v>
      </x:c>
      <x:c r="G51" s="17" t="str">
        <x:v>NOT_EXECUTED</x:v>
      </x:c>
      <x:c r="H51" s="17" t="str">
        <x:v>在对应切片先登记失败测试ID，再记录focused tests与pnpm verify；真机/预发布按要求执行</x:v>
      </x:c>
      <x:c r="I51" s="17" t="str">
        <x:v>可演示个人用户跨供应商一次结账、拆分多个供应商履约子单并分别进入跑腿大厅；同时演示企业多供应商订单拆子单、平台统一配送、统一售后以及公司分别与供应商对账。</x:v>
      </x:c>
      <x:c r="J51" s="17" t="str"/>
      <x:c r="K51" s="17" t="str"/>
      <x:c r="L51" s="17" t="str"/>
      <x:c r="M51" s="17" t="str"/>
      <x:c r="N51" s="17" t="str"/>
      <x:c r="O51" s="17" t="str"/>
      <x:c r="P51" s="17" t="str"/>
      <x:c r="Q51" s="17" t="str"/>
      <x:c r="R51" s="17" t="str">
        <x:v>NO_EVIDENCE_YET</x:v>
      </x:c>
      <x:c r="S51" s="17" t="str"/>
      <x:c r="T51" s="17" t="str">
        <x:v>YES</x:v>
      </x:c>
      <x:c r="U51" s="17" t="str">
        <x:v>不得以旧输出、字符串搜索、页面资产或模型自述替代</x:v>
      </x:c>
    </x:row>
    <x:row r="52" ht="23" customHeight="1">
      <x:c r="A52" s="17" t="str">
        <x:v>EVD-051</x:v>
      </x:c>
      <x:c r="B52" s="17" t="str">
        <x:v>P0-051</x:v>
      </x:c>
      <x:c r="C52" s="17" t="str">
        <x:v>M3</x:v>
      </x:c>
      <x:c r="D52" s="17" t="str">
        <x:v>M3-P051</x:v>
      </x:c>
      <x:c r="E52" s="17" t="str">
        <x:v>AUTOMATED_AND_MANUAL_AS_REQUIRED</x:v>
      </x:c>
      <x:c r="F52" s="17" t="str">
        <x:v>CI_PASS</x:v>
      </x:c>
      <x:c r="G52" s="17" t="str">
        <x:v>NOT_EXECUTED</x:v>
      </x:c>
      <x:c r="H52" s="17" t="str">
        <x:v>在对应切片先登记失败测试ID，再记录focused tests与pnpm verify；真机/预发布按要求执行</x:v>
      </x:c>
      <x:c r="I52" s="17" t="str">
        <x:v>公司可创建企业福利计划和发行批次，配置资金来源、额度、适用范围、领取方式、协议版本和状态。</x:v>
      </x:c>
      <x:c r="J52" s="17" t="str"/>
      <x:c r="K52" s="17" t="str"/>
      <x:c r="L52" s="17" t="str"/>
      <x:c r="M52" s="17" t="str"/>
      <x:c r="N52" s="17" t="str"/>
      <x:c r="O52" s="17" t="str"/>
      <x:c r="P52" s="17" t="str"/>
      <x:c r="Q52" s="17" t="str"/>
      <x:c r="R52" s="17" t="str">
        <x:v>NO_EVIDENCE_YET</x:v>
      </x:c>
      <x:c r="S52" s="17" t="str"/>
      <x:c r="T52" s="17" t="str">
        <x:v>YES</x:v>
      </x:c>
      <x:c r="U52" s="17" t="str">
        <x:v>不得以旧输出、字符串搜索、页面资产或模型自述替代</x:v>
      </x:c>
    </x:row>
    <x:row r="53" ht="23" customHeight="1">
      <x:c r="A53" s="17" t="str">
        <x:v>EVD-052</x:v>
      </x:c>
      <x:c r="B53" s="17" t="str">
        <x:v>P0-052</x:v>
      </x:c>
      <x:c r="C53" s="17" t="str">
        <x:v>M3</x:v>
      </x:c>
      <x:c r="D53" s="17" t="str">
        <x:v>M3-P052</x:v>
      </x:c>
      <x:c r="E53" s="17" t="str">
        <x:v>AUTOMATED_AND_MANUAL_AS_REQUIRED</x:v>
      </x:c>
      <x:c r="F53" s="17" t="str">
        <x:v>CI_PASS</x:v>
      </x:c>
      <x:c r="G53" s="17" t="str">
        <x:v>NOT_EXECUTED</x:v>
      </x:c>
      <x:c r="H53" s="17" t="str">
        <x:v>在对应切片先登记失败测试ID，再记录focused tests与pnpm verify；真机/预发布按要求执行</x:v>
      </x:c>
      <x:c r="I53" s="17" t="str">
        <x:v>用户可通过卡号密码、兑换码或扫码绑定；重复兑换、作废卡、冻结卡和非本人领取均被拦截且结果幂等。</x:v>
      </x:c>
      <x:c r="J53" s="17" t="str"/>
      <x:c r="K53" s="17" t="str"/>
      <x:c r="L53" s="17" t="str"/>
      <x:c r="M53" s="17" t="str"/>
      <x:c r="N53" s="17" t="str"/>
      <x:c r="O53" s="17" t="str"/>
      <x:c r="P53" s="17" t="str"/>
      <x:c r="Q53" s="17" t="str"/>
      <x:c r="R53" s="17" t="str">
        <x:v>NO_EVIDENCE_YET</x:v>
      </x:c>
      <x:c r="S53" s="17" t="str"/>
      <x:c r="T53" s="17" t="str">
        <x:v>YES</x:v>
      </x:c>
      <x:c r="U53" s="17" t="str">
        <x:v>不得以旧输出、字符串搜索、页面资产或模型自述替代</x:v>
      </x:c>
    </x:row>
    <x:row r="54" ht="23" customHeight="1">
      <x:c r="A54" s="17" t="str">
        <x:v>EVD-053</x:v>
      </x:c>
      <x:c r="B54" s="17" t="str">
        <x:v>P0-053</x:v>
      </x:c>
      <x:c r="C54" s="17" t="str">
        <x:v>M3</x:v>
      </x:c>
      <x:c r="D54" s="17" t="str">
        <x:v>M3-P053</x:v>
      </x:c>
      <x:c r="E54" s="17" t="str">
        <x:v>AUTOMATED_AND_MANUAL_AS_REQUIRED</x:v>
      </x:c>
      <x:c r="F54" s="17" t="str">
        <x:v>CI_PASS</x:v>
      </x:c>
      <x:c r="G54" s="17" t="str">
        <x:v>NOT_EXECUTED</x:v>
      </x:c>
      <x:c r="H54" s="17" t="str">
        <x:v>在对应切片先登记失败测试ID，再记录focused tests与pnpm verify；真机/预发布按要求执行</x:v>
      </x:c>
      <x:c r="I54" s="17" t="str">
        <x:v>结算页只展示当前订单可用账户，显示余额与适用范围，并自动计算最大可抵扣金额。</x:v>
      </x:c>
      <x:c r="J54" s="17" t="str"/>
      <x:c r="K54" s="17" t="str"/>
      <x:c r="L54" s="17" t="str"/>
      <x:c r="M54" s="17" t="str"/>
      <x:c r="N54" s="17" t="str"/>
      <x:c r="O54" s="17" t="str"/>
      <x:c r="P54" s="17" t="str"/>
      <x:c r="Q54" s="17" t="str"/>
      <x:c r="R54" s="17" t="str">
        <x:v>NO_EVIDENCE_YET</x:v>
      </x:c>
      <x:c r="S54" s="17" t="str"/>
      <x:c r="T54" s="17" t="str">
        <x:v>YES</x:v>
      </x:c>
      <x:c r="U54" s="17" t="str">
        <x:v>不得以旧输出、字符串搜索、页面资产或模型自述替代</x:v>
      </x:c>
    </x:row>
    <x:row r="55" ht="23" customHeight="1">
      <x:c r="A55" s="17" t="str">
        <x:v>EVD-054</x:v>
      </x:c>
      <x:c r="B55" s="17" t="str">
        <x:v>P0-054</x:v>
      </x:c>
      <x:c r="C55" s="17" t="str">
        <x:v>M3</x:v>
      </x:c>
      <x:c r="D55" s="17" t="str">
        <x:v>M3-P054</x:v>
      </x:c>
      <x:c r="E55" s="17" t="str">
        <x:v>AUTOMATED_AND_MANUAL_AS_REQUIRED</x:v>
      </x:c>
      <x:c r="F55" s="17" t="str">
        <x:v>CI_PASS</x:v>
      </x:c>
      <x:c r="G55" s="17" t="str">
        <x:v>NOT_EXECUTED</x:v>
      </x:c>
      <x:c r="H55" s="17" t="str">
        <x:v>在对应切片先登记失败测试ID，再记录focused tests与pnpm verify；真机/预发布按要求执行</x:v>
      </x:c>
      <x:c r="I55" s="17" t="str">
        <x:v>分类/商品白名单、黑名单和配送费规则由后端统一校验，商品详情、购物车和结算页口径一致。</x:v>
      </x:c>
      <x:c r="J55" s="17" t="str"/>
      <x:c r="K55" s="17" t="str"/>
      <x:c r="L55" s="17" t="str"/>
      <x:c r="M55" s="17" t="str"/>
      <x:c r="N55" s="17" t="str"/>
      <x:c r="O55" s="17" t="str"/>
      <x:c r="P55" s="17" t="str"/>
      <x:c r="Q55" s="17" t="str"/>
      <x:c r="R55" s="17" t="str">
        <x:v>NO_EVIDENCE_YET</x:v>
      </x:c>
      <x:c r="S55" s="17" t="str"/>
      <x:c r="T55" s="17" t="str">
        <x:v>YES</x:v>
      </x:c>
      <x:c r="U55" s="17" t="str">
        <x:v>不得以旧输出、字符串搜索、页面资产或模型自述替代</x:v>
      </x:c>
    </x:row>
    <x:row r="56" ht="23" customHeight="1">
      <x:c r="A56" s="17" t="str">
        <x:v>EVD-055</x:v>
      </x:c>
      <x:c r="B56" s="17" t="str">
        <x:v>P0-055</x:v>
      </x:c>
      <x:c r="C56" s="17" t="str">
        <x:v>M3</x:v>
      </x:c>
      <x:c r="D56" s="17" t="str">
        <x:v>M3-P055</x:v>
      </x:c>
      <x:c r="E56" s="17" t="str">
        <x:v>AUTOMATED_AND_MANUAL_AS_REQUIRED</x:v>
      </x:c>
      <x:c r="F56" s="17" t="str">
        <x:v>CI_PASS</x:v>
      </x:c>
      <x:c r="G56" s="17" t="str">
        <x:v>NOT_EXECUTED</x:v>
      </x:c>
      <x:c r="H56" s="17" t="str">
        <x:v>在对应切片先登记失败测试ID，再记录focused tests与pnpm verify；真机/预发布按要求执行</x:v>
      </x:c>
      <x:c r="I56" s="17" t="str">
        <x:v>现金应付为零时不调用外部支付，福利卡冻结转实扣、订单置为已支付和流水写入在同一幂等事务完成。</x:v>
      </x:c>
      <x:c r="J56" s="17" t="str"/>
      <x:c r="K56" s="17" t="str"/>
      <x:c r="L56" s="17" t="str"/>
      <x:c r="M56" s="17" t="str"/>
      <x:c r="N56" s="17" t="str"/>
      <x:c r="O56" s="17" t="str"/>
      <x:c r="P56" s="17" t="str"/>
      <x:c r="Q56" s="17" t="str"/>
      <x:c r="R56" s="17" t="str">
        <x:v>NO_EVIDENCE_YET</x:v>
      </x:c>
      <x:c r="S56" s="17" t="str"/>
      <x:c r="T56" s="17" t="str">
        <x:v>YES</x:v>
      </x:c>
      <x:c r="U56" s="17" t="str">
        <x:v>不得以旧输出、字符串搜索、页面资产或模型自述替代</x:v>
      </x:c>
    </x:row>
    <x:row r="57" ht="23" customHeight="1">
      <x:c r="A57" s="17" t="str">
        <x:v>EVD-056</x:v>
      </x:c>
      <x:c r="B57" s="17" t="str">
        <x:v>P0-056</x:v>
      </x:c>
      <x:c r="C57" s="17" t="str">
        <x:v>M3</x:v>
      </x:c>
      <x:c r="D57" s="17" t="str">
        <x:v>M3-P056</x:v>
      </x:c>
      <x:c r="E57" s="17" t="str">
        <x:v>AUTOMATED_AND_MANUAL_AS_REQUIRED</x:v>
      </x:c>
      <x:c r="F57" s="17" t="str">
        <x:v>STAGING_PASS</x:v>
      </x:c>
      <x:c r="G57" s="17" t="str">
        <x:v>NOT_EXECUTED</x:v>
      </x:c>
      <x:c r="H57" s="17" t="str">
        <x:v>在对应切片先登记失败测试ID，再记录focused tests与pnpm verify；真机/预发布按要求执行</x:v>
      </x:c>
      <x:c r="I57" s="17" t="str">
        <x:v>福利卡先冻结，微信支付差额成功后福利卡转实扣；订单总额始终等于福利卡抵扣加微信支付实付，且只生成一笔公司微信支付交易。</x:v>
      </x:c>
      <x:c r="J57" s="17" t="str"/>
      <x:c r="K57" s="17" t="str"/>
      <x:c r="L57" s="17" t="str"/>
      <x:c r="M57" s="17" t="str"/>
      <x:c r="N57" s="17" t="str"/>
      <x:c r="O57" s="17" t="str"/>
      <x:c r="P57" s="17" t="str"/>
      <x:c r="Q57" s="17" t="str"/>
      <x:c r="R57" s="17" t="str">
        <x:v>NO_EVIDENCE_YET</x:v>
      </x:c>
      <x:c r="S57" s="17" t="str"/>
      <x:c r="T57" s="17" t="str">
        <x:v>YES</x:v>
      </x:c>
      <x:c r="U57" s="17" t="str">
        <x:v>不得以旧输出、字符串搜索、页面资产或模型自述替代</x:v>
      </x:c>
    </x:row>
    <x:row r="58" ht="23" customHeight="1">
      <x:c r="A58" s="17" t="str">
        <x:v>EVD-057</x:v>
      </x:c>
      <x:c r="B58" s="17" t="str">
        <x:v>P0-057</x:v>
      </x:c>
      <x:c r="C58" s="17" t="str">
        <x:v>M3</x:v>
      </x:c>
      <x:c r="D58" s="17" t="str">
        <x:v>M3-P057</x:v>
      </x:c>
      <x:c r="E58" s="17" t="str">
        <x:v>AUTOMATED_AND_MANUAL_AS_REQUIRED</x:v>
      </x:c>
      <x:c r="F58" s="17" t="str">
        <x:v>STAGING_PASS</x:v>
      </x:c>
      <x:c r="G58" s="17" t="str">
        <x:v>NOT_EXECUTED</x:v>
      </x:c>
      <x:c r="H58" s="17" t="str">
        <x:v>在对应切片先登记失败测试ID，再记录focused tests与pnpm verify；真机/预发布按要求执行</x:v>
      </x:c>
      <x:c r="I58" s="17" t="str">
        <x:v>用户取消后服务端先查微信支付交易，确认未支付才释放福利卡、优惠券和库存；状态未知时不误释放。</x:v>
      </x:c>
      <x:c r="J58" s="17" t="str"/>
      <x:c r="K58" s="17" t="str"/>
      <x:c r="L58" s="17" t="str"/>
      <x:c r="M58" s="17" t="str"/>
      <x:c r="N58" s="17" t="str"/>
      <x:c r="O58" s="17" t="str"/>
      <x:c r="P58" s="17" t="str"/>
      <x:c r="Q58" s="17" t="str"/>
      <x:c r="R58" s="17" t="str">
        <x:v>NO_EVIDENCE_YET</x:v>
      </x:c>
      <x:c r="S58" s="17" t="str"/>
      <x:c r="T58" s="17" t="str">
        <x:v>YES</x:v>
      </x:c>
      <x:c r="U58" s="17" t="str">
        <x:v>不得以旧输出、字符串搜索、页面资产或模型自述替代</x:v>
      </x:c>
    </x:row>
    <x:row r="59" ht="23" customHeight="1">
      <x:c r="A59" s="17" t="str">
        <x:v>EVD-058</x:v>
      </x:c>
      <x:c r="B59" s="17" t="str">
        <x:v>P0-058</x:v>
      </x:c>
      <x:c r="C59" s="17" t="str">
        <x:v>M3</x:v>
      </x:c>
      <x:c r="D59" s="17" t="str">
        <x:v>M3-P058</x:v>
      </x:c>
      <x:c r="E59" s="17" t="str">
        <x:v>AUTOMATED_AND_MANUAL_AS_REQUIRED</x:v>
      </x:c>
      <x:c r="F59" s="17" t="str">
        <x:v>STAGING_PASS</x:v>
      </x:c>
      <x:c r="G59" s="17" t="str">
        <x:v>NOT_EXECUTED</x:v>
      </x:c>
      <x:c r="H59" s="17" t="str">
        <x:v>在对应切片先登记失败测试ID，再记录focused tests与pnpm verify；真机/预发布按要求执行</x:v>
      </x:c>
      <x:c r="I59" s="17" t="str">
        <x:v>全额和部分退款均按 OrderPaymentAllocation 返回原福利卡账户和原微信支付交易，尾差规则确定且可复现。</x:v>
      </x:c>
      <x:c r="J59" s="17" t="str"/>
      <x:c r="K59" s="17" t="str"/>
      <x:c r="L59" s="17" t="str"/>
      <x:c r="M59" s="17" t="str"/>
      <x:c r="N59" s="17" t="str"/>
      <x:c r="O59" s="17" t="str"/>
      <x:c r="P59" s="17" t="str"/>
      <x:c r="Q59" s="17" t="str"/>
      <x:c r="R59" s="17" t="str">
        <x:v>NO_EVIDENCE_YET</x:v>
      </x:c>
      <x:c r="S59" s="17" t="str"/>
      <x:c r="T59" s="17" t="str">
        <x:v>YES</x:v>
      </x:c>
      <x:c r="U59" s="17" t="str">
        <x:v>不得以旧输出、字符串搜索、页面资产或模型自述替代</x:v>
      </x:c>
    </x:row>
    <x:row r="60" ht="23" customHeight="1">
      <x:c r="A60" s="17" t="str">
        <x:v>EVD-059</x:v>
      </x:c>
      <x:c r="B60" s="17" t="str">
        <x:v>P0-059</x:v>
      </x:c>
      <x:c r="C60" s="17" t="str">
        <x:v>M3</x:v>
      </x:c>
      <x:c r="D60" s="17" t="str">
        <x:v>M3-P059</x:v>
      </x:c>
      <x:c r="E60" s="17" t="str">
        <x:v>AUTOMATED_AND_MANUAL_AS_REQUIRED</x:v>
      </x:c>
      <x:c r="F60" s="17" t="str">
        <x:v>CI_PASS</x:v>
      </x:c>
      <x:c r="G60" s="17" t="str">
        <x:v>NOT_EXECUTED</x:v>
      </x:c>
      <x:c r="H60" s="17" t="str">
        <x:v>在对应切片先登记失败测试ID，再记录focused tests与pnpm verify；真机/预发布按要求执行</x:v>
      </x:c>
      <x:c r="I60" s="17" t="str">
        <x:v>发行、领取、冻结、解冻、实扣、退款、冲正和调整全部写入 append-only WelfareCardLedger，账户余额与流水一致且不为负。</x:v>
      </x:c>
      <x:c r="J60" s="17" t="str"/>
      <x:c r="K60" s="17" t="str"/>
      <x:c r="L60" s="17" t="str"/>
      <x:c r="M60" s="17" t="str"/>
      <x:c r="N60" s="17" t="str"/>
      <x:c r="O60" s="17" t="str"/>
      <x:c r="P60" s="17" t="str"/>
      <x:c r="Q60" s="17" t="str"/>
      <x:c r="R60" s="17" t="str">
        <x:v>NO_EVIDENCE_YET</x:v>
      </x:c>
      <x:c r="S60" s="17" t="str"/>
      <x:c r="T60" s="17" t="str">
        <x:v>YES</x:v>
      </x:c>
      <x:c r="U60" s="17" t="str">
        <x:v>不得以旧输出、字符串搜索、页面资产或模型自述替代</x:v>
      </x:c>
    </x:row>
    <x:row r="61" ht="23" customHeight="1">
      <x:c r="A61" s="17" t="str">
        <x:v>EVD-060</x:v>
      </x:c>
      <x:c r="B61" s="17" t="str">
        <x:v>P0-060</x:v>
      </x:c>
      <x:c r="C61" s="17" t="str">
        <x:v>M5</x:v>
      </x:c>
      <x:c r="D61" s="17" t="str">
        <x:v>M5-P060</x:v>
      </x:c>
      <x:c r="E61" s="17" t="str">
        <x:v>AUTOMATED_AND_MANUAL_AS_REQUIRED</x:v>
      </x:c>
      <x:c r="F61" s="17" t="str">
        <x:v>CI_PASS</x:v>
      </x:c>
      <x:c r="G61" s="17" t="str">
        <x:v>NOT_EXECUTED</x:v>
      </x:c>
      <x:c r="H61" s="17" t="str">
        <x:v>先登记失败测试；扫描并调用充值路由/枚举/开关与第四类资金来源，验证拒绝且无账本/支付副作用；核对供应商结算隔离</x:v>
      </x:c>
      <x:c r="I61" s="17" t="str">
        <x:v>用户支付结构不影响供应商供货款；系统不提供个人现金充值功能，福利卡资金仅来源于企业福利发放、公司活动赠送和实体卡/兑换码。</x:v>
      </x:c>
      <x:c r="J61" s="17" t="str"/>
      <x:c r="K61" s="17" t="str"/>
      <x:c r="L61" s="17" t="str"/>
      <x:c r="M61" s="17" t="str"/>
      <x:c r="N61" s="17" t="str"/>
      <x:c r="O61" s="17" t="str"/>
      <x:c r="P61" s="17" t="str"/>
      <x:c r="Q61" s="17" t="str"/>
      <x:c r="R61" s="17" t="str">
        <x:v>NO_EVIDENCE_YET</x:v>
      </x:c>
      <x:c r="S61" s="17" t="str"/>
      <x:c r="T61" s="17" t="str">
        <x:v>YES</x:v>
      </x:c>
      <x:c r="U61" s="17" t="str">
        <x:v>不得以旧输出、字符串搜索、页面资产或模型自述替代</x:v>
      </x:c>
    </x:row>
    <x:row r="62" ht="23" customHeight="1">
      <x:c r="A62" s="17" t="str">
        <x:v>EVD-061</x:v>
      </x:c>
      <x:c r="B62" s="17" t="str">
        <x:v>P0-061</x:v>
      </x:c>
      <x:c r="C62" s="17" t="str">
        <x:v>M2</x:v>
      </x:c>
      <x:c r="D62" s="17" t="str">
        <x:v>M2-P061</x:v>
      </x:c>
      <x:c r="E62" s="17" t="str">
        <x:v>AUTOMATED_AND_MANUAL_AS_REQUIRED</x:v>
      </x:c>
      <x:c r="F62" s="17" t="str">
        <x:v>CI_PASS</x:v>
      </x:c>
      <x:c r="G62" s="17" t="str">
        <x:v>NOT_EXECUTED</x:v>
      </x:c>
      <x:c r="H62" s="17" t="str">
        <x:v>在对应切片先登记失败测试ID，再记录focused tests与pnpm verify；真机/预发布按要求执行</x:v>
      </x:c>
      <x:c r="I62" s="17" t="str">
        <x:v>个人小程序和企业采购入口引用同一 Product/Sku、分类、图片和库存；供应商勾选集采标识且商品 ACTIVE 后才进入企业采购货架。</x:v>
      </x:c>
      <x:c r="J62" s="17" t="str"/>
      <x:c r="K62" s="17" t="str"/>
      <x:c r="L62" s="17" t="str"/>
      <x:c r="M62" s="17" t="str"/>
      <x:c r="N62" s="17" t="str"/>
      <x:c r="O62" s="17" t="str"/>
      <x:c r="P62" s="17" t="str"/>
      <x:c r="Q62" s="17" t="str"/>
      <x:c r="R62" s="17" t="str">
        <x:v>NO_EVIDENCE_YET</x:v>
      </x:c>
      <x:c r="S62" s="17" t="str"/>
      <x:c r="T62" s="17" t="str">
        <x:v>YES</x:v>
      </x:c>
      <x:c r="U62" s="17" t="str">
        <x:v>不得以旧输出、字符串搜索、页面资产或模型自述替代</x:v>
      </x:c>
    </x:row>
    <x:row r="63" ht="23" customHeight="1">
      <x:c r="A63" s="17" t="str">
        <x:v>EVD-062</x:v>
      </x:c>
      <x:c r="B63" s="17" t="str">
        <x:v>P0-062</x:v>
      </x:c>
      <x:c r="C63" s="17" t="str">
        <x:v>M3</x:v>
      </x:c>
      <x:c r="D63" s="17" t="str">
        <x:v>M3-P062</x:v>
      </x:c>
      <x:c r="E63" s="17" t="str">
        <x:v>AUTOMATED_AND_MANUAL_AS_REQUIRED</x:v>
      </x:c>
      <x:c r="F63" s="17" t="str">
        <x:v>CI_PASS</x:v>
      </x:c>
      <x:c r="G63" s="17" t="str">
        <x:v>NOT_EXECUTED</x:v>
      </x:c>
      <x:c r="H63" s="17" t="str">
        <x:v>在对应切片先登记失败测试ID，再记录focused tests与pnpm verify；真机/预发布按要求执行</x:v>
      </x:c>
      <x:c r="I63" s="17" t="str">
        <x:v>企业可一次选择至少三个供应商商品并提交一个主订单；平台按 supplierId 准确生成子单，金额与商品汇总一致。</x:v>
      </x:c>
      <x:c r="J63" s="17" t="str"/>
      <x:c r="K63" s="17" t="str"/>
      <x:c r="L63" s="17" t="str"/>
      <x:c r="M63" s="17" t="str"/>
      <x:c r="N63" s="17" t="str"/>
      <x:c r="O63" s="17" t="str"/>
      <x:c r="P63" s="17" t="str"/>
      <x:c r="Q63" s="17" t="str"/>
      <x:c r="R63" s="17" t="str">
        <x:v>NO_EVIDENCE_YET</x:v>
      </x:c>
      <x:c r="S63" s="17" t="str"/>
      <x:c r="T63" s="17" t="str">
        <x:v>YES</x:v>
      </x:c>
      <x:c r="U63" s="17" t="str">
        <x:v>不得以旧输出、字符串搜索、页面资产或模型自述替代</x:v>
      </x:c>
    </x:row>
    <x:row r="64" ht="23" customHeight="1">
      <x:c r="A64" s="17" t="str">
        <x:v>EVD-063</x:v>
      </x:c>
      <x:c r="B64" s="17" t="str">
        <x:v>P0-063</x:v>
      </x:c>
      <x:c r="C64" s="17" t="str">
        <x:v>M2</x:v>
      </x:c>
      <x:c r="D64" s="17" t="str">
        <x:v>M2-P063</x:v>
      </x:c>
      <x:c r="E64" s="17" t="str">
        <x:v>AUTOMATED_AND_MANUAL_AS_REQUIRED</x:v>
      </x:c>
      <x:c r="F64" s="17" t="str">
        <x:v>CI_PASS</x:v>
      </x:c>
      <x:c r="G64" s="17" t="str">
        <x:v>NOT_EXECUTED</x:v>
      </x:c>
      <x:c r="H64" s="17" t="str">
        <x:v>在对应切片先登记失败测试ID，再记录focused tests与pnpm verify；真机/预发布按要求执行</x:v>
      </x:c>
      <x:c r="I64" s="17" t="str">
        <x:v>个人订单和企业采购订单并发购买同一 SKU 时锁定同一 InventoryBalance，预扣、释放和出库流水完整且不超卖；商品表、供应商草稿和缓存不存在第二套可成交库存。</x:v>
      </x:c>
      <x:c r="J64" s="17" t="str"/>
      <x:c r="K64" s="17" t="str"/>
      <x:c r="L64" s="17" t="str"/>
      <x:c r="M64" s="17" t="str"/>
      <x:c r="N64" s="17" t="str"/>
      <x:c r="O64" s="17" t="str"/>
      <x:c r="P64" s="17" t="str"/>
      <x:c r="Q64" s="17" t="str"/>
      <x:c r="R64" s="17" t="str">
        <x:v>NO_EVIDENCE_YET</x:v>
      </x:c>
      <x:c r="S64" s="17" t="str"/>
      <x:c r="T64" s="17" t="str">
        <x:v>YES</x:v>
      </x:c>
      <x:c r="U64" s="17" t="str">
        <x:v>不得以旧输出、字符串搜索、页面资产或模型自述替代</x:v>
      </x:c>
    </x:row>
    <x:row r="65" ht="23" customHeight="1">
      <x:c r="A65" s="17" t="str">
        <x:v>EVD-064</x:v>
      </x:c>
      <x:c r="B65" s="17" t="str">
        <x:v>P0-064</x:v>
      </x:c>
      <x:c r="C65" s="17" t="str">
        <x:v>M4</x:v>
      </x:c>
      <x:c r="D65" s="17" t="str">
        <x:v>M4-P064</x:v>
      </x:c>
      <x:c r="E65" s="17" t="str">
        <x:v>AUTOMATED_AND_MANUAL_AS_REQUIRED</x:v>
      </x:c>
      <x:c r="F65" s="17" t="str">
        <x:v>STAGING_PASS</x:v>
      </x:c>
      <x:c r="G65" s="17" t="str">
        <x:v>NOT_EXECUTED</x:v>
      </x:c>
      <x:c r="H65" s="17" t="str">
        <x:v>在对应切片先登记失败测试ID，再记录focused tests与pnpm verify；真机/预发布按要求执行</x:v>
      </x:c>
      <x:c r="I65" s="17" t="str">
        <x:v>企业订单生成 EnterpriseDeliveryOrder，由公司物流工作台安排车辆/司机或承运商；不生成 DeliveryTask，不出现在跑腿大厅。</x:v>
      </x:c>
      <x:c r="J65" s="17" t="str"/>
      <x:c r="K65" s="17" t="str"/>
      <x:c r="L65" s="17" t="str"/>
      <x:c r="M65" s="17" t="str"/>
      <x:c r="N65" s="17" t="str"/>
      <x:c r="O65" s="17" t="str"/>
      <x:c r="P65" s="17" t="str"/>
      <x:c r="Q65" s="17" t="str"/>
      <x:c r="R65" s="17" t="str">
        <x:v>NO_EVIDENCE_YET</x:v>
      </x:c>
      <x:c r="S65" s="17" t="str"/>
      <x:c r="T65" s="17" t="str">
        <x:v>YES</x:v>
      </x:c>
      <x:c r="U65" s="17" t="str">
        <x:v>不得以旧输出、字符串搜索、页面资产或模型自述替代</x:v>
      </x:c>
    </x:row>
    <x:row r="66" ht="23" customHeight="1">
      <x:c r="A66" s="17" t="str">
        <x:v>EVD-065</x:v>
      </x:c>
      <x:c r="B66" s="17" t="str">
        <x:v>P0-065</x:v>
      </x:c>
      <x:c r="C66" s="17" t="str">
        <x:v>M5</x:v>
      </x:c>
      <x:c r="D66" s="17" t="str">
        <x:v>M5-P065</x:v>
      </x:c>
      <x:c r="E66" s="17" t="str">
        <x:v>AUTOMATED_AND_MANUAL_AS_REQUIRED</x:v>
      </x:c>
      <x:c r="F66" s="17" t="str">
        <x:v>CI_PASS</x:v>
      </x:c>
      <x:c r="G66" s="17" t="str">
        <x:v>NOT_EXECUTED</x:v>
      </x:c>
      <x:c r="H66" s="17" t="str">
        <x:v>在对应切片先登记失败测试ID，再记录focused tests与pnpm verify；真机/预发布按要求执行</x:v>
      </x:c>
      <x:c r="I66" s="17" t="str">
        <x:v>个人和企业主订单均按供应商履约子单分别进入对应供应商账单；每家供应商以其经审核生效的供应价快照、履约数量和责任调整计算，公司分别线下结算。供应价仅进入公司内部账单和对应供应商账单，客户付款方式、对客页面及其他供应商数据不得混入。</x:v>
      </x:c>
      <x:c r="J66" s="17" t="str"/>
      <x:c r="K66" s="17" t="str"/>
      <x:c r="L66" s="17" t="str"/>
      <x:c r="M66" s="17" t="str"/>
      <x:c r="N66" s="17" t="str"/>
      <x:c r="O66" s="17" t="str"/>
      <x:c r="P66" s="17" t="str"/>
      <x:c r="Q66" s="17" t="str"/>
      <x:c r="R66" s="17" t="str">
        <x:v>NO_EVIDENCE_YET</x:v>
      </x:c>
      <x:c r="S66" s="17" t="str"/>
      <x:c r="T66" s="17" t="str">
        <x:v>YES</x:v>
      </x:c>
      <x:c r="U66" s="17" t="str">
        <x:v>不得以旧输出、字符串搜索、页面资产或模型自述替代</x:v>
      </x:c>
    </x:row>
    <x:row r="67" ht="23" customHeight="1">
      <x:c r="A67" s="17" t="str">
        <x:v>EVD-066</x:v>
      </x:c>
      <x:c r="B67" s="17" t="str">
        <x:v>P0-066</x:v>
      </x:c>
      <x:c r="C67" s="17" t="str">
        <x:v>M1</x:v>
      </x:c>
      <x:c r="D67" s="17" t="str">
        <x:v>M1-P066</x:v>
      </x:c>
      <x:c r="E67" s="17" t="str">
        <x:v>AUTOMATED_AND_MANUAL_AS_REQUIRED</x:v>
      </x:c>
      <x:c r="F67" s="17" t="str">
        <x:v>CI_PASS</x:v>
      </x:c>
      <x:c r="G67" s="17" t="str">
        <x:v>CI_PASS</x:v>
      </x:c>
      <x:c r="H67" s="17" t="str">
        <x:v>Vitest Supertest/Prisma仓储；node --test OpenAPI/迁移/M1合同；pnpm test:e2e:p0；pnpm prisma:migrate:dry-run；pnpm verify；pnpm secrets:scan</x:v>
      </x:c>
      <x:c r="I67" s="17" t="str">
        <x:v>公司后台使用独立登录入口且不开放公众注册；只有一个职能账号时直达固定页面，同一人员拥有多个职能账号时先进入账号选择页，每次只签发一个 functionalAccountId 会话。</x:v>
      </x:c>
      <x:c r="J67" s="17" t="str">
        <x:v>RED：company-auth模块/迁移模型/账号选择页缺失，幂等nonce重试断言失败；补充RED：已完成选择被requestId重置后改选返回200而非409、签发瞬间停用返回200而非403；GREEN：API 10/10、Prisma仓储2/2、OpenAPI 11/11、迁移21/21、M1合同32/32、P0 11/11、MySQL product=7 cleanup PASS、verify 17/17、secret 437</x:v>
      </x:c>
      <x:c r="K67" s="17" t="str">
        <x:v>LOCAL_WINDOWS_DOCKER_TEMPORARY_MYSQL_CHROMIUM</x:v>
      </x:c>
      <x:c r="L67" s="17" t="str">
        <x:v>Node 22.23.1；pnpm 10.12.1；Docker 29.6.2；MySQL 8.4.11；Prisma 6.19.2；Playwright Chromium</x:v>
      </x:c>
      <x:c r="M67" s="17" t="n">
        <x:v>46240.39662037037</x:v>
      </x:c>
      <x:c r="N67" s="17" t="str">
        <x:v>4c3e07a359ae2d99f47ed9265730a1d9dd27531c</x:v>
      </x:c>
      <x:c r="O67" s="17" t="str">
        <x:v>https://github.com/EasyStep-lee/flt1/actions/runs/31084427860</x:v>
      </x:c>
      <x:c r="P67" s="17" t="str">
        <x:v>artifacts/verification/M1-P066/company-auth.json</x:v>
      </x:c>
      <x:c r="Q67" s="17" t="str">
        <x:v>CODEX</x:v>
      </x:c>
      <x:c r="R67" s="17" t="str">
        <x:v>EXACT_PR_HEAD_AND_POST_MERGE_MAIN_CI</x:v>
      </x:c>
      <x:c r="S67" s="17" t="str">
        <x:v>真实身份源/短信风控/预发布/生产/正式验收未执行</x:v>
      </x:c>
      <x:c r="T67" s="17" t="str">
        <x:v>NO</x:v>
      </x:c>
      <x:c r="U67" s="17" t="str">
        <x:v>PR #22已授权合并为1254f710；main CI run 31089444537成功；P067门禁已解锁</x:v>
      </x:c>
    </x:row>
    <x:row r="68" ht="23" customHeight="1">
      <x:c r="A68" s="17" t="str">
        <x:v>EVD-067</x:v>
      </x:c>
      <x:c r="B68" s="17" t="str">
        <x:v>P0-067</x:v>
      </x:c>
      <x:c r="C68" s="17" t="str">
        <x:v>M1</x:v>
      </x:c>
      <x:c r="D68" s="17" t="str">
        <x:v>M1-P067</x:v>
      </x:c>
      <x:c r="E68" s="17" t="str">
        <x:v>AUTOMATED_AND_MANUAL_AS_REQUIRED</x:v>
      </x:c>
      <x:c r="F68" s="17" t="str">
        <x:v>CI_PASS</x:v>
      </x:c>
      <x:c r="G68" s="17" t="str">
        <x:v>CI_PASS</x:v>
      </x:c>
      <x:c r="H68" s="17" t="str">
        <x:v>focused Vitest/Supertest/Playwright/OpenAPI/迁移合同；pnpm prisma:migrate:dry-run；pnpm verify</x:v>
      </x:c>
      <x:c r="I68" s="17" t="str">
        <x:v>超级管理员、供应商运营、商品与分类运营、价格审核、订单客服、福利卡运营、财务、物流、门户编辑和审计账号分别进入固定 workspaceRoute；页面不出现其他职能菜单，手工访问其他职能路由或接口返回无权限。</x:v>
      </x:c>
      <x:c r="J68" s="17" t="str">
        <x:v>10类工作区均返回单菜单白名单；四项负例和pnpm verify 17/17通过；PR #24精确head及合并后main CI均通过</x:v>
      </x:c>
      <x:c r="K68" s="17" t="str">
        <x:v>LOCAL_WINDOWS_DOCKER_MYSQL_CHROMIUM</x:v>
      </x:c>
      <x:c r="L68" s="17" t="str">
        <x:v>Node 22.23.1；pnpm 10.12.1；Docker 29.6.2；MySQL 8.4.11；Chromium</x:v>
      </x:c>
      <x:c r="M68" s="17" t="n">
        <x:v>46241.10428240741</x:v>
      </x:c>
      <x:c r="N68" s="17" t="str">
        <x:v>702aa02b305f96bdc1e02002a108208fc9ac092f</x:v>
      </x:c>
      <x:c r="O68" s="17" t="str">
        <x:v>https://github.com/EasyStep-lee/flt1/actions/runs/31095481940</x:v>
      </x:c>
      <x:c r="P68" s="17" t="str">
        <x:v>artifacts/verification/M1-P067/company-workspaces.json</x:v>
      </x:c>
      <x:c r="Q68" s="17" t="str">
        <x:v>CODEX</x:v>
      </x:c>
      <x:c r="R68" s="17" t="str">
        <x:v>EXACT_PR_HEAD_AND_POST_MERGE_MAIN_CI</x:v>
      </x:c>
      <x:c r="S68" s="17" t="str">
        <x:v>预发布/生产/正式验收未执行</x:v>
      </x:c>
      <x:c r="T68" s="17" t="str">
        <x:v>NO</x:v>
      </x:c>
      <x:c r="U68" s="17" t="str">
        <x:v>PR #24授权合并为aa7b9a7；main CI run 31139537997成功；P068门禁已解锁</x:v>
      </x:c>
    </x:row>
    <x:row r="69" ht="23" customHeight="1">
      <x:c r="A69" s="17" t="str">
        <x:v>EVD-068</x:v>
      </x:c>
      <x:c r="B69" s="17" t="str">
        <x:v>P0-068</x:v>
      </x:c>
      <x:c r="C69" s="17" t="str">
        <x:v>M1</x:v>
      </x:c>
      <x:c r="D69" s="17" t="str">
        <x:v>M1-P068</x:v>
      </x:c>
      <x:c r="E69" s="17" t="str">
        <x:v>AUTOMATED_AND_MANUAL_AS_REQUIRED</x:v>
      </x:c>
      <x:c r="F69" s="17" t="str">
        <x:v>CI_PASS</x:v>
      </x:c>
      <x:c r="G69" s="17" t="str">
        <x:v>CI_PASS</x:v>
      </x:c>
      <x:c r="H69" s="17" t="str">
        <x:v>RED Supertest；focused API/OpenAPI/Playwright；鉴权及既有页面回归；pnpm lint；pnpm typecheck；pnpm verify；PR/main Actions</x:v>
      </x:c>
      <x:c r="I69" s="17" t="str">
        <x:v>每个公司职能页面均具备自己的工作台、内部列表/筛选/详情/时间线及加载、空态、失败和无权限状态；共用组件不导致数据、菜单或会话上下文合并。</x:v>
      </x:c>
      <x:c r="J69" s="17" t="str">
        <x:v>RED 4/4；GREEN focused及pnpm verify 17/17、P0 E2E 15/15；PR head 9c91673 CI 31143472876成功；合并ff8d5ae后main CI 31144798071成功</x:v>
      </x:c>
      <x:c r="K69" s="17" t="str">
        <x:v>LOCAL_AND_GITHUB_ACTIONS</x:v>
      </x:c>
      <x:c r="L69" s="17" t="str">
        <x:v>Node 22.23.1；pnpm 10.12.1；Docker MySQL；Playwright Chromium</x:v>
      </x:c>
      <x:c r="M69" s="17" t="n">
        <x:v>46241.168900462966</x:v>
      </x:c>
      <x:c r="N69" s="17" t="str">
        <x:v>9c91673bc698083ffaac9df07ba401c75f61e939</x:v>
      </x:c>
      <x:c r="O69" s="17" t="str">
        <x:v>31144798071</x:v>
      </x:c>
      <x:c r="P69" s="17" t="str">
        <x:v>artifacts/verification/M1-P068/company-workspace-completeness.json</x:v>
      </x:c>
      <x:c r="Q69" s="17" t="str">
        <x:v>CODEX</x:v>
      </x:c>
      <x:c r="R69" s="17" t="str">
        <x:v>MERGED_MAIN_CI_PASS</x:v>
      </x:c>
      <x:c r="S69" s="17" t="str">
        <x:v>staging/生产/正式验收未执行</x:v>
      </x:c>
      <x:c r="T69" s="17" t="str">
        <x:v>YES</x:v>
      </x:c>
      <x:c r="U69" s="17" t="str">
        <x:v>无新增迁移；M2-M5业务模块只标记DEFERRED</x:v>
      </x:c>
    </x:row>
    <x:row r="70" ht="23" customHeight="1">
      <x:c r="A70" s="17" t="str">
        <x:v>EVD-069</x:v>
      </x:c>
      <x:c r="B70" s="17" t="str">
        <x:v>P0-069</x:v>
      </x:c>
      <x:c r="C70" s="17" t="str">
        <x:v>M1</x:v>
      </x:c>
      <x:c r="D70" s="17" t="str">
        <x:v>M1-P069</x:v>
      </x:c>
      <x:c r="E70" s="17" t="str">
        <x:v>AUTOMATED_AND_MANUAL_AS_REQUIRED</x:v>
      </x:c>
      <x:c r="F70" s="17" t="str">
        <x:v>CI_PASS</x:v>
      </x:c>
      <x:c r="G70" s="17" t="str">
        <x:v>CI_PASS</x:v>
      </x:c>
      <x:c r="H70" s="17" t="str">
        <x:v>RED Supertest/Prisma/配置schema/密钥轮换/selection nonce密钥绑定/二次验证完成态重放/选择失败审计/验证码DTO边界/共享Web客户端/真实Vite代理/真实浏览器纵向链路/干净CI/依赖闭包；focused API/Prisma/OpenAPI/迁移/Chromium；migration rehearsal；pnpm verify</x:v>
      </x:c>
      <x:c r="I70" s="17" t="str">
        <x:v>门户供应商合作入口可进入注册和登录；审核通过后激活主体管理账号，各业务职能账号分别邀请；supplierId 由服务端绑定，同一人员多职能时必须在账号选择页逐一进入。</x:v>
      </x:c>
      <x:c r="J70" s="17" t="str">
        <x:v>focused与pnpm verify通过；PR精确head c914a5e的run 31174016101成功；合并后main 417d165的run 31175113225成功</x:v>
      </x:c>
      <x:c r="K70" s="17" t="str">
        <x:v>LOCAL_WINDOWS_CHROMIUM_REAL_VITE_PROXY_INJECTED_NEST_API_AND_DOCKER_MYSQL;GITHUB_ACTIONS</x:v>
      </x:c>
      <x:c r="L70" s="17" t="str">
        <x:v>Node 22.23.1；pnpm 10.12.1；Docker MySQL；Playwright Chromium</x:v>
      </x:c>
      <x:c r="M70" s="17" t="n">
        <x:v>46241.49663194444</x:v>
      </x:c>
      <x:c r="N70" s="17" t="str">
        <x:v>c914a5e7d1036e20f6a989f40455c30d9dbe0043</x:v>
      </x:c>
      <x:c r="O70" s="17" t="str">
        <x:v>https://github.com/EasyStep-lee/flt1/actions/runs/31174016101</x:v>
      </x:c>
      <x:c r="P70" s="17" t="str">
        <x:v>artifacts/verification/M1-P069/supplier-auth.json</x:v>
      </x:c>
      <x:c r="Q70" s="17" t="str">
        <x:v>CODEX</x:v>
      </x:c>
      <x:c r="R70" s="17" t="str">
        <x:v>FRESH_EXACT_HEAD_CI_AND_MAIN_POST_MERGE_CI</x:v>
      </x:c>
      <x:c r="S70" s="17" t="str">
        <x:v>staging/生产/真实身份源/真实二次验证Adapter和正式验收未执行</x:v>
      </x:c>
      <x:c r="T70" s="17" t="str">
        <x:v>NO</x:v>
      </x:c>
      <x:c r="U70" s="17" t="str">
        <x:v>PR #28已合并；main run 31175113225成功；P070从已验证main启动</x:v>
      </x:c>
    </x:row>
    <x:row r="71" ht="23" customHeight="1">
      <x:c r="A71" s="17" t="str">
        <x:v>EVD-070</x:v>
      </x:c>
      <x:c r="B71" s="17" t="str">
        <x:v>P0-070</x:v>
      </x:c>
      <x:c r="C71" s="17" t="str">
        <x:v>M1</x:v>
      </x:c>
      <x:c r="D71" s="17" t="str">
        <x:v>M1-P070</x:v>
      </x:c>
      <x:c r="E71" s="17" t="str">
        <x:v>AUTOMATED_AND_MANUAL_AS_REQUIRED</x:v>
      </x:c>
      <x:c r="F71" s="17" t="str">
        <x:v>CI_PASS</x:v>
      </x:c>
      <x:c r="G71" s="17" t="str">
        <x:v>CI_PASS</x:v>
      </x:c>
      <x:c r="H71" s="17" t="str">
        <x:v>API/OpenAPI/Chromium先红后绿；node --test tests/contracts/*.test.mjs；P070 MySQL迁移演练；pnpm verify</x:v>
      </x:c>
      <x:c r="I71" s="17" t="str">
        <x:v>八类供应商职能各进入固定页面且只见单一内部菜单；服务端会话派生归属；旧会话、客户端归属覆盖和旧响应覆盖最新状态均失败关闭</x:v>
      </x:c>
      <x:c r="J71" s="17" t="str">
        <x:v>API/OpenAPI/请求时序/Chromium回归与完整门禁在精确PR head及M1-GATE候选main通过</x:v>
      </x:c>
      <x:c r="K71" s="17" t="str">
        <x:v>LOCAL_WINDOWS_DOCKER_MYSQL_CHROMIUM_AND_GITHUB_ACTIONS</x:v>
      </x:c>
      <x:c r="L71" s="17" t="str">
        <x:v>Node 22.23.1；pnpm 10.12.1；MySQL 8.4.11；Chromium；GitHub Actions</x:v>
      </x:c>
      <x:c r="M71" s="17" t="n">
        <x:v>46242.269328703704</x:v>
      </x:c>
      <x:c r="N71" s="17" t="str">
        <x:v>acadd8b838c4061c8184b12db077a030d0a8e277</x:v>
      </x:c>
      <x:c r="O71" s="17" t="str">
        <x:v>https://github.com/EasyStep-lee/flt1/actions/runs/31183104823</x:v>
      </x:c>
      <x:c r="P71" s="17" t="str">
        <x:v>artifacts/verification/M1-P070/supplier-workspaces.json</x:v>
      </x:c>
      <x:c r="Q71" s="17" t="str">
        <x:v>GITHUB_ACTIONS+CODEX</x:v>
      </x:c>
      <x:c r="R71" s="17" t="str">
        <x:v>EXACT_PR_HEAD_AND_POST_MERGE_MAIN_CI</x:v>
      </x:c>
      <x:c r="S71" s="17" t="str">
        <x:v>预发布/生产未执行</x:v>
      </x:c>
      <x:c r="T71" s="17" t="str">
        <x:v>NO</x:v>
      </x:c>
      <x:c r="U71" s="17" t="str">
        <x:v>PR #30合并为a721d56，main CI run 31232556011成功；M1-GATE候选main 4ff0258复验。</x:v>
      </x:c>
    </x:row>
    <x:row r="72" ht="23" customHeight="1">
      <x:c r="A72" s="17" t="str">
        <x:v>EVD-071</x:v>
      </x:c>
      <x:c r="B72" s="17" t="str">
        <x:v>P0-071</x:v>
      </x:c>
      <x:c r="C72" s="17" t="str">
        <x:v>M2</x:v>
      </x:c>
      <x:c r="D72" s="17" t="str">
        <x:v>M2-P071</x:v>
      </x:c>
      <x:c r="E72" s="17" t="str">
        <x:v>AUTOMATED_AND_MANUAL_AS_REQUIRED</x:v>
      </x:c>
      <x:c r="F72" s="17" t="str">
        <x:v>CI_PASS</x:v>
      </x:c>
      <x:c r="G72" s="17" t="str">
        <x:v>NOT_EXECUTED</x:v>
      </x:c>
      <x:c r="H72" s="17" t="str">
        <x:v>在对应切片先登记失败测试ID，再记录focused tests与pnpm verify；真机/预发布按要求执行</x:v>
      </x:c>
      <x:c r="I72" s="17" t="str">
        <x:v>供应商价格独立页面清楚区分初始价格审核、供应价变更申请和两类销售价直接调价；公司价格审核独立页面展示原值、新值、比例、原因、生效时间和历史意见，重复提交、并发审批和无理由批量通过被阻止。</x:v>
      </x:c>
      <x:c r="J72" s="17" t="str"/>
      <x:c r="K72" s="17" t="str"/>
      <x:c r="L72" s="17" t="str"/>
      <x:c r="M72" s="17" t="str"/>
      <x:c r="N72" s="17" t="str"/>
      <x:c r="O72" s="17" t="str"/>
      <x:c r="P72" s="17" t="str"/>
      <x:c r="Q72" s="17" t="str"/>
      <x:c r="R72" s="17" t="str">
        <x:v>NO_EVIDENCE_YET</x:v>
      </x:c>
      <x:c r="S72" s="17" t="str"/>
      <x:c r="T72" s="17" t="str">
        <x:v>YES</x:v>
      </x:c>
      <x:c r="U72" s="17" t="str">
        <x:v>不得以旧输出、字符串搜索、页面资产或模型自述替代</x:v>
      </x:c>
    </x:row>
    <x:row r="73" ht="23" customHeight="1">
      <x:c r="A73" s="17" t="str">
        <x:v>EVD-072</x:v>
      </x:c>
      <x:c r="B73" s="17" t="str">
        <x:v>P0-072</x:v>
      </x:c>
      <x:c r="C73" s="17" t="str">
        <x:v>M1</x:v>
      </x:c>
      <x:c r="D73" s="17" t="str">
        <x:v>M1-P072</x:v>
      </x:c>
      <x:c r="E73" s="17" t="str">
        <x:v>AUTOMATED_AND_MANUAL_AS_REQUIRED</x:v>
      </x:c>
      <x:c r="F73" s="17" t="str">
        <x:v>CI_PASS</x:v>
      </x:c>
      <x:c r="G73" s="17" t="str">
        <x:v>CI_PASS</x:v>
      </x:c>
      <x:c r="H73" s="17" t="str">
        <x:v>API/OpenAPI/迁移/并发同键先红后绿；pnpm test:m1-contract；P072 MySQL迁移演练；pnpm verify</x:v>
      </x:c>
      <x:c r="I73" s="17" t="str">
        <x:v>同一自然人和超级管理员不能旁路；同版本并发决定一成一败；同幂等键并发创建合并；审计失败回滚；供应商按会话supplierId过滤</x:v>
      </x:c>
      <x:c r="J73" s="17" t="str">
        <x:v>API 14/14；P070/P072 Chromium 5/5；OpenAPI 17/17；M1契约37/37；P0 24/24；迁移product=11 cleanup=PASS</x:v>
      </x:c>
      <x:c r="K73" s="17" t="str">
        <x:v>LOCAL_WINDOWS_DOCKER_MYSQL_CHROMIUM_AND_GITHUB_ACTIONS</x:v>
      </x:c>
      <x:c r="L73" s="17" t="str">
        <x:v>Node 22.23.1；pnpm 10.12.1；MySQL 8.4.11；Chromium；GitHub Actions</x:v>
      </x:c>
      <x:c r="M73" s="17" t="n">
        <x:v>46242.269328703704</x:v>
      </x:c>
      <x:c r="N73" s="17" t="str">
        <x:v>efb50c01049686ce5acf8463342a53d4e572a7cd</x:v>
      </x:c>
      <x:c r="O73" s="17" t="str">
        <x:v>https://github.com/EasyStep-lee/flt1/actions/runs/31239438856</x:v>
      </x:c>
      <x:c r="P73" s="17" t="str">
        <x:v>artifacts/verification/M1-P072/sensitive-operations-audit.json</x:v>
      </x:c>
      <x:c r="Q73" s="17" t="str">
        <x:v>GITHUB_ACTIONS+CODEX</x:v>
      </x:c>
      <x:c r="R73" s="17" t="str">
        <x:v>EXACT_PR_HEAD_AND_POST_MERGE_MAIN_CI</x:v>
      </x:c>
      <x:c r="S73" s="17" t="str">
        <x:v>真实导出/预发布/生产未执行</x:v>
      </x:c>
      <x:c r="T73" s="17" t="str">
        <x:v>YES</x:v>
      </x:c>
      <x:c r="U73" s="17" t="str">
        <x:v>PR #32合并为4ff0258，main CI run 31240531655成功；M1-GATE候选main复验，不生成实际导出文件。</x:v>
      </x:c>
    </x:row>
    <x:row r="74" ht="23" customHeight="1">
      <x:c r="A74" s="17" t="str">
        <x:v>EVD-M1-GATE</x:v>
      </x:c>
      <x:c r="B74" s="17" t="str"/>
      <x:c r="C74" s="17" t="str">
        <x:v>M1</x:v>
      </x:c>
      <x:c r="D74" s="17" t="str">
        <x:v>M1-GATE</x:v>
      </x:c>
      <x:c r="E74" s="17" t="str">
        <x:v>AUTOMATED_AND_MANUAL_AS_REQUIRED</x:v>
      </x:c>
      <x:c r="F74" s="17" t="str">
        <x:v>LOCAL_PASS</x:v>
      </x:c>
      <x:c r="G74" s="17" t="str">
        <x:v>CI_PASS</x:v>
      </x:c>
      <x:c r="H74" s="17" t="str">
        <x:v>产品基线校验；M1合同与P0 E2E；Prisma迁移演练；OpenAPI确定性/oasdiff；pnpm verify；GitHub PR/main证据审计</x:v>
      </x:c>
      <x:c r="I74" s="17" t="str">
        <x:v>所有15个M1前置任务和14项主P0有新鲜技术证据；真实人工门槛未满足时阶段必须阻塞且M2保持锁定。</x:v>
      </x:c>
      <x:c r="J74" s="17" t="str">
        <x:v>M1合同、P0、迁移、OpenAPI和verify技术证据通过；EXT-005脱敏确认已提供；PR #34及合并后main CI成功。</x:v>
      </x:c>
      <x:c r="K74" s="17" t="str">
        <x:v>LOCAL_WINDOWS_DOCKER_MYSQL_CHROMIUM+GITHUB_ACTIONS</x:v>
      </x:c>
      <x:c r="L74" s="17" t="str">
        <x:v>Node 22.23.1；pnpm 10.12.1；MySQL 8.4.11；Chromium；GitHub Actions</x:v>
      </x:c>
      <x:c r="M74" s="17" t="n">
        <x:v>46243.21679398148</x:v>
      </x:c>
      <x:c r="N74" s="17" t="str">
        <x:v>162787ae1687116badf0972664005332220976f9</x:v>
      </x:c>
      <x:c r="O74" s="17" t="str">
        <x:v>https://github.com/EasyStep-lee/flt1/actions/runs/31295823535</x:v>
      </x:c>
      <x:c r="P74" s="17" t="str">
        <x:v>artifacts/verification/M1-GATE/m1-gate-preflight.json</x:v>
      </x:c>
      <x:c r="Q74" s="17" t="str">
        <x:v>CODEX</x:v>
      </x:c>
      <x:c r="R74" s="17" t="str">
        <x:v>FRESH_MAIN_POST_MERGE</x:v>
      </x:c>
      <x:c r="S74" s="17" t="str"/>
      <x:c r="T74" s="17" t="str">
        <x:v>NO</x:v>
      </x:c>
      <x:c r="U74" s="17" t="str">
        <x:v>M1-GATE在main合并提交162787a取得CI_PASS；M2已解锁。</x:v>
      </x:c>
    </x:row>
    <x:row r="75" ht="23" customHeight="1">
      <x:c r="A75" s="17" t="str">
        <x:v>EVD-073</x:v>
      </x:c>
      <x:c r="B75" s="17" t="str">
        <x:v>P0-073</x:v>
      </x:c>
      <x:c r="C75" s="17" t="str">
        <x:v>M3</x:v>
      </x:c>
      <x:c r="D75" s="17" t="str">
        <x:v>M3-P073</x:v>
      </x:c>
      <x:c r="E75" s="17" t="str">
        <x:v>AUTOMATED_AND_MANUAL_AS_REQUIRED</x:v>
      </x:c>
      <x:c r="F75" s="17" t="str">
        <x:v>CI_PASS</x:v>
      </x:c>
      <x:c r="G75" s="17" t="str">
        <x:v>NOT_EXECUTED</x:v>
      </x:c>
      <x:c r="H75" s="17" t="str">
        <x:v>在对应切片先登记失败测试ID，再记录focused tests与pnpm verify；真机/预发布按要求执行</x:v>
      </x:c>
      <x:c r="I75" s="17" t="str">
        <x:v>桌面和移动端均提供首页、关于、供应链能力、社区集采、福利卡、供应商合作、新闻和联系入口；登录前后企业入口、采购车和工作台状态正确，页脚主体和法律入口完整。</x:v>
      </x:c>
      <x:c r="J75" s="17" t="str"/>
      <x:c r="K75" s="17" t="str"/>
      <x:c r="L75" s="17" t="str"/>
      <x:c r="M75" s="17" t="str"/>
      <x:c r="N75" s="17" t="str"/>
      <x:c r="O75" s="17" t="str"/>
      <x:c r="P75" s="17" t="str"/>
      <x:c r="Q75" s="17" t="str"/>
      <x:c r="R75" s="17" t="str">
        <x:v>NO_EVIDENCE_YET</x:v>
      </x:c>
      <x:c r="S75" s="17" t="str"/>
      <x:c r="T75" s="17" t="str">
        <x:v>YES</x:v>
      </x:c>
      <x:c r="U75" s="17" t="str">
        <x:v>不得以旧输出、字符串搜索、页面资产或模型自述替代</x:v>
      </x:c>
    </x:row>
    <x:row r="76" ht="23" customHeight="1">
      <x:c r="A76" s="17" t="str">
        <x:v>EVD-074</x:v>
      </x:c>
      <x:c r="B76" s="17" t="str">
        <x:v>P0-074</x:v>
      </x:c>
      <x:c r="C76" s="17" t="str">
        <x:v>M3</x:v>
      </x:c>
      <x:c r="D76" s="17" t="str">
        <x:v>M3-P074</x:v>
      </x:c>
      <x:c r="E76" s="17" t="str">
        <x:v>AUTOMATED_AND_MANUAL_AS_REQUIRED</x:v>
      </x:c>
      <x:c r="F76" s="17" t="str">
        <x:v>CI_PASS</x:v>
      </x:c>
      <x:c r="G76" s="17" t="str">
        <x:v>NOT_EXECUTED</x:v>
      </x:c>
      <x:c r="H76" s="17" t="str">
        <x:v>在对应切片先登记失败测试ID，再记录focused tests与pnpm verify；真机/预发布按要求执行</x:v>
      </x:c>
      <x:c r="I76" s="17" t="str">
        <x:v>首页按主视觉、核心服务、供应链能力、社区集采说明、分类预览、授权案例、供应商合作、新闻和底部 CTA 顺序展示；不使用虚构销量、倒计时或未授权案例。</x:v>
      </x:c>
      <x:c r="J76" s="17" t="str"/>
      <x:c r="K76" s="17" t="str"/>
      <x:c r="L76" s="17" t="str"/>
      <x:c r="M76" s="17" t="str"/>
      <x:c r="N76" s="17" t="str"/>
      <x:c r="O76" s="17" t="str"/>
      <x:c r="P76" s="17" t="str"/>
      <x:c r="Q76" s="17" t="str"/>
      <x:c r="R76" s="17" t="str">
        <x:v>NO_EVIDENCE_YET</x:v>
      </x:c>
      <x:c r="S76" s="17" t="str"/>
      <x:c r="T76" s="17" t="str">
        <x:v>YES</x:v>
      </x:c>
      <x:c r="U76" s="17" t="str">
        <x:v>不得以旧输出、字符串搜索、页面资产或模型自述替代</x:v>
      </x:c>
    </x:row>
    <x:row r="77" ht="23" customHeight="1">
      <x:c r="A77" s="17" t="str">
        <x:v>EVD-075</x:v>
      </x:c>
      <x:c r="B77" s="17" t="str">
        <x:v>P0-075</x:v>
      </x:c>
      <x:c r="C77" s="17" t="str">
        <x:v>M3</x:v>
      </x:c>
      <x:c r="D77" s="17" t="str">
        <x:v>M3-P075</x:v>
      </x:c>
      <x:c r="E77" s="17" t="str">
        <x:v>AUTOMATED_AND_MANUAL_AS_REQUIRED</x:v>
      </x:c>
      <x:c r="F77" s="17" t="str">
        <x:v>CI_PASS</x:v>
      </x:c>
      <x:c r="G77" s="17" t="str">
        <x:v>NOT_EXECUTED</x:v>
      </x:c>
      <x:c r="H77" s="17" t="str">
        <x:v>在对应切片先登记失败测试ID，再记录focused tests与pnpm verify；真机/预发布按要求执行</x:v>
      </x:c>
      <x:c r="I77" s="17" t="str">
        <x:v>关于、能力、案例、新闻和联系页面内容完整，资质与案例按授权展示，规则公告保留版本和生效时间，页面具有明确下一步入口。</x:v>
      </x:c>
      <x:c r="J77" s="17" t="str"/>
      <x:c r="K77" s="17" t="str"/>
      <x:c r="L77" s="17" t="str"/>
      <x:c r="M77" s="17" t="str"/>
      <x:c r="N77" s="17" t="str"/>
      <x:c r="O77" s="17" t="str"/>
      <x:c r="P77" s="17" t="str"/>
      <x:c r="Q77" s="17" t="str"/>
      <x:c r="R77" s="17" t="str">
        <x:v>NO_EVIDENCE_YET</x:v>
      </x:c>
      <x:c r="S77" s="17" t="str"/>
      <x:c r="T77" s="17" t="str">
        <x:v>YES</x:v>
      </x:c>
      <x:c r="U77" s="17" t="str">
        <x:v>不得以旧输出、字符串搜索、页面资产或模型自述替代</x:v>
      </x:c>
    </x:row>
    <x:row r="78" ht="23" customHeight="1">
      <x:c r="A78" s="17" t="str">
        <x:v>EVD-076</x:v>
      </x:c>
      <x:c r="B78" s="17" t="str">
        <x:v>P0-076</x:v>
      </x:c>
      <x:c r="C78" s="17" t="str">
        <x:v>M3</x:v>
      </x:c>
      <x:c r="D78" s="17" t="str">
        <x:v>M3-P076</x:v>
      </x:c>
      <x:c r="E78" s="17" t="str">
        <x:v>AUTOMATED_AND_MANUAL_AS_REQUIRED</x:v>
      </x:c>
      <x:c r="F78" s="17" t="str">
        <x:v>CI_PASS</x:v>
      </x:c>
      <x:c r="G78" s="17" t="str">
        <x:v>NOT_EXECUTED</x:v>
      </x:c>
      <x:c r="H78" s="17" t="str">
        <x:v>在对应切片先登记失败测试ID，再记录focused tests与pnpm verify；真机/预发布按要求执行</x:v>
      </x:c>
      <x:c r="I78" s="17" t="str">
        <x:v>供应商合作页明确条件、分类、资料、流程、注册与登录；福利卡服务页明确企业办理和员工使用流程，商务咨询表单最小化收集并幂等提交。</x:v>
      </x:c>
      <x:c r="J78" s="17" t="str"/>
      <x:c r="K78" s="17" t="str"/>
      <x:c r="L78" s="17" t="str"/>
      <x:c r="M78" s="17" t="str"/>
      <x:c r="N78" s="17" t="str"/>
      <x:c r="O78" s="17" t="str"/>
      <x:c r="P78" s="17" t="str"/>
      <x:c r="Q78" s="17" t="str"/>
      <x:c r="R78" s="17" t="str">
        <x:v>NO_EVIDENCE_YET</x:v>
      </x:c>
      <x:c r="S78" s="17" t="str"/>
      <x:c r="T78" s="17" t="str">
        <x:v>YES</x:v>
      </x:c>
      <x:c r="U78" s="17" t="str">
        <x:v>不得以旧输出、字符串搜索、页面资产或模型自述替代</x:v>
      </x:c>
    </x:row>
    <x:row r="79" ht="23" customHeight="1">
      <x:c r="A79" s="17" t="str">
        <x:v>EVD-077</x:v>
      </x:c>
      <x:c r="B79" s="17" t="str">
        <x:v>P0-077</x:v>
      </x:c>
      <x:c r="C79" s="17" t="str">
        <x:v>M3</x:v>
      </x:c>
      <x:c r="D79" s="17" t="str">
        <x:v>M3-P077</x:v>
      </x:c>
      <x:c r="E79" s="17" t="str">
        <x:v>AUTOMATED_AND_MANUAL_AS_REQUIRED</x:v>
      </x:c>
      <x:c r="F79" s="17" t="str">
        <x:v>CI_PASS</x:v>
      </x:c>
      <x:c r="G79" s="17" t="str">
        <x:v>NOT_EXECUTED</x:v>
      </x:c>
      <x:c r="H79" s="17" t="str">
        <x:v>在对应切片先登记失败测试ID，再记录focused tests与pnpm verify；真机/预发布按要求执行</x:v>
      </x:c>
      <x:c r="I79" s="17" t="str">
        <x:v>企业注册、主体、联系人、开票、收货、预览提交和认证进度页面完整；补正定位字段，暂停说明影响，重复企业和上传异常均有安全且可操作的反馈。</x:v>
      </x:c>
      <x:c r="J79" s="17" t="str"/>
      <x:c r="K79" s="17" t="str"/>
      <x:c r="L79" s="17" t="str"/>
      <x:c r="M79" s="17" t="str"/>
      <x:c r="N79" s="17" t="str"/>
      <x:c r="O79" s="17" t="str"/>
      <x:c r="P79" s="17" t="str"/>
      <x:c r="Q79" s="17" t="str"/>
      <x:c r="R79" s="17" t="str">
        <x:v>NO_EVIDENCE_YET</x:v>
      </x:c>
      <x:c r="S79" s="17" t="str"/>
      <x:c r="T79" s="17" t="str">
        <x:v>YES</x:v>
      </x:c>
      <x:c r="U79" s="17" t="str">
        <x:v>不得以旧输出、字符串搜索、页面资产或模型自述替代</x:v>
      </x:c>
    </x:row>
    <x:row r="80" ht="23" customHeight="1">
      <x:c r="A80" s="17" t="str">
        <x:v>EVD-078</x:v>
      </x:c>
      <x:c r="B80" s="17" t="str">
        <x:v>P0-078</x:v>
      </x:c>
      <x:c r="C80" s="17" t="str">
        <x:v>M3</x:v>
      </x:c>
      <x:c r="D80" s="17" t="str">
        <x:v>M3-P078</x:v>
      </x:c>
      <x:c r="E80" s="17" t="str">
        <x:v>AUTOMATED_AND_MANUAL_AS_REQUIRED</x:v>
      </x:c>
      <x:c r="F80" s="17" t="str">
        <x:v>CI_PASS</x:v>
      </x:c>
      <x:c r="G80" s="17" t="str">
        <x:v>NOT_EXECUTED</x:v>
      </x:c>
      <x:c r="H80" s="17" t="str">
        <x:v>在对应切片先登记失败测试ID，再记录focused tests与pnpm verify；真机/预发布按要求执行</x:v>
      </x:c>
      <x:c r="I80" s="17" t="str">
        <x:v>认证企业可使用分类、搜索、筛选、商品卡和模板化详情；只展示带集采标识的共用商品、集采销售价和必要库存状态，供应价与内部毛利在页面和接口中均不存在。</x:v>
      </x:c>
      <x:c r="J80" s="17" t="str"/>
      <x:c r="K80" s="17" t="str"/>
      <x:c r="L80" s="17" t="str"/>
      <x:c r="M80" s="17" t="str"/>
      <x:c r="N80" s="17" t="str"/>
      <x:c r="O80" s="17" t="str"/>
      <x:c r="P80" s="17" t="str"/>
      <x:c r="Q80" s="17" t="str"/>
      <x:c r="R80" s="17" t="str">
        <x:v>NO_EVIDENCE_YET</x:v>
      </x:c>
      <x:c r="S80" s="17" t="str"/>
      <x:c r="T80" s="17" t="str">
        <x:v>YES</x:v>
      </x:c>
      <x:c r="U80" s="17" t="str">
        <x:v>不得以旧输出、字符串搜索、页面资产或模型自述替代</x:v>
      </x:c>
    </x:row>
    <x:row r="81" ht="23" customHeight="1">
      <x:c r="A81" s="17" t="str">
        <x:v>EVD-079</x:v>
      </x:c>
      <x:c r="B81" s="17" t="str">
        <x:v>P0-079</x:v>
      </x:c>
      <x:c r="C81" s="17" t="str">
        <x:v>M3</x:v>
      </x:c>
      <x:c r="D81" s="17" t="str">
        <x:v>M3-P079</x:v>
      </x:c>
      <x:c r="E81" s="17" t="str">
        <x:v>AUTOMATED_AND_MANUAL_AS_REQUIRED</x:v>
      </x:c>
      <x:c r="F81" s="17" t="str">
        <x:v>CI_PASS</x:v>
      </x:c>
      <x:c r="G81" s="17" t="str">
        <x:v>NOT_EXECUTED</x:v>
      </x:c>
      <x:c r="H81" s="17" t="str">
        <x:v>在对应切片先登记失败测试ID，再记录focused tests与pnpm verify；真机/预发布按要求执行</x:v>
      </x:c>
      <x:c r="I81" s="17" t="str">
        <x:v>采购车支持跨供应商分组但统一结账；结算页统一展示商品、地址、开票、配送、付款和总金额，价格/库存/配送变化逐项提示且不产生多次付款。</x:v>
      </x:c>
      <x:c r="J81" s="17" t="str"/>
      <x:c r="K81" s="17" t="str"/>
      <x:c r="L81" s="17" t="str"/>
      <x:c r="M81" s="17" t="str"/>
      <x:c r="N81" s="17" t="str"/>
      <x:c r="O81" s="17" t="str"/>
      <x:c r="P81" s="17" t="str"/>
      <x:c r="Q81" s="17" t="str"/>
      <x:c r="R81" s="17" t="str">
        <x:v>NO_EVIDENCE_YET</x:v>
      </x:c>
      <x:c r="S81" s="17" t="str"/>
      <x:c r="T81" s="17" t="str">
        <x:v>YES</x:v>
      </x:c>
      <x:c r="U81" s="17" t="str">
        <x:v>不得以旧输出、字符串搜索、页面资产或模型自述替代</x:v>
      </x:c>
    </x:row>
    <x:row r="82" ht="23" customHeight="1">
      <x:c r="A82" s="17" t="str">
        <x:v>EVD-080</x:v>
      </x:c>
      <x:c r="B82" s="17" t="str">
        <x:v>P0-080</x:v>
      </x:c>
      <x:c r="C82" s="17" t="str">
        <x:v>M3</x:v>
      </x:c>
      <x:c r="D82" s="17" t="str">
        <x:v>M3-P080</x:v>
      </x:c>
      <x:c r="E82" s="17" t="str">
        <x:v>AUTOMATED_AND_MANUAL_AS_REQUIRED</x:v>
      </x:c>
      <x:c r="F82" s="17" t="str">
        <x:v>CI_PASS</x:v>
      </x:c>
      <x:c r="G82" s="17" t="str">
        <x:v>NOT_EXECUTED</x:v>
      </x:c>
      <x:c r="H82" s="17" t="str">
        <x:v>在对应切片先登记失败测试ID，再记录focused tests与pnpm verify；真机/预发布按要求执行</x:v>
      </x:c>
      <x:c r="I82" s="17" t="str">
        <x:v>工作台、订单列表、订单详情、统一配送时间线、售后、发票、常购清单、企业资料和消息页面完整；数据仅限本企业且不展示供应商内部结算。</x:v>
      </x:c>
      <x:c r="J82" s="17" t="str"/>
      <x:c r="K82" s="17" t="str"/>
      <x:c r="L82" s="17" t="str"/>
      <x:c r="M82" s="17" t="str"/>
      <x:c r="N82" s="17" t="str"/>
      <x:c r="O82" s="17" t="str"/>
      <x:c r="P82" s="17" t="str"/>
      <x:c r="Q82" s="17" t="str"/>
      <x:c r="R82" s="17" t="str">
        <x:v>NO_EVIDENCE_YET</x:v>
      </x:c>
      <x:c r="S82" s="17" t="str"/>
      <x:c r="T82" s="17" t="str">
        <x:v>YES</x:v>
      </x:c>
      <x:c r="U82" s="17" t="str">
        <x:v>不得以旧输出、字符串搜索、页面资产或模型自述替代</x:v>
      </x:c>
    </x:row>
    <x:row r="83" ht="23" customHeight="1">
      <x:c r="A83" s="17" t="str">
        <x:v>EVD-081</x:v>
      </x:c>
      <x:c r="B83" s="17" t="str">
        <x:v>P0-081</x:v>
      </x:c>
      <x:c r="C83" s="17" t="str">
        <x:v>M3</x:v>
      </x:c>
      <x:c r="D83" s="17" t="str">
        <x:v>M3-P081</x:v>
      </x:c>
      <x:c r="E83" s="17" t="str">
        <x:v>AUTOMATED_AND_MANUAL_AS_REQUIRED</x:v>
      </x:c>
      <x:c r="F83" s="17" t="str">
        <x:v>CI_PASS</x:v>
      </x:c>
      <x:c r="G83" s="17" t="str">
        <x:v>NOT_EXECUTED</x:v>
      </x:c>
      <x:c r="H83" s="17" t="str">
        <x:v>在对应切片先登记失败测试ID，再记录focused tests与pnpm verify；真机/预发布按要求执行</x:v>
      </x:c>
      <x:c r="I83" s="17" t="str">
        <x:v>桌面、平板和手机可完成注册、浏览、采购车、下单、订单和售后；加载、空态、失败、未认证、无权限、对象失效和表单错误状态均有明确反馈。</x:v>
      </x:c>
      <x:c r="J83" s="17" t="str"/>
      <x:c r="K83" s="17" t="str"/>
      <x:c r="L83" s="17" t="str"/>
      <x:c r="M83" s="17" t="str"/>
      <x:c r="N83" s="17" t="str"/>
      <x:c r="O83" s="17" t="str"/>
      <x:c r="P83" s="17" t="str"/>
      <x:c r="Q83" s="17" t="str"/>
      <x:c r="R83" s="17" t="str">
        <x:v>NO_EVIDENCE_YET</x:v>
      </x:c>
      <x:c r="S83" s="17" t="str"/>
      <x:c r="T83" s="17" t="str">
        <x:v>YES</x:v>
      </x:c>
      <x:c r="U83" s="17" t="str">
        <x:v>不得以旧输出、字符串搜索、页面资产或模型自述替代</x:v>
      </x:c>
    </x:row>
    <x:row r="84" ht="23" customHeight="1">
      <x:c r="A84" s="17" t="str">
        <x:v>EVD-082</x:v>
      </x:c>
      <x:c r="B84" s="17" t="str">
        <x:v>P0-082</x:v>
      </x:c>
      <x:c r="C84" s="17" t="str">
        <x:v>M5</x:v>
      </x:c>
      <x:c r="D84" s="17" t="str">
        <x:v>M5-P082</x:v>
      </x:c>
      <x:c r="E84" s="17" t="str">
        <x:v>AUTOMATED_AND_MANUAL_AS_REQUIRED</x:v>
      </x:c>
      <x:c r="F84" s="17" t="str">
        <x:v>CI_PASS</x:v>
      </x:c>
      <x:c r="G84" s="17" t="str">
        <x:v>NOT_EXECUTED</x:v>
      </x:c>
      <x:c r="H84" s="17" t="str">
        <x:v>先登记失败测试；检查服务端HTML、metadata/canonical/structured data、sitemap/robots、按slug ISR失效及登录/预览/交易页noindex/private/no-store</x:v>
      </x:c>
      <x:c r="I84" s="17" t="str">
        <x:v>公开内容支持草稿、预览、发布、下线和不可覆盖版本；Next.js 公开页输出可抓取 HTML、唯一元数据、canonical、结构化数据、sitemap/robots，并在发布后按 slug 正确失效；登录、预览与企业交易页为 noindex 且禁止公共缓存。富文本、上传、表单、埋点及商务线索满足权限、净化、最小收集和审计要求。</x:v>
      </x:c>
      <x:c r="J84" s="17" t="str"/>
      <x:c r="K84" s="17" t="str"/>
      <x:c r="L84" s="17" t="str"/>
      <x:c r="M84" s="17" t="str"/>
      <x:c r="N84" s="17" t="str"/>
      <x:c r="O84" s="17" t="str"/>
      <x:c r="P84" s="17" t="str"/>
      <x:c r="Q84" s="17" t="str"/>
      <x:c r="R84" s="17" t="str">
        <x:v>NO_EVIDENCE_YET</x:v>
      </x:c>
      <x:c r="S84" s="17" t="str"/>
      <x:c r="T84" s="17" t="str">
        <x:v>YES</x:v>
      </x:c>
      <x:c r="U84" s="17" t="str">
        <x:v>不得以旧输出、字符串搜索、页面资产或模型自述替代</x:v>
      </x:c>
    </x:row>
    <x:row r="85" ht="23" customHeight="1">
      <x:c r="A85" s="17" t="str">
        <x:v>EVD-083</x:v>
      </x:c>
      <x:c r="B85" s="17" t="str">
        <x:v>P0-083</x:v>
      </x:c>
      <x:c r="C85" s="17" t="str">
        <x:v>M3</x:v>
      </x:c>
      <x:c r="D85" s="17" t="str">
        <x:v>M3-P083</x:v>
      </x:c>
      <x:c r="E85" s="17" t="str">
        <x:v>AUTOMATED_AND_MANUAL_AS_REQUIRED</x:v>
      </x:c>
      <x:c r="F85" s="17" t="str">
        <x:v>DEVICE_PASS</x:v>
      </x:c>
      <x:c r="G85" s="17" t="str">
        <x:v>NOT_EXECUTED</x:v>
      </x:c>
      <x:c r="H85" s="17" t="str">
        <x:v>在对应切片先登记失败测试ID，再记录focused tests与pnpm verify；真机/预发布按要求执行</x:v>
      </x:c>
      <x:c r="I85" s="17" t="str">
        <x:v>小程序是个人零售入口，游客可浏览、登录后交易；公司是唯一销售/收款/退款/开票/售后主体，页面不出现企业采购交易、供应商后台或跑腿工作台入口。</x:v>
      </x:c>
      <x:c r="J85" s="17" t="str"/>
      <x:c r="K85" s="17" t="str"/>
      <x:c r="L85" s="17" t="str"/>
      <x:c r="M85" s="17" t="str"/>
      <x:c r="N85" s="17" t="str"/>
      <x:c r="O85" s="17" t="str"/>
      <x:c r="P85" s="17" t="str"/>
      <x:c r="Q85" s="17" t="str"/>
      <x:c r="R85" s="17" t="str">
        <x:v>NO_EVIDENCE_YET</x:v>
      </x:c>
      <x:c r="S85" s="17" t="str"/>
      <x:c r="T85" s="17" t="str">
        <x:v>YES</x:v>
      </x:c>
      <x:c r="U85" s="17" t="str">
        <x:v>不得以旧输出、字符串搜索、页面资产或模型自述替代</x:v>
      </x:c>
    </x:row>
    <x:row r="86" ht="23" customHeight="1">
      <x:c r="A86" s="17" t="str">
        <x:v>EVD-084</x:v>
      </x:c>
      <x:c r="B86" s="17" t="str">
        <x:v>P0-084</x:v>
      </x:c>
      <x:c r="C86" s="17" t="str">
        <x:v>M3</x:v>
      </x:c>
      <x:c r="D86" s="17" t="str">
        <x:v>M3-P084</x:v>
      </x:c>
      <x:c r="E86" s="17" t="str">
        <x:v>AUTOMATED_AND_MANUAL_AS_REQUIRED</x:v>
      </x:c>
      <x:c r="F86" s="17" t="str">
        <x:v>DEVICE_PASS</x:v>
      </x:c>
      <x:c r="G86" s="17" t="str">
        <x:v>NOT_EXECUTED</x:v>
      </x:c>
      <x:c r="H86" s="17" t="str">
        <x:v>在对应切片先登记失败测试ID，再记录focused tests与pnpm verify；真机/预发布按要求执行</x:v>
      </x:c>
      <x:c r="I86" s="17" t="str">
        <x:v>首页、分类、购物车、我的四个 TabBar 入口及搜索、详情、确认订单、支付结果、订单、售后、福利卡、地址、发票、消息和客服页面路径完整，深链返回和登录回跳正确。</x:v>
      </x:c>
      <x:c r="J86" s="17" t="str"/>
      <x:c r="K86" s="17" t="str"/>
      <x:c r="L86" s="17" t="str"/>
      <x:c r="M86" s="17" t="str"/>
      <x:c r="N86" s="17" t="str"/>
      <x:c r="O86" s="17" t="str"/>
      <x:c r="P86" s="17" t="str"/>
      <x:c r="Q86" s="17" t="str"/>
      <x:c r="R86" s="17" t="str">
        <x:v>NO_EVIDENCE_YET</x:v>
      </x:c>
      <x:c r="S86" s="17" t="str"/>
      <x:c r="T86" s="17" t="str">
        <x:v>YES</x:v>
      </x:c>
      <x:c r="U86" s="17" t="str">
        <x:v>不得以旧输出、字符串搜索、页面资产或模型自述替代</x:v>
      </x:c>
    </x:row>
    <x:row r="87" ht="23" customHeight="1">
      <x:c r="A87" s="17" t="str">
        <x:v>EVD-085</x:v>
      </x:c>
      <x:c r="B87" s="17" t="str">
        <x:v>P0-085</x:v>
      </x:c>
      <x:c r="C87" s="17" t="str">
        <x:v>M3</x:v>
      </x:c>
      <x:c r="D87" s="17" t="str">
        <x:v>M3-P085</x:v>
      </x:c>
      <x:c r="E87" s="17" t="str">
        <x:v>AUTOMATED_AND_MANUAL_AS_REQUIRED</x:v>
      </x:c>
      <x:c r="F87" s="17" t="str">
        <x:v>DEVICE_PASS</x:v>
      </x:c>
      <x:c r="G87" s="17" t="str">
        <x:v>NOT_EXECUTED</x:v>
      </x:c>
      <x:c r="H87" s="17" t="str">
        <x:v>在对应切片先登记失败测试ID，再记录focused tests与pnpm verify；真机/预发布按要求执行</x:v>
      </x:c>
      <x:c r="I87" s="17" t="str">
        <x:v>启动不强制手机号、定位或订阅消息授权；受保护操作再登录并说明用途，拒绝授权仍可游客浏览；服务端以微信身份绑定 userId，前端不能指定他人身份。</x:v>
      </x:c>
      <x:c r="J87" s="17" t="str"/>
      <x:c r="K87" s="17" t="str"/>
      <x:c r="L87" s="17" t="str"/>
      <x:c r="M87" s="17" t="str"/>
      <x:c r="N87" s="17" t="str"/>
      <x:c r="O87" s="17" t="str"/>
      <x:c r="P87" s="17" t="str"/>
      <x:c r="Q87" s="17" t="str"/>
      <x:c r="R87" s="17" t="str">
        <x:v>NO_EVIDENCE_YET</x:v>
      </x:c>
      <x:c r="S87" s="17" t="str"/>
      <x:c r="T87" s="17" t="str">
        <x:v>YES</x:v>
      </x:c>
      <x:c r="U87" s="17" t="str">
        <x:v>不得以旧输出、字符串搜索、页面资产或模型自述替代</x:v>
      </x:c>
    </x:row>
    <x:row r="88" ht="23" customHeight="1">
      <x:c r="A88" s="17" t="str">
        <x:v>EVD-086</x:v>
      </x:c>
      <x:c r="B88" s="17" t="str">
        <x:v>P0-086</x:v>
      </x:c>
      <x:c r="C88" s="17" t="str">
        <x:v>M3</x:v>
      </x:c>
      <x:c r="D88" s="17" t="str">
        <x:v>M3-P086</x:v>
      </x:c>
      <x:c r="E88" s="17" t="str">
        <x:v>AUTOMATED_AND_MANUAL_AS_REQUIRED</x:v>
      </x:c>
      <x:c r="F88" s="17" t="str">
        <x:v>DEVICE_PASS</x:v>
      </x:c>
      <x:c r="G88" s="17" t="str">
        <x:v>NOT_EXECUTED</x:v>
      </x:c>
      <x:c r="H88" s="17" t="str">
        <x:v>在对应切片先登记失败测试ID，再记录focused tests与pnpm verify；真机/预发布按要求执行</x:v>
      </x:c>
      <x:c r="I88" s="17" t="str">
        <x:v>收货区域、搜索、运营位、快捷分类、福利专区、主题商品、推荐/继续购买和服务保障完整；运营内容有有效期与落地页白名单，切换区域后重新校验但不直接清空购物车。</x:v>
      </x:c>
      <x:c r="J88" s="17" t="str"/>
      <x:c r="K88" s="17" t="str"/>
      <x:c r="L88" s="17" t="str"/>
      <x:c r="M88" s="17" t="str"/>
      <x:c r="N88" s="17" t="str"/>
      <x:c r="O88" s="17" t="str"/>
      <x:c r="P88" s="17" t="str"/>
      <x:c r="Q88" s="17" t="str"/>
      <x:c r="R88" s="17" t="str">
        <x:v>NO_EVIDENCE_YET</x:v>
      </x:c>
      <x:c r="S88" s="17" t="str"/>
      <x:c r="T88" s="17" t="str">
        <x:v>YES</x:v>
      </x:c>
      <x:c r="U88" s="17" t="str">
        <x:v>不得以旧输出、字符串搜索、页面资产或模型自述替代</x:v>
      </x:c>
    </x:row>
    <x:row r="89" ht="23" customHeight="1">
      <x:c r="A89" s="17" t="str">
        <x:v>EVD-087</x:v>
      </x:c>
      <x:c r="B89" s="17" t="str">
        <x:v>P0-087</x:v>
      </x:c>
      <x:c r="C89" s="17" t="str">
        <x:v>M3</x:v>
      </x:c>
      <x:c r="D89" s="17" t="str">
        <x:v>M3-P087</x:v>
      </x:c>
      <x:c r="E89" s="17" t="str">
        <x:v>AUTOMATED_AND_MANUAL_AS_REQUIRED</x:v>
      </x:c>
      <x:c r="F89" s="17" t="str">
        <x:v>DEVICE_PASS</x:v>
      </x:c>
      <x:c r="G89" s="17" t="str">
        <x:v>NOT_EXECUTED</x:v>
      </x:c>
      <x:c r="H89" s="17" t="str">
        <x:v>在对应切片先登记失败测试ID，再记录focused tests与pnpm verify；真机/预发布按要求执行</x:v>
      </x:c>
      <x:c r="I89" s="17" t="str">
        <x:v>启用分类树、搜索建议、模板属性筛选、排序、稳定分页和状态恢复完整；只返回个人渠道可售商品和平台零售价，无结果、下架、售罄及区域不可售均可理解并可恢复。</x:v>
      </x:c>
      <x:c r="J89" s="17" t="str"/>
      <x:c r="K89" s="17" t="str"/>
      <x:c r="L89" s="17" t="str"/>
      <x:c r="M89" s="17" t="str"/>
      <x:c r="N89" s="17" t="str"/>
      <x:c r="O89" s="17" t="str"/>
      <x:c r="P89" s="17" t="str"/>
      <x:c r="Q89" s="17" t="str"/>
      <x:c r="R89" s="17" t="str">
        <x:v>NO_EVIDENCE_YET</x:v>
      </x:c>
      <x:c r="S89" s="17" t="str"/>
      <x:c r="T89" s="17" t="str">
        <x:v>YES</x:v>
      </x:c>
      <x:c r="U89" s="17" t="str">
        <x:v>不得以旧输出、字符串搜索、页面资产或模型自述替代</x:v>
      </x:c>
    </x:row>
    <x:row r="90" ht="23" customHeight="1">
      <x:c r="A90" s="17" t="str">
        <x:v>EVD-088</x:v>
      </x:c>
      <x:c r="B90" s="17" t="str">
        <x:v>P0-088</x:v>
      </x:c>
      <x:c r="C90" s="17" t="str">
        <x:v>M3</x:v>
      </x:c>
      <x:c r="D90" s="17" t="str">
        <x:v>M3-P088</x:v>
      </x:c>
      <x:c r="E90" s="17" t="str">
        <x:v>AUTOMATED_AND_MANUAL_AS_REQUIRED</x:v>
      </x:c>
      <x:c r="F90" s="17" t="str">
        <x:v>DEVICE_PASS</x:v>
      </x:c>
      <x:c r="G90" s="17" t="str">
        <x:v>NOT_EXECUTED</x:v>
      </x:c>
      <x:c r="H90" s="17" t="str">
        <x:v>在对应切片先登记失败测试ID，再记录focused tests与pnpm verify；真机/预发布按要求执行</x:v>
      </x:c>
      <x:c r="I90" s="17" t="str">
        <x:v>商品媒体、标题、平台零售价、SKU、福利卡适用、库存、配送、售后、分类模板模块、供应来源和底部操作完整；不同分类按模板版本展示且历史订单快照不被升级改写。</x:v>
      </x:c>
      <x:c r="J90" s="17" t="str"/>
      <x:c r="K90" s="17" t="str"/>
      <x:c r="L90" s="17" t="str"/>
      <x:c r="M90" s="17" t="str"/>
      <x:c r="N90" s="17" t="str"/>
      <x:c r="O90" s="17" t="str"/>
      <x:c r="P90" s="17" t="str"/>
      <x:c r="Q90" s="17" t="str"/>
      <x:c r="R90" s="17" t="str">
        <x:v>NO_EVIDENCE_YET</x:v>
      </x:c>
      <x:c r="S90" s="17" t="str"/>
      <x:c r="T90" s="17" t="str">
        <x:v>YES</x:v>
      </x:c>
      <x:c r="U90" s="17" t="str">
        <x:v>不得以旧输出、字符串搜索、页面资产或模型自述替代</x:v>
      </x:c>
    </x:row>
    <x:row r="91" ht="23" customHeight="1">
      <x:c r="A91" s="17" t="str">
        <x:v>EVD-089</x:v>
      </x:c>
      <x:c r="B91" s="17" t="str">
        <x:v>P0-089</x:v>
      </x:c>
      <x:c r="C91" s="17" t="str">
        <x:v>M3</x:v>
      </x:c>
      <x:c r="D91" s="17" t="str">
        <x:v>M3-P089</x:v>
      </x:c>
      <x:c r="E91" s="17" t="str">
        <x:v>AUTOMATED_AND_MANUAL_AS_REQUIRED</x:v>
      </x:c>
      <x:c r="F91" s="17" t="str">
        <x:v>DEVICE_PASS</x:v>
      </x:c>
      <x:c r="G91" s="17" t="str">
        <x:v>NOT_EXECUTED</x:v>
      </x:c>
      <x:c r="H91" s="17" t="str">
        <x:v>在对应切片先登记失败测试ID，再记录focused tests与pnpm verify；真机/预发布按要求执行</x:v>
      </x:c>
      <x:c r="I91" s="17" t="str">
        <x:v>按当前 supplierId 返回公司已审核上架且个人可售的 Product/Sku，继续使用公司货架、价格、购物车、协议和客服；不存在供应商店铺、装修、评分、联系方式、独立售后或独立付款。</x:v>
      </x:c>
      <x:c r="J91" s="17" t="str"/>
      <x:c r="K91" s="17" t="str"/>
      <x:c r="L91" s="17" t="str"/>
      <x:c r="M91" s="17" t="str"/>
      <x:c r="N91" s="17" t="str"/>
      <x:c r="O91" s="17" t="str"/>
      <x:c r="P91" s="17" t="str"/>
      <x:c r="Q91" s="17" t="str"/>
      <x:c r="R91" s="17" t="str">
        <x:v>NO_EVIDENCE_YET</x:v>
      </x:c>
      <x:c r="S91" s="17" t="str"/>
      <x:c r="T91" s="17" t="str">
        <x:v>YES</x:v>
      </x:c>
      <x:c r="U91" s="17" t="str">
        <x:v>不得以旧输出、字符串搜索、页面资产或模型自述替代</x:v>
      </x:c>
    </x:row>
    <x:row r="92" ht="23" customHeight="1">
      <x:c r="A92" s="17" t="str">
        <x:v>EVD-090</x:v>
      </x:c>
      <x:c r="B92" s="17" t="str">
        <x:v>P0-090</x:v>
      </x:c>
      <x:c r="C92" s="17" t="str">
        <x:v>M3</x:v>
      </x:c>
      <x:c r="D92" s="17" t="str">
        <x:v>M3-P090</x:v>
      </x:c>
      <x:c r="E92" s="17" t="str">
        <x:v>AUTOMATED_AND_MANUAL_AS_REQUIRED</x:v>
      </x:c>
      <x:c r="F92" s="17" t="str">
        <x:v>DEVICE_PASS</x:v>
      </x:c>
      <x:c r="G92" s="17" t="str">
        <x:v>NOT_EXECUTED</x:v>
      </x:c>
      <x:c r="H92" s="17" t="str">
        <x:v>在对应切片先登记失败测试ID，再记录focused tests与pnpm verify；真机/预发布按要求执行</x:v>
      </x:c>
      <x:c r="I92" s="17" t="str">
        <x:v>至少三个供应商商品可按供应来源分组选择、改数量、处理失效项并一次进入结算；前端不按供应商多次创建订单或多次付款，分组仅用于备货和配送说明。</x:v>
      </x:c>
      <x:c r="J92" s="17" t="str"/>
      <x:c r="K92" s="17" t="str"/>
      <x:c r="L92" s="17" t="str"/>
      <x:c r="M92" s="17" t="str"/>
      <x:c r="N92" s="17" t="str"/>
      <x:c r="O92" s="17" t="str"/>
      <x:c r="P92" s="17" t="str"/>
      <x:c r="Q92" s="17" t="str"/>
      <x:c r="R92" s="17" t="str">
        <x:v>NO_EVIDENCE_YET</x:v>
      </x:c>
      <x:c r="S92" s="17" t="str"/>
      <x:c r="T92" s="17" t="str">
        <x:v>YES</x:v>
      </x:c>
      <x:c r="U92" s="17" t="str">
        <x:v>不得以旧输出、字符串搜索、页面资产或模型自述替代</x:v>
      </x:c>
    </x:row>
    <x:row r="93" ht="23" customHeight="1">
      <x:c r="A93" s="17" t="str">
        <x:v>EVD-091</x:v>
      </x:c>
      <x:c r="B93" s="17" t="str">
        <x:v>P0-091</x:v>
      </x:c>
      <x:c r="C93" s="17" t="str">
        <x:v>M3</x:v>
      </x:c>
      <x:c r="D93" s="17" t="str">
        <x:v>M3-P091</x:v>
      </x:c>
      <x:c r="E93" s="17" t="str">
        <x:v>AUTOMATED_AND_MANUAL_AS_REQUIRED</x:v>
      </x:c>
      <x:c r="F93" s="17" t="str">
        <x:v>DEVICE_PASS</x:v>
      </x:c>
      <x:c r="G93" s="17" t="str">
        <x:v>NOT_EXECUTED</x:v>
      </x:c>
      <x:c r="H93" s="17" t="str">
        <x:v>在对应切片先登记失败测试ID，再记录focused tests与pnpm verify；真机/预发布按要求执行</x:v>
      </x:c>
      <x:c r="I93" s="17" t="str">
        <x:v>地址、商品分组、配送费、优惠、福利卡、微信支付应付、发票、备注、协议和金额明细完整；现金应付大于零时固定显示微信支付，不展示其他支付渠道；服务端统一试算并逐项提示价格、库存、区域、限购和配送变化。</x:v>
      </x:c>
      <x:c r="J93" s="17" t="str"/>
      <x:c r="K93" s="17" t="str"/>
      <x:c r="L93" s="17" t="str"/>
      <x:c r="M93" s="17" t="str"/>
      <x:c r="N93" s="17" t="str"/>
      <x:c r="O93" s="17" t="str"/>
      <x:c r="P93" s="17" t="str"/>
      <x:c r="Q93" s="17" t="str"/>
      <x:c r="R93" s="17" t="str">
        <x:v>NO_EVIDENCE_YET</x:v>
      </x:c>
      <x:c r="S93" s="17" t="str"/>
      <x:c r="T93" s="17" t="str">
        <x:v>YES</x:v>
      </x:c>
      <x:c r="U93" s="17" t="str">
        <x:v>不得以旧输出、字符串搜索、页面资产或模型自述替代</x:v>
      </x:c>
    </x:row>
    <x:row r="94" ht="23" customHeight="1">
      <x:c r="A94" s="17" t="str">
        <x:v>EVD-092</x:v>
      </x:c>
      <x:c r="B94" s="17" t="str">
        <x:v>P0-092</x:v>
      </x:c>
      <x:c r="C94" s="17" t="str">
        <x:v>M3</x:v>
      </x:c>
      <x:c r="D94" s="17" t="str">
        <x:v>M3-P092</x:v>
      </x:c>
      <x:c r="E94" s="17" t="str">
        <x:v>AUTOMATED_AND_MANUAL_AS_REQUIRED</x:v>
      </x:c>
      <x:c r="F94" s="17" t="str">
        <x:v>DEVICE_PASS</x:v>
      </x:c>
      <x:c r="G94" s="17" t="str">
        <x:v>NOT_EXECUTED</x:v>
      </x:c>
      <x:c r="H94" s="17" t="str">
        <x:v>在对应切片先登记失败测试ID，再记录focused tests与pnpm verify；真机/预发布按要求执行</x:v>
      </x:c>
      <x:c r="I94" s="17" t="str">
        <x:v>结算页只显示当前订单可用账户，P0 选择一个账户或不使用；系统自动按可用余额与可抵扣金额的较小值最大抵扣，不要求手填金额，适用与不可用商品说明一致。</x:v>
      </x:c>
      <x:c r="J94" s="17" t="str"/>
      <x:c r="K94" s="17" t="str"/>
      <x:c r="L94" s="17" t="str"/>
      <x:c r="M94" s="17" t="str"/>
      <x:c r="N94" s="17" t="str"/>
      <x:c r="O94" s="17" t="str"/>
      <x:c r="P94" s="17" t="str"/>
      <x:c r="Q94" s="17" t="str"/>
      <x:c r="R94" s="17" t="str">
        <x:v>NO_EVIDENCE_YET</x:v>
      </x:c>
      <x:c r="S94" s="17" t="str"/>
      <x:c r="T94" s="17" t="str">
        <x:v>YES</x:v>
      </x:c>
      <x:c r="U94" s="17" t="str">
        <x:v>不得以旧输出、字符串搜索、页面资产或模型自述替代</x:v>
      </x:c>
    </x:row>
    <x:row r="95" ht="23" customHeight="1">
      <x:c r="A95" s="17" t="str">
        <x:v>EVD-093</x:v>
      </x:c>
      <x:c r="B95" s="17" t="str">
        <x:v>P0-093</x:v>
      </x:c>
      <x:c r="C95" s="17" t="str">
        <x:v>M3</x:v>
      </x:c>
      <x:c r="D95" s="17" t="str">
        <x:v>M3-P093</x:v>
      </x:c>
      <x:c r="E95" s="17" t="str">
        <x:v>AUTOMATED_AND_MANUAL_AS_REQUIRED</x:v>
      </x:c>
      <x:c r="F95" s="17" t="str">
        <x:v>DEVICE_PASS</x:v>
      </x:c>
      <x:c r="G95" s="17" t="str">
        <x:v>NOT_EXECUTED</x:v>
      </x:c>
      <x:c r="H95" s="17" t="str">
        <x:v>在对应切片先登记失败测试ID，再记录focused tests与pnpm verify；真机/预发布按要求执行</x:v>
      </x:c>
      <x:c r="I95" s="17" t="str">
        <x:v>纯微信支付、福利卡全额和福利卡＋微信支付均只形成一次公司结账；结果页查询服务端微信支付真实状态，取消/失败/未知状态正确冻结或释放福利卡与库存，退出或断网后可恢复且不重复扣款。</x:v>
      </x:c>
      <x:c r="J95" s="17" t="str"/>
      <x:c r="K95" s="17" t="str"/>
      <x:c r="L95" s="17" t="str"/>
      <x:c r="M95" s="17" t="str"/>
      <x:c r="N95" s="17" t="str"/>
      <x:c r="O95" s="17" t="str"/>
      <x:c r="P95" s="17" t="str"/>
      <x:c r="Q95" s="17" t="str"/>
      <x:c r="R95" s="17" t="str">
        <x:v>NO_EVIDENCE_YET</x:v>
      </x:c>
      <x:c r="S95" s="17" t="str"/>
      <x:c r="T95" s="17" t="str">
        <x:v>YES</x:v>
      </x:c>
      <x:c r="U95" s="17" t="str">
        <x:v>不得以旧输出、字符串搜索、页面资产或模型自述替代</x:v>
      </x:c>
    </x:row>
    <x:row r="96" ht="23" customHeight="1">
      <x:c r="A96" s="17" t="str">
        <x:v>EVD-094</x:v>
      </x:c>
      <x:c r="B96" s="17" t="str">
        <x:v>P0-094</x:v>
      </x:c>
      <x:c r="C96" s="17" t="str">
        <x:v>M3</x:v>
      </x:c>
      <x:c r="D96" s="17" t="str">
        <x:v>M3-P094</x:v>
      </x:c>
      <x:c r="E96" s="17" t="str">
        <x:v>AUTOMATED_AND_MANUAL_AS_REQUIRED</x:v>
      </x:c>
      <x:c r="F96" s="17" t="str">
        <x:v>DEVICE_PASS</x:v>
      </x:c>
      <x:c r="G96" s="17" t="str">
        <x:v>NOT_EXECUTED</x:v>
      </x:c>
      <x:c r="H96" s="17" t="str">
        <x:v>在对应切片先登记失败测试ID，再记录focused tests与pnpm verify；真机/预发布按要求执行</x:v>
      </x:c>
      <x:c r="I96" s="17" t="str">
        <x:v>订单列表和详情同时表达一个公司主订单、一次支付、多个供应商履约子单、福利卡/微信支付结构、发票和售后；用户端不返回供应价、供应商应付、跑腿报酬或内部备注。</x:v>
      </x:c>
      <x:c r="J96" s="17" t="str"/>
      <x:c r="K96" s="17" t="str"/>
      <x:c r="L96" s="17" t="str"/>
      <x:c r="M96" s="17" t="str"/>
      <x:c r="N96" s="17" t="str"/>
      <x:c r="O96" s="17" t="str"/>
      <x:c r="P96" s="17" t="str"/>
      <x:c r="Q96" s="17" t="str"/>
      <x:c r="R96" s="17" t="str">
        <x:v>NO_EVIDENCE_YET</x:v>
      </x:c>
      <x:c r="S96" s="17" t="str"/>
      <x:c r="T96" s="17" t="str">
        <x:v>YES</x:v>
      </x:c>
      <x:c r="U96" s="17" t="str">
        <x:v>不得以旧输出、字符串搜索、页面资产或模型自述替代</x:v>
      </x:c>
    </x:row>
    <x:row r="97" ht="23" customHeight="1">
      <x:c r="A97" s="17" t="str">
        <x:v>EVD-095</x:v>
      </x:c>
      <x:c r="B97" s="17" t="str">
        <x:v>P0-095</x:v>
      </x:c>
      <x:c r="C97" s="17" t="str">
        <x:v>M4</x:v>
      </x:c>
      <x:c r="D97" s="17" t="str">
        <x:v>M4-P095</x:v>
      </x:c>
      <x:c r="E97" s="17" t="str">
        <x:v>AUTOMATED_AND_MANUAL_AS_REQUIRED</x:v>
      </x:c>
      <x:c r="F97" s="17" t="str">
        <x:v>DEVICE_PASS</x:v>
      </x:c>
      <x:c r="G97" s="17" t="str">
        <x:v>NOT_EXECUTED</x:v>
      </x:c>
      <x:c r="H97" s="17" t="str">
        <x:v>在对应切片先登记失败测试ID，再记录focused tests与pnpm verify；真机/预发布按要求执行</x:v>
      </x:c>
      <x:c r="I97" s="17" t="str">
        <x:v>同一主订单的每个个人供应商子单可展示独立跑腿配送卡与顺序节点，支持多个跑腿员、分批送达、异常和分项收货；单个子单送达不误标整单送达。</x:v>
      </x:c>
      <x:c r="J97" s="17" t="str"/>
      <x:c r="K97" s="17" t="str"/>
      <x:c r="L97" s="17" t="str"/>
      <x:c r="M97" s="17" t="str"/>
      <x:c r="N97" s="17" t="str"/>
      <x:c r="O97" s="17" t="str"/>
      <x:c r="P97" s="17" t="str"/>
      <x:c r="Q97" s="17" t="str"/>
      <x:c r="R97" s="17" t="str">
        <x:v>NO_EVIDENCE_YET</x:v>
      </x:c>
      <x:c r="S97" s="17" t="str"/>
      <x:c r="T97" s="17" t="str">
        <x:v>YES</x:v>
      </x:c>
      <x:c r="U97" s="17" t="str">
        <x:v>不得以旧输出、字符串搜索、页面资产或模型自述替代</x:v>
      </x:c>
    </x:row>
    <x:row r="98" ht="23" customHeight="1">
      <x:c r="A98" s="17" t="str">
        <x:v>EVD-096</x:v>
      </x:c>
      <x:c r="B98" s="17" t="str">
        <x:v>P0-096</x:v>
      </x:c>
      <x:c r="C98" s="17" t="str">
        <x:v>M3</x:v>
      </x:c>
      <x:c r="D98" s="17" t="str">
        <x:v>M3-P096</x:v>
      </x:c>
      <x:c r="E98" s="17" t="str">
        <x:v>AUTOMATED_AND_MANUAL_AS_REQUIRED</x:v>
      </x:c>
      <x:c r="F98" s="17" t="str">
        <x:v>DEVICE_PASS</x:v>
      </x:c>
      <x:c r="G98" s="17" t="str">
        <x:v>NOT_EXECUTED</x:v>
      </x:c>
      <x:c r="H98" s="17" t="str">
        <x:v>在对应切片先登记失败测试ID，再记录focused tests与pnpm verify；真机/预发布按要求执行</x:v>
      </x:c>
      <x:c r="I98" s="17" t="str">
        <x:v>支持按商品/子单申请、动态原因与凭证、补证、处理时间线、退货说明、客服申诉和部分退款；公司统一受理，福利卡与微信支付严格按原 OrderPaymentAllocation 退回。</x:v>
      </x:c>
      <x:c r="J98" s="17" t="str"/>
      <x:c r="K98" s="17" t="str"/>
      <x:c r="L98" s="17" t="str"/>
      <x:c r="M98" s="17" t="str"/>
      <x:c r="N98" s="17" t="str"/>
      <x:c r="O98" s="17" t="str"/>
      <x:c r="P98" s="17" t="str"/>
      <x:c r="Q98" s="17" t="str"/>
      <x:c r="R98" s="17" t="str">
        <x:v>NO_EVIDENCE_YET</x:v>
      </x:c>
      <x:c r="S98" s="17" t="str"/>
      <x:c r="T98" s="17" t="str">
        <x:v>YES</x:v>
      </x:c>
      <x:c r="U98" s="17" t="str">
        <x:v>不得以旧输出、字符串搜索、页面资产或模型自述替代</x:v>
      </x:c>
    </x:row>
    <x:row r="99" ht="23" customHeight="1">
      <x:c r="A99" s="17" t="str">
        <x:v>EVD-097</x:v>
      </x:c>
      <x:c r="B99" s="17" t="str">
        <x:v>P0-097</x:v>
      </x:c>
      <x:c r="C99" s="17" t="str">
        <x:v>M3</x:v>
      </x:c>
      <x:c r="D99" s="17" t="str">
        <x:v>M3-P097</x:v>
      </x:c>
      <x:c r="E99" s="17" t="str">
        <x:v>AUTOMATED_AND_MANUAL_AS_REQUIRED</x:v>
      </x:c>
      <x:c r="F99" s="17" t="str">
        <x:v>DEVICE_PASS</x:v>
      </x:c>
      <x:c r="G99" s="17" t="str">
        <x:v>NOT_EXECUTED</x:v>
      </x:c>
      <x:c r="H99" s="17" t="str">
        <x:v>在对应切片先登记失败测试ID，再记录focused tests与pnpm verify；真机/预发布按要求执行</x:v>
      </x:c>
      <x:c r="I99" s="17" t="str">
        <x:v>福利卡账户/绑定/流水、地址、发票资料、消息、客服、协议、隐私授权、账号安全和注销入口完整；卡码兑换幂等、敏感字段脱敏、订阅拒绝不影响交易。</x:v>
      </x:c>
      <x:c r="J99" s="17" t="str"/>
      <x:c r="K99" s="17" t="str"/>
      <x:c r="L99" s="17" t="str"/>
      <x:c r="M99" s="17" t="str"/>
      <x:c r="N99" s="17" t="str"/>
      <x:c r="O99" s="17" t="str"/>
      <x:c r="P99" s="17" t="str"/>
      <x:c r="Q99" s="17" t="str"/>
      <x:c r="R99" s="17" t="str">
        <x:v>NO_EVIDENCE_YET</x:v>
      </x:c>
      <x:c r="S99" s="17" t="str"/>
      <x:c r="T99" s="17" t="str">
        <x:v>YES</x:v>
      </x:c>
      <x:c r="U99" s="17" t="str">
        <x:v>不得以旧输出、字符串搜索、页面资产或模型自述替代</x:v>
      </x:c>
    </x:row>
    <x:row r="100" ht="23" customHeight="1">
      <x:c r="A100" s="17" t="str">
        <x:v>EVD-098</x:v>
      </x:c>
      <x:c r="B100" s="17" t="str">
        <x:v>P0-098</x:v>
      </x:c>
      <x:c r="C100" s="17" t="str">
        <x:v>M3</x:v>
      </x:c>
      <x:c r="D100" s="17" t="str">
        <x:v>M3-P098</x:v>
      </x:c>
      <x:c r="E100" s="17" t="str">
        <x:v>AUTOMATED_AND_MANUAL_AS_REQUIRED</x:v>
      </x:c>
      <x:c r="F100" s="17" t="str">
        <x:v>DEVICE_PASS</x:v>
      </x:c>
      <x:c r="G100" s="17" t="str">
        <x:v>NOT_EXECUTED</x:v>
      </x:c>
      <x:c r="H100" s="17" t="str">
        <x:v>在对应切片先登记失败测试ID，再记录focused tests与pnpm verify；真机/预发布按要求执行</x:v>
      </x:c>
      <x:c r="I100" s="17" t="str">
        <x:v>骨架、空态、失败、离线、登录失效、对象下架、支付未知、上传失败、分包、图片懒加载、弱网恢复、字号放大、对象级权限、分享安全和最小化埋点均通过验收；任何接口、日志、缓存或埋点均不泄露供应价及个人敏感数据。</x:v>
      </x:c>
      <x:c r="J100" s="17" t="str"/>
      <x:c r="K100" s="17" t="str"/>
      <x:c r="L100" s="17" t="str"/>
      <x:c r="M100" s="17" t="str"/>
      <x:c r="N100" s="17" t="str"/>
      <x:c r="O100" s="17" t="str"/>
      <x:c r="P100" s="17" t="str"/>
      <x:c r="Q100" s="17" t="str"/>
      <x:c r="R100" s="17" t="str">
        <x:v>NO_EVIDENCE_YET</x:v>
      </x:c>
      <x:c r="S100" s="17" t="str"/>
      <x:c r="T100" s="17" t="str">
        <x:v>YES</x:v>
      </x:c>
      <x:c r="U100" s="17" t="str">
        <x:v>不得以旧输出、字符串搜索、页面资产或模型自述替代</x:v>
      </x:c>
    </x:row>
    <x:row r="101" ht="23" customHeight="1">
      <x:c r="A101" s="17" t="str">
        <x:v>EVD-099</x:v>
      </x:c>
      <x:c r="B101" s="17" t="str">
        <x:v>P0-099</x:v>
      </x:c>
      <x:c r="C101" s="17" t="str">
        <x:v>M4</x:v>
      </x:c>
      <x:c r="D101" s="17" t="str">
        <x:v>M4-P099</x:v>
      </x:c>
      <x:c r="E101" s="17" t="str">
        <x:v>AUTOMATED_AND_MANUAL_AS_REQUIRED</x:v>
      </x:c>
      <x:c r="F101" s="17" t="str">
        <x:v>CI_PASS</x:v>
      </x:c>
      <x:c r="G101" s="17" t="str">
        <x:v>NOT_EXECUTED</x:v>
      </x:c>
      <x:c r="H101" s="17" t="str">
        <x:v>在对应切片先登记失败测试ID，再记录focused tests与pnpm verify；真机/预发布按要求执行</x:v>
      </x:c>
      <x:c r="I101" s="17" t="str">
        <x:v>个人零售子单只能生成 RETAIL_RUNNER DeliveryTask 并进入跑腿小程序；企业采购子单只能汇总进入 EnterpriseDeliveryOrder。两套接口、会话、通知、状态和数据权限互相拒绝。</x:v>
      </x:c>
      <x:c r="J101" s="17" t="str"/>
      <x:c r="K101" s="17" t="str"/>
      <x:c r="L101" s="17" t="str"/>
      <x:c r="M101" s="17" t="str"/>
      <x:c r="N101" s="17" t="str"/>
      <x:c r="O101" s="17" t="str"/>
      <x:c r="P101" s="17" t="str"/>
      <x:c r="Q101" s="17" t="str"/>
      <x:c r="R101" s="17" t="str">
        <x:v>NO_EVIDENCE_YET</x:v>
      </x:c>
      <x:c r="S101" s="17" t="str"/>
      <x:c r="T101" s="17" t="str">
        <x:v>YES</x:v>
      </x:c>
      <x:c r="U101" s="17" t="str">
        <x:v>不得以旧输出、字符串搜索、页面资产或模型自述替代</x:v>
      </x:c>
    </x:row>
    <x:row r="102" ht="23" customHeight="1">
      <x:c r="A102" s="17" t="str">
        <x:v>EVD-100</x:v>
      </x:c>
      <x:c r="B102" s="17" t="str">
        <x:v>P0-100</x:v>
      </x:c>
      <x:c r="C102" s="17" t="str">
        <x:v>M4</x:v>
      </x:c>
      <x:c r="D102" s="17" t="str">
        <x:v>M4-P100</x:v>
      </x:c>
      <x:c r="E102" s="17" t="str">
        <x:v>AUTOMATED_AND_MANUAL_AS_REQUIRED</x:v>
      </x:c>
      <x:c r="F102" s="17" t="str">
        <x:v>DEVICE_PASS</x:v>
      </x:c>
      <x:c r="G102" s="17" t="str">
        <x:v>NOT_EXECUTED</x:v>
      </x:c>
      <x:c r="H102" s="17" t="str">
        <x:v>在对应切片先登记失败测试ID，再记录focused tests与pnpm verify；真机/预发布按要求执行</x:v>
      </x:c>
      <x:c r="I102" s="17" t="str">
        <x:v>手机号验证、规则/隐私说明、申请资料、服务区域、草稿/待审/补正/通过/驳回及申诉页面完整；审核通过并启用前不能上线、查看大厅或抢单。</x:v>
      </x:c>
      <x:c r="J102" s="17" t="str"/>
      <x:c r="K102" s="17" t="str"/>
      <x:c r="L102" s="17" t="str"/>
      <x:c r="M102" s="17" t="str"/>
      <x:c r="N102" s="17" t="str"/>
      <x:c r="O102" s="17" t="str"/>
      <x:c r="P102" s="17" t="str"/>
      <x:c r="Q102" s="17" t="str"/>
      <x:c r="R102" s="17" t="str">
        <x:v>NO_EVIDENCE_YET</x:v>
      </x:c>
      <x:c r="S102" s="17" t="str"/>
      <x:c r="T102" s="17" t="str">
        <x:v>YES</x:v>
      </x:c>
      <x:c r="U102" s="17" t="str">
        <x:v>不得以旧输出、字符串搜索、页面资产或模型自述替代</x:v>
      </x:c>
    </x:row>
    <x:row r="103" ht="23" customHeight="1">
      <x:c r="A103" s="17" t="str">
        <x:v>EVD-101</x:v>
      </x:c>
      <x:c r="B103" s="17" t="str">
        <x:v>P0-101</x:v>
      </x:c>
      <x:c r="C103" s="17" t="str">
        <x:v>M4</x:v>
      </x:c>
      <x:c r="D103" s="17" t="str">
        <x:v>M4-P101</x:v>
      </x:c>
      <x:c r="E103" s="17" t="str">
        <x:v>AUTOMATED_AND_MANUAL_AS_REQUIRED</x:v>
      </x:c>
      <x:c r="F103" s="17" t="str">
        <x:v>DEVICE_PASS</x:v>
      </x:c>
      <x:c r="G103" s="17" t="str">
        <x:v>NOT_EXECUTED</x:v>
      </x:c>
      <x:c r="H103" s="17" t="str">
        <x:v>在对应切片先登记失败测试ID，再记录focused tests与pnpm verify；真机/预发布按要求执行</x:v>
      </x:c>
      <x:c r="I103" s="17" t="str">
        <x:v>跑腿应用独立于用户小程序，提供登录申请、配送首页、大厅、我的任务、任务详情、异常、记录和我的页面，以及大厅/任务/记录/我的四项 TabBar；不复用其他端会话。</x:v>
      </x:c>
      <x:c r="J103" s="17" t="str"/>
      <x:c r="K103" s="17" t="str"/>
      <x:c r="L103" s="17" t="str"/>
      <x:c r="M103" s="17" t="str"/>
      <x:c r="N103" s="17" t="str"/>
      <x:c r="O103" s="17" t="str"/>
      <x:c r="P103" s="17" t="str"/>
      <x:c r="Q103" s="17" t="str"/>
      <x:c r="R103" s="17" t="str">
        <x:v>NO_EVIDENCE_YET</x:v>
      </x:c>
      <x:c r="S103" s="17" t="str"/>
      <x:c r="T103" s="17" t="str">
        <x:v>YES</x:v>
      </x:c>
      <x:c r="U103" s="17" t="str">
        <x:v>不得以旧输出、字符串搜索、页面资产或模型自述替代</x:v>
      </x:c>
    </x:row>
    <x:row r="104" ht="23" customHeight="1">
      <x:c r="A104" s="17" t="str">
        <x:v>EVD-102</x:v>
      </x:c>
      <x:c r="B104" s="17" t="str">
        <x:v>P0-102</x:v>
      </x:c>
      <x:c r="C104" s="17" t="str">
        <x:v>M4</x:v>
      </x:c>
      <x:c r="D104" s="17" t="str">
        <x:v>M4-P102</x:v>
      </x:c>
      <x:c r="E104" s="17" t="str">
        <x:v>AUTOMATED_AND_MANUAL_AS_REQUIRED</x:v>
      </x:c>
      <x:c r="F104" s="17" t="str">
        <x:v>DEVICE_PASS</x:v>
      </x:c>
      <x:c r="G104" s="17" t="str">
        <x:v>NOT_EXECUTED</x:v>
      </x:c>
      <x:c r="H104" s="17" t="str">
        <x:v>在对应切片先登记失败测试ID，再记录focused tests与pnpm verify；真机/预发布按要求执行</x:v>
      </x:c>
      <x:c r="I104" s="17" t="str">
        <x:v>个人订单支付成功后按供应商子单幂等创建一个 DeliveryTask，供应商确认可取且子单有效后才进入 PENDING_HALL；重复回调不重复创建，取消/退款锁定任务不可抢。</x:v>
      </x:c>
      <x:c r="J104" s="17" t="str"/>
      <x:c r="K104" s="17" t="str"/>
      <x:c r="L104" s="17" t="str"/>
      <x:c r="M104" s="17" t="str"/>
      <x:c r="N104" s="17" t="str"/>
      <x:c r="O104" s="17" t="str"/>
      <x:c r="P104" s="17" t="str"/>
      <x:c r="Q104" s="17" t="str"/>
      <x:c r="R104" s="17" t="str">
        <x:v>NO_EVIDENCE_YET</x:v>
      </x:c>
      <x:c r="S104" s="17" t="str"/>
      <x:c r="T104" s="17" t="str">
        <x:v>YES</x:v>
      </x:c>
      <x:c r="U104" s="17" t="str">
        <x:v>不得以旧输出、字符串搜索、页面资产或模型自述替代</x:v>
      </x:c>
    </x:row>
    <x:row r="105" ht="23" customHeight="1">
      <x:c r="A105" s="17" t="str">
        <x:v>EVD-103</x:v>
      </x:c>
      <x:c r="B105" s="17" t="str">
        <x:v>P0-103</x:v>
      </x:c>
      <x:c r="C105" s="17" t="str">
        <x:v>M4</x:v>
      </x:c>
      <x:c r="D105" s="17" t="str">
        <x:v>M4-P103</x:v>
      </x:c>
      <x:c r="E105" s="17" t="str">
        <x:v>AUTOMATED_AND_MANUAL_AS_REQUIRED</x:v>
      </x:c>
      <x:c r="F105" s="17" t="str">
        <x:v>DEVICE_PASS</x:v>
      </x:c>
      <x:c r="G105" s="17" t="str">
        <x:v>NOT_EXECUTED</x:v>
      </x:c>
      <x:c r="H105" s="17" t="str">
        <x:v>在对应切片先登记失败测试ID，再记录focused tests与pnpm verify；真机/预发布按要求执行</x:v>
      </x:c>
      <x:c r="I105" s="17" t="str">
        <x:v>只有启用、资料有效、在线、服务区域匹配且未超在途上限的跑腿员可见可抢任务；下线仅停止新任务，不能隐藏或撤销已接任务。</x:v>
      </x:c>
      <x:c r="J105" s="17" t="str"/>
      <x:c r="K105" s="17" t="str"/>
      <x:c r="L105" s="17" t="str"/>
      <x:c r="M105" s="17" t="str"/>
      <x:c r="N105" s="17" t="str"/>
      <x:c r="O105" s="17" t="str"/>
      <x:c r="P105" s="17" t="str"/>
      <x:c r="Q105" s="17" t="str"/>
      <x:c r="R105" s="17" t="str">
        <x:v>NO_EVIDENCE_YET</x:v>
      </x:c>
      <x:c r="S105" s="17" t="str"/>
      <x:c r="T105" s="17" t="str">
        <x:v>YES</x:v>
      </x:c>
      <x:c r="U105" s="17" t="str">
        <x:v>不得以旧输出、字符串搜索、页面资产或模型自述替代</x:v>
      </x:c>
    </x:row>
    <x:row r="106" ht="23" customHeight="1">
      <x:c r="A106" s="17" t="str">
        <x:v>EVD-104</x:v>
      </x:c>
      <x:c r="B106" s="17" t="str">
        <x:v>P0-104</x:v>
      </x:c>
      <x:c r="C106" s="17" t="str">
        <x:v>M4</x:v>
      </x:c>
      <x:c r="D106" s="17" t="str">
        <x:v>M4-P104</x:v>
      </x:c>
      <x:c r="E106" s="17" t="str">
        <x:v>AUTOMATED_AND_MANUAL_AS_REQUIRED</x:v>
      </x:c>
      <x:c r="F106" s="17" t="str">
        <x:v>DEVICE_PASS</x:v>
      </x:c>
      <x:c r="G106" s="17" t="str">
        <x:v>NOT_EXECUTED</x:v>
      </x:c>
      <x:c r="H106" s="17" t="str">
        <x:v>在对应切片先登记失败测试ID，再记录focused tests与pnpm verify；真机/预发布按要求执行</x:v>
      </x:c>
      <x:c r="I106" s="17" t="str">
        <x:v>抢单前只显示取送区域、时间、件数、特殊要求和预计报酬，不显示精确门牌、完整电话、完整商品、价格/支付、供应价、企业订单或其他内部数据。</x:v>
      </x:c>
      <x:c r="J106" s="17" t="str"/>
      <x:c r="K106" s="17" t="str"/>
      <x:c r="L106" s="17" t="str"/>
      <x:c r="M106" s="17" t="str"/>
      <x:c r="N106" s="17" t="str"/>
      <x:c r="O106" s="17" t="str"/>
      <x:c r="P106" s="17" t="str"/>
      <x:c r="Q106" s="17" t="str"/>
      <x:c r="R106" s="17" t="str">
        <x:v>NO_EVIDENCE_YET</x:v>
      </x:c>
      <x:c r="S106" s="17" t="str"/>
      <x:c r="T106" s="17" t="str">
        <x:v>YES</x:v>
      </x:c>
      <x:c r="U106" s="17" t="str">
        <x:v>不得以旧输出、字符串搜索、页面资产或模型自述替代</x:v>
      </x:c>
    </x:row>
    <x:row r="107" ht="23" customHeight="1">
      <x:c r="A107" s="17" t="str">
        <x:v>EVD-105</x:v>
      </x:c>
      <x:c r="B107" s="17" t="str">
        <x:v>P0-105</x:v>
      </x:c>
      <x:c r="C107" s="17" t="str">
        <x:v>M4</x:v>
      </x:c>
      <x:c r="D107" s="17" t="str">
        <x:v>M4-P105</x:v>
      </x:c>
      <x:c r="E107" s="17" t="str">
        <x:v>AUTOMATED_AND_MANUAL_AS_REQUIRED</x:v>
      </x:c>
      <x:c r="F107" s="17" t="str">
        <x:v>DEVICE_PASS</x:v>
      </x:c>
      <x:c r="G107" s="17" t="str">
        <x:v>NOT_EXECUTED</x:v>
      </x:c>
      <x:c r="H107" s="17" t="str">
        <x:v>在对应切片先登记失败测试ID，再记录focused tests与pnpm verify；真机/预发布按要求执行</x:v>
      </x:c>
      <x:c r="I107" s="17" t="str">
        <x:v>抢单以幂等键和 DeliveryTask.version 乐观锁绑定唯一 runnerId；并发只有一人成功，弱网未知先查询本人任务，任务已抢/取消/区域不符/超限使用不同错误码。</x:v>
      </x:c>
      <x:c r="J107" s="17" t="str"/>
      <x:c r="K107" s="17" t="str"/>
      <x:c r="L107" s="17" t="str"/>
      <x:c r="M107" s="17" t="str"/>
      <x:c r="N107" s="17" t="str"/>
      <x:c r="O107" s="17" t="str"/>
      <x:c r="P107" s="17" t="str"/>
      <x:c r="Q107" s="17" t="str"/>
      <x:c r="R107" s="17" t="str">
        <x:v>NO_EVIDENCE_YET</x:v>
      </x:c>
      <x:c r="S107" s="17" t="str"/>
      <x:c r="T107" s="17" t="str">
        <x:v>YES</x:v>
      </x:c>
      <x:c r="U107" s="17" t="str">
        <x:v>不得以旧输出、字符串搜索、页面资产或模型自述替代</x:v>
      </x:c>
    </x:row>
    <x:row r="108" ht="23" customHeight="1">
      <x:c r="A108" s="17" t="str">
        <x:v>EVD-106</x:v>
      </x:c>
      <x:c r="B108" s="17" t="str">
        <x:v>P0-106</x:v>
      </x:c>
      <x:c r="C108" s="17" t="str">
        <x:v>M4</x:v>
      </x:c>
      <x:c r="D108" s="17" t="str">
        <x:v>M4-P106</x:v>
      </x:c>
      <x:c r="E108" s="17" t="str">
        <x:v>AUTOMATED_AND_MANUAL_AS_REQUIRED</x:v>
      </x:c>
      <x:c r="F108" s="17" t="str">
        <x:v>DEVICE_PASS</x:v>
      </x:c>
      <x:c r="G108" s="17" t="str">
        <x:v>NOT_EXECUTED</x:v>
      </x:c>
      <x:c r="H108" s="17" t="str">
        <x:v>在对应切片先登记失败测试ID，再记录focused tests与pnpm verify；真机/预发布按要求执行</x:v>
      </x:c>
      <x:c r="I108" s="17" t="str">
        <x:v>承接成功后同时返回本任务的供应商取货点快照和用户收货目的地快照，以及商品摘要、两个地点的受控联系、当前节点和操作；他人任务、其他供应商子单、企业数据、价格和结算字段均不可访问。</x:v>
      </x:c>
      <x:c r="J108" s="17" t="str"/>
      <x:c r="K108" s="17" t="str"/>
      <x:c r="L108" s="17" t="str"/>
      <x:c r="M108" s="17" t="str"/>
      <x:c r="N108" s="17" t="str"/>
      <x:c r="O108" s="17" t="str"/>
      <x:c r="P108" s="17" t="str"/>
      <x:c r="Q108" s="17" t="str"/>
      <x:c r="R108" s="17" t="str">
        <x:v>NO_EVIDENCE_YET</x:v>
      </x:c>
      <x:c r="S108" s="17" t="str"/>
      <x:c r="T108" s="17" t="str">
        <x:v>YES</x:v>
      </x:c>
      <x:c r="U108" s="17" t="str">
        <x:v>不得以旧输出、字符串搜索、页面资产或模型自述替代</x:v>
      </x:c>
    </x:row>
    <x:row r="109" ht="23" customHeight="1">
      <x:c r="A109" s="17" t="str">
        <x:v>EVD-107</x:v>
      </x:c>
      <x:c r="B109" s="17" t="str">
        <x:v>P0-107</x:v>
      </x:c>
      <x:c r="C109" s="17" t="str">
        <x:v>M4</x:v>
      </x:c>
      <x:c r="D109" s="17" t="str">
        <x:v>M4-P107</x:v>
      </x:c>
      <x:c r="E109" s="17" t="str">
        <x:v>AUTOMATED_AND_MANUAL_AS_REQUIRED</x:v>
      </x:c>
      <x:c r="F109" s="17" t="str">
        <x:v>DEVICE_PASS</x:v>
      </x:c>
      <x:c r="G109" s="17" t="str">
        <x:v>NOT_EXECUTED</x:v>
      </x:c>
      <x:c r="H109" s="17" t="str">
        <x:v>在对应切片先登记失败测试ID，再记录focused tests与pnpm verify；真机/预发布按要求执行</x:v>
      </x:c>
      <x:c r="I109" s="17" t="str">
        <x:v>已抢单、到取货地、取货、配送、到目的地、送达、完成必须按顺序推进；服务端校验 runnerId 和前置状态，每个节点幂等留痕，不能越级、倒退或替他人点击。</x:v>
      </x:c>
      <x:c r="J109" s="17" t="str"/>
      <x:c r="K109" s="17" t="str"/>
      <x:c r="L109" s="17" t="str"/>
      <x:c r="M109" s="17" t="str"/>
      <x:c r="N109" s="17" t="str"/>
      <x:c r="O109" s="17" t="str"/>
      <x:c r="P109" s="17" t="str"/>
      <x:c r="Q109" s="17" t="str"/>
      <x:c r="R109" s="17" t="str">
        <x:v>NO_EVIDENCE_YET</x:v>
      </x:c>
      <x:c r="S109" s="17" t="str"/>
      <x:c r="T109" s="17" t="str">
        <x:v>YES</x:v>
      </x:c>
      <x:c r="U109" s="17" t="str">
        <x:v>不得以旧输出、字符串搜索、页面资产或模型自述替代</x:v>
      </x:c>
    </x:row>
    <x:row r="110" ht="23" customHeight="1">
      <x:c r="A110" s="17" t="str">
        <x:v>EVD-108</x:v>
      </x:c>
      <x:c r="B110" s="17" t="str">
        <x:v>P0-108</x:v>
      </x:c>
      <x:c r="C110" s="17" t="str">
        <x:v>M4</x:v>
      </x:c>
      <x:c r="D110" s="17" t="str">
        <x:v>M4-P108</x:v>
      </x:c>
      <x:c r="E110" s="17" t="str">
        <x:v>AUTOMATED_AND_MANUAL_AS_REQUIRED</x:v>
      </x:c>
      <x:c r="F110" s="17" t="str">
        <x:v>DEVICE_PASS</x:v>
      </x:c>
      <x:c r="G110" s="17" t="str">
        <x:v>NOT_EXECUTED</x:v>
      </x:c>
      <x:c r="H110" s="17" t="str">
        <x:v>在对应切片先登记失败测试ID，再记录focused tests与pnpm verify；真机/预发布按要求执行</x:v>
      </x:c>
      <x:c r="I110" s="17" t="str">
        <x:v>MAP_PROVIDER=disabled 且禁止 MAP_PROVIDER_KEY；个人任务投放前必须同时具备取货点和目的地名称、地址及坐标。取货前导航到供应商取货点，取货后导航到用户目的地；失败可复制对应地址，导航不回写状态，也不按距离、拥堵、轨迹或时间计算费用。</x:v>
      </x:c>
      <x:c r="J110" s="17" t="str"/>
      <x:c r="K110" s="17" t="str"/>
      <x:c r="L110" s="17" t="str"/>
      <x:c r="M110" s="17" t="str"/>
      <x:c r="N110" s="17" t="str"/>
      <x:c r="O110" s="17" t="str"/>
      <x:c r="P110" s="17" t="str"/>
      <x:c r="Q110" s="17" t="str"/>
      <x:c r="R110" s="17" t="str">
        <x:v>NO_EVIDENCE_YET</x:v>
      </x:c>
      <x:c r="S110" s="17" t="str"/>
      <x:c r="T110" s="17" t="str">
        <x:v>YES</x:v>
      </x:c>
      <x:c r="U110" s="17" t="str">
        <x:v>不得以旧输出、字符串搜索、页面资产或模型自述替代</x:v>
      </x:c>
    </x:row>
    <x:row r="111" ht="23" customHeight="1">
      <x:c r="A111" s="17" t="str">
        <x:v>EVD-109</x:v>
      </x:c>
      <x:c r="B111" s="17" t="str">
        <x:v>P0-109</x:v>
      </x:c>
      <x:c r="C111" s="17" t="str">
        <x:v>M4</x:v>
      </x:c>
      <x:c r="D111" s="17" t="str">
        <x:v>M4-P109</x:v>
      </x:c>
      <x:c r="E111" s="17" t="str">
        <x:v>AUTOMATED_AND_MANUAL_AS_REQUIRED</x:v>
      </x:c>
      <x:c r="F111" s="17" t="str">
        <x:v>DEVICE_PASS</x:v>
      </x:c>
      <x:c r="G111" s="17" t="str">
        <x:v>NOT_EXECUTED</x:v>
      </x:c>
      <x:c r="H111" s="17" t="str">
        <x:v>在对应切片先登记失败测试ID，再记录focused tests与pnpm verify；真机/预发布按要求执行</x:v>
      </x:c>
      <x:c r="I111" s="17" t="str">
        <x:v>未备好、缺货、联系不上、地址错误、无人收货、破损、拒收、网络故障和无法继续均可上报并留证；跑腿员不能取消订单、删除任务、修改退款或私下转派，公司处理结果完整留痕。</x:v>
      </x:c>
      <x:c r="J111" s="17" t="str"/>
      <x:c r="K111" s="17" t="str"/>
      <x:c r="L111" s="17" t="str"/>
      <x:c r="M111" s="17" t="str"/>
      <x:c r="N111" s="17" t="str"/>
      <x:c r="O111" s="17" t="str"/>
      <x:c r="P111" s="17" t="str"/>
      <x:c r="Q111" s="17" t="str"/>
      <x:c r="R111" s="17" t="str">
        <x:v>NO_EVIDENCE_YET</x:v>
      </x:c>
      <x:c r="S111" s="17" t="str"/>
      <x:c r="T111" s="17" t="str">
        <x:v>YES</x:v>
      </x:c>
      <x:c r="U111" s="17" t="str">
        <x:v>不得以旧输出、字符串搜索、页面资产或模型自述替代</x:v>
      </x:c>
    </x:row>
    <x:row r="112" ht="23" customHeight="1">
      <x:c r="A112" s="17" t="str">
        <x:v>EVD-110</x:v>
      </x:c>
      <x:c r="B112" s="17" t="str">
        <x:v>P0-110</x:v>
      </x:c>
      <x:c r="C112" s="17" t="str">
        <x:v>M4</x:v>
      </x:c>
      <x:c r="D112" s="17" t="str">
        <x:v>M4-P110</x:v>
      </x:c>
      <x:c r="E112" s="17" t="str">
        <x:v>AUTOMATED_AND_MANUAL_AS_REQUIRED</x:v>
      </x:c>
      <x:c r="F112" s="17" t="str">
        <x:v>DEVICE_PASS</x:v>
      </x:c>
      <x:c r="G112" s="17" t="str">
        <x:v>NOT_EXECUTED</x:v>
      </x:c>
      <x:c r="H112" s="17" t="str">
        <x:v>在对应切片先登记失败测试ID，再记录focused tests与pnpm verify；真机/预发布按要求执行</x:v>
      </x:c>
      <x:c r="I112" s="17" t="str">
        <x:v>公司批准转派时追加承接日志，原跑腿员立即失去后续节点权限，新跑腿员从批准状态继续；冻结/停用账号立即下线且已接任务进入明确处理队列。</x:v>
      </x:c>
      <x:c r="J112" s="17" t="str"/>
      <x:c r="K112" s="17" t="str"/>
      <x:c r="L112" s="17" t="str"/>
      <x:c r="M112" s="17" t="str"/>
      <x:c r="N112" s="17" t="str"/>
      <x:c r="O112" s="17" t="str"/>
      <x:c r="P112" s="17" t="str"/>
      <x:c r="Q112" s="17" t="str"/>
      <x:c r="R112" s="17" t="str">
        <x:v>NO_EVIDENCE_YET</x:v>
      </x:c>
      <x:c r="S112" s="17" t="str"/>
      <x:c r="T112" s="17" t="str">
        <x:v>YES</x:v>
      </x:c>
      <x:c r="U112" s="17" t="str">
        <x:v>不得以旧输出、字符串搜索、页面资产或模型自述替代</x:v>
      </x:c>
    </x:row>
    <x:row r="113" ht="23" customHeight="1">
      <x:c r="A113" s="17" t="str">
        <x:v>EVD-111</x:v>
      </x:c>
      <x:c r="B113" s="17" t="str">
        <x:v>P0-111</x:v>
      </x:c>
      <x:c r="C113" s="17" t="str">
        <x:v>M4</x:v>
      </x:c>
      <x:c r="D113" s="17" t="str">
        <x:v>M4-P111</x:v>
      </x:c>
      <x:c r="E113" s="17" t="str">
        <x:v>AUTOMATED_AND_MANUAL_AS_REQUIRED</x:v>
      </x:c>
      <x:c r="F113" s="17" t="str">
        <x:v>DEVICE_PASS</x:v>
      </x:c>
      <x:c r="G113" s="17" t="str">
        <x:v>NOT_EXECUTED</x:v>
      </x:c>
      <x:c r="H113" s="17" t="str">
        <x:v>在对应切片先登记失败测试ID，再记录focused tests与pnpm verify；真机/预发布按要求执行</x:v>
      </x:c>
      <x:c r="I113" s="17" t="str">
        <x:v>履约阶段使用隐私号/受控联系；取货和送达凭证按规则收集，普通个人订单不强制扫码；同一主订单多个任务分别送达和确认，单任务完成不误标整单完成。</x:v>
      </x:c>
      <x:c r="J113" s="17" t="str"/>
      <x:c r="K113" s="17" t="str"/>
      <x:c r="L113" s="17" t="str"/>
      <x:c r="M113" s="17" t="str"/>
      <x:c r="N113" s="17" t="str"/>
      <x:c r="O113" s="17" t="str"/>
      <x:c r="P113" s="17" t="str"/>
      <x:c r="Q113" s="17" t="str"/>
      <x:c r="R113" s="17" t="str">
        <x:v>NO_EVIDENCE_YET</x:v>
      </x:c>
      <x:c r="S113" s="17" t="str"/>
      <x:c r="T113" s="17" t="str">
        <x:v>YES</x:v>
      </x:c>
      <x:c r="U113" s="17" t="str">
        <x:v>不得以旧输出、字符串搜索、页面资产或模型自述替代</x:v>
      </x:c>
    </x:row>
    <x:row r="114" ht="23" customHeight="1">
      <x:c r="A114" s="17" t="str">
        <x:v>EVD-112</x:v>
      </x:c>
      <x:c r="B114" s="17" t="str">
        <x:v>P0-112</x:v>
      </x:c>
      <x:c r="C114" s="17" t="str">
        <x:v>M4</x:v>
      </x:c>
      <x:c r="D114" s="17" t="str">
        <x:v>M4-P112</x:v>
      </x:c>
      <x:c r="E114" s="17" t="str">
        <x:v>AUTOMATED_AND_MANUAL_AS_REQUIRED</x:v>
      </x:c>
      <x:c r="F114" s="17" t="str">
        <x:v>DEVICE_PASS</x:v>
      </x:c>
      <x:c r="G114" s="17" t="str">
        <x:v>NOT_EXECUTED</x:v>
      </x:c>
      <x:c r="H114" s="17" t="str">
        <x:v>在对应切片先登记失败测试ID，再记录focused tests与pnpm verify；真机/预发布按要求执行</x:v>
      </x:c>
      <x:c r="I114" s="17" t="str">
        <x:v>抢单、取消、节点提醒和异常结果支持站内/订阅通知，拒绝订阅不影响任务；通知、日志、缓存和埋点不包含完整地址/电话、价格、支付结构、供应价或内部责任结论。</x:v>
      </x:c>
      <x:c r="J114" s="17" t="str"/>
      <x:c r="K114" s="17" t="str"/>
      <x:c r="L114" s="17" t="str"/>
      <x:c r="M114" s="17" t="str"/>
      <x:c r="N114" s="17" t="str"/>
      <x:c r="O114" s="17" t="str"/>
      <x:c r="P114" s="17" t="str"/>
      <x:c r="Q114" s="17" t="str"/>
      <x:c r="R114" s="17" t="str">
        <x:v>NO_EVIDENCE_YET</x:v>
      </x:c>
      <x:c r="S114" s="17" t="str"/>
      <x:c r="T114" s="17" t="str">
        <x:v>YES</x:v>
      </x:c>
      <x:c r="U114" s="17" t="str">
        <x:v>不得以旧输出、字符串搜索、页面资产或模型自述替代</x:v>
      </x:c>
    </x:row>
    <x:row r="115" ht="23" customHeight="1">
      <x:c r="A115" s="17" t="str">
        <x:v>EVD-113</x:v>
      </x:c>
      <x:c r="B115" s="17" t="str">
        <x:v>P0-113</x:v>
      </x:c>
      <x:c r="C115" s="17" t="str">
        <x:v>M4</x:v>
      </x:c>
      <x:c r="D115" s="17" t="str">
        <x:v>M4-P113</x:v>
      </x:c>
      <x:c r="E115" s="17" t="str">
        <x:v>AUTOMATED_AND_MANUAL_AS_REQUIRED</x:v>
      </x:c>
      <x:c r="F115" s="17" t="str">
        <x:v>DEVICE_PASS</x:v>
      </x:c>
      <x:c r="G115" s="17" t="str">
        <x:v>NOT_EXECUTED</x:v>
      </x:c>
      <x:c r="H115" s="17" t="str">
        <x:v>在对应切片先登记失败测试ID，再记录focused tests与pnpm verify；真机/预发布按要求执行</x:v>
      </x:c>
      <x:c r="I115" s="17" t="str">
        <x:v>跑腿员可查看本人历史任务、节点、异常、申诉、报酬快照、调整和线下支付状态；不做跑腿钱包、充值、提现、自动分账或地图里程计费，已确认明细只能追加调整/冲正。</x:v>
      </x:c>
      <x:c r="J115" s="17" t="str"/>
      <x:c r="K115" s="17" t="str"/>
      <x:c r="L115" s="17" t="str"/>
      <x:c r="M115" s="17" t="str"/>
      <x:c r="N115" s="17" t="str"/>
      <x:c r="O115" s="17" t="str"/>
      <x:c r="P115" s="17" t="str"/>
      <x:c r="Q115" s="17" t="str"/>
      <x:c r="R115" s="17" t="str">
        <x:v>NO_EVIDENCE_YET</x:v>
      </x:c>
      <x:c r="S115" s="17" t="str"/>
      <x:c r="T115" s="17" t="str">
        <x:v>YES</x:v>
      </x:c>
      <x:c r="U115" s="17" t="str">
        <x:v>不得以旧输出、字符串搜索、页面资产或模型自述替代</x:v>
      </x:c>
    </x:row>
    <x:row r="116" ht="23" customHeight="1">
      <x:c r="A116" s="17" t="str">
        <x:v>EVD-114</x:v>
      </x:c>
      <x:c r="B116" s="17" t="str">
        <x:v>P0-114</x:v>
      </x:c>
      <x:c r="C116" s="17" t="str">
        <x:v>M4</x:v>
      </x:c>
      <x:c r="D116" s="17" t="str">
        <x:v>M4-P114</x:v>
      </x:c>
      <x:c r="E116" s="17" t="str">
        <x:v>AUTOMATED_AND_MANUAL_AS_REQUIRED</x:v>
      </x:c>
      <x:c r="F116" s="17" t="str">
        <x:v>DEVICE_PASS</x:v>
      </x:c>
      <x:c r="G116" s="17" t="str">
        <x:v>NOT_EXECUTED</x:v>
      </x:c>
      <x:c r="H116" s="17" t="str">
        <x:v>在对应切片先登记失败测试ID，再记录focused tests与pnpm verify；真机/预发布按要求执行</x:v>
      </x:c>
      <x:c r="I116" s="17" t="str">
        <x:v>空大厅、审核中、冻结、弱网、离线、任务被抢、节点重复、任务取消、上传失败和导航失败均可恢复；runnerId 服务端绑定，对象级越权、篡改状态及企业配送访问全部失败。</x:v>
      </x:c>
      <x:c r="J116" s="17" t="str"/>
      <x:c r="K116" s="17" t="str"/>
      <x:c r="L116" s="17" t="str"/>
      <x:c r="M116" s="17" t="str"/>
      <x:c r="N116" s="17" t="str"/>
      <x:c r="O116" s="17" t="str"/>
      <x:c r="P116" s="17" t="str"/>
      <x:c r="Q116" s="17" t="str"/>
      <x:c r="R116" s="17" t="str">
        <x:v>NO_EVIDENCE_YET</x:v>
      </x:c>
      <x:c r="S116" s="17" t="str"/>
      <x:c r="T116" s="17" t="str">
        <x:v>YES</x:v>
      </x:c>
      <x:c r="U116" s="17" t="str">
        <x:v>不得以旧输出、字符串搜索、页面资产或模型自述替代</x:v>
      </x:c>
    </x:row>
    <x:row r="117" ht="23" customHeight="1">
      <x:c r="A117" s="17" t="str">
        <x:v>EVD-115</x:v>
      </x:c>
      <x:c r="B117" s="17" t="str">
        <x:v>P0-115</x:v>
      </x:c>
      <x:c r="C117" s="17" t="str">
        <x:v>M4</x:v>
      </x:c>
      <x:c r="D117" s="17" t="str">
        <x:v>M4-P115</x:v>
      </x:c>
      <x:c r="E117" s="17" t="str">
        <x:v>AUTOMATED_AND_MANUAL_AS_REQUIRED</x:v>
      </x:c>
      <x:c r="F117" s="17" t="str">
        <x:v>CI_PASS</x:v>
      </x:c>
      <x:c r="G117" s="17" t="str">
        <x:v>NOT_EXECUTED</x:v>
      </x:c>
      <x:c r="H117" s="17" t="str">
        <x:v>在对应切片先登记失败测试ID，再记录focused tests与pnpm verify；真机/预发布按要求执行</x:v>
      </x:c>
      <x:c r="I117" s="17" t="str">
        <x:v>等待供应商、可收取、收货中、已汇总、已派车、运输中、已到达、已签收和已完成按顺序留痕；企业确认的部分齐套配送可形成可追溯批次。</x:v>
      </x:c>
      <x:c r="J117" s="17" t="str"/>
      <x:c r="K117" s="17" t="str"/>
      <x:c r="L117" s="17" t="str"/>
      <x:c r="M117" s="17" t="str"/>
      <x:c r="N117" s="17" t="str"/>
      <x:c r="O117" s="17" t="str"/>
      <x:c r="P117" s="17" t="str"/>
      <x:c r="Q117" s="17" t="str"/>
      <x:c r="R117" s="17" t="str">
        <x:v>NO_EVIDENCE_YET</x:v>
      </x:c>
      <x:c r="S117" s="17" t="str"/>
      <x:c r="T117" s="17" t="str">
        <x:v>YES</x:v>
      </x:c>
      <x:c r="U117" s="17" t="str">
        <x:v>不得以旧输出、字符串搜索、页面资产或模型自述替代</x:v>
      </x:c>
    </x:row>
    <x:row r="118" ht="23" customHeight="1">
      <x:c r="A118" s="17" t="str">
        <x:v>EVD-116</x:v>
      </x:c>
      <x:c r="B118" s="17" t="str">
        <x:v>P0-116</x:v>
      </x:c>
      <x:c r="C118" s="17" t="str">
        <x:v>M4</x:v>
      </x:c>
      <x:c r="D118" s="17" t="str">
        <x:v>M4-P116</x:v>
      </x:c>
      <x:c r="E118" s="17" t="str">
        <x:v>AUTOMATED_AND_MANUAL_AS_REQUIRED</x:v>
      </x:c>
      <x:c r="F118" s="17" t="str">
        <x:v>CI_PASS</x:v>
      </x:c>
      <x:c r="G118" s="17" t="str">
        <x:v>NOT_EXECUTED</x:v>
      </x:c>
      <x:c r="H118" s="17" t="str">
        <x:v>在对应切片先登记失败测试ID，再记录focused tests与pnpm verify；真机/预发布按要求执行</x:v>
      </x:c>
      <x:c r="I118" s="17" t="str">
        <x:v>物流职能账号固定页面具备首页、备货汇总、汇总收货、配送列表/详情、移动执行、资源和异常子页面；其他公司职能、供应商和跑腿账号无权访问，页面不加载供应价及财务数据。</x:v>
      </x:c>
      <x:c r="J118" s="17" t="str"/>
      <x:c r="K118" s="17" t="str"/>
      <x:c r="L118" s="17" t="str"/>
      <x:c r="M118" s="17" t="str"/>
      <x:c r="N118" s="17" t="str"/>
      <x:c r="O118" s="17" t="str"/>
      <x:c r="P118" s="17" t="str"/>
      <x:c r="Q118" s="17" t="str"/>
      <x:c r="R118" s="17" t="str">
        <x:v>NO_EVIDENCE_YET</x:v>
      </x:c>
      <x:c r="S118" s="17" t="str"/>
      <x:c r="T118" s="17" t="str">
        <x:v>YES</x:v>
      </x:c>
      <x:c r="U118" s="17" t="str">
        <x:v>不得以旧输出、字符串搜索、页面资产或模型自述替代</x:v>
      </x:c>
    </x:row>
    <x:row r="119" ht="23" customHeight="1">
      <x:c r="A119" s="17" t="str">
        <x:v>EVD-117</x:v>
      </x:c>
      <x:c r="B119" s="17" t="str">
        <x:v>P0-117</x:v>
      </x:c>
      <x:c r="C119" s="17" t="str">
        <x:v>M4</x:v>
      </x:c>
      <x:c r="D119" s="17" t="str">
        <x:v>M4-P117</x:v>
      </x:c>
      <x:c r="E119" s="17" t="str">
        <x:v>AUTOMATED_AND_MANUAL_AS_REQUIRED</x:v>
      </x:c>
      <x:c r="F119" s="17" t="str">
        <x:v>CI_PASS</x:v>
      </x:c>
      <x:c r="G119" s="17" t="str">
        <x:v>NOT_EXECUTED</x:v>
      </x:c>
      <x:c r="H119" s="17" t="str">
        <x:v>在对应切片先登记失败测试ID，再记录focused tests与pnpm verify；真机/预发布按要求执行</x:v>
      </x:c>
      <x:c r="I119" s="17" t="str">
        <x:v>应收/实收、批次、效期、温区、包装、照片、交接与少货/错货/破损差异可逐项登记；每个配送项可追溯原订单项和供应商子单，重复收货幂等且不覆盖原订单。</x:v>
      </x:c>
      <x:c r="J119" s="17" t="str"/>
      <x:c r="K119" s="17" t="str"/>
      <x:c r="L119" s="17" t="str"/>
      <x:c r="M119" s="17" t="str"/>
      <x:c r="N119" s="17" t="str"/>
      <x:c r="O119" s="17" t="str"/>
      <x:c r="P119" s="17" t="str"/>
      <x:c r="Q119" s="17" t="str"/>
      <x:c r="R119" s="17" t="str">
        <x:v>NO_EVIDENCE_YET</x:v>
      </x:c>
      <x:c r="S119" s="17" t="str"/>
      <x:c r="T119" s="17" t="str">
        <x:v>YES</x:v>
      </x:c>
      <x:c r="U119" s="17" t="str">
        <x:v>不得以旧输出、字符串搜索、页面资产或模型自述替代</x:v>
      </x:c>
    </x:row>
    <x:row r="120" ht="23" customHeight="1">
      <x:c r="A120" s="18" t="str">
        <x:v>EVD-118</x:v>
      </x:c>
      <x:c r="B120" s="18" t="str">
        <x:v>P0-118</x:v>
      </x:c>
      <x:c r="C120" s="18" t="str">
        <x:v>M4</x:v>
      </x:c>
      <x:c r="D120" s="18" t="str">
        <x:v>M4-P118</x:v>
      </x:c>
      <x:c r="E120" s="18" t="str">
        <x:v>AUTOMATED_AND_MANUAL_AS_REQUIRED</x:v>
      </x:c>
      <x:c r="F120" s="18" t="str">
        <x:v>STAGING_PASS</x:v>
      </x:c>
      <x:c r="G120" s="18" t="str">
        <x:v>NOT_EXECUTED</x:v>
      </x:c>
      <x:c r="H120" s="18" t="str">
        <x:v>在对应切片先登记失败测试ID，再记录focused tests与pnpm verify；真机/预发布按要求执行</x:v>
      </x:c>
      <x:c r="I120" s="18" t="str">
        <x:v>公司可为已汇总批次安排公司车辆/司机或指定承运商并保存快照；移动页完成发车、运输、到达、联系、签收、回单和异常，第三方承运商P0无独立后台账号。</x:v>
      </x:c>
      <x:c r="J120" s="18" t="str"/>
      <x:c r="K120" s="18" t="str"/>
      <x:c r="L120" s="18" t="str"/>
      <x:c r="M120" s="18" t="str"/>
      <x:c r="N120" s="18" t="str"/>
      <x:c r="O120" s="18" t="str"/>
      <x:c r="P120" s="18" t="str"/>
      <x:c r="Q120" s="18" t="str"/>
      <x:c r="R120" s="18" t="str">
        <x:v>NO_EVIDENCE_YET</x:v>
      </x:c>
      <x:c r="S120" s="18" t="str"/>
      <x:c r="T120" s="18" t="str">
        <x:v>YES</x:v>
      </x:c>
      <x:c r="U120" s="18" t="str">
        <x:v>不得以旧输出、字符串搜索、页面资产或模型自述替代</x:v>
      </x:c>
    </x:row>
    <x:row r="121">
      <x:c r="A121" t="str">
        <x:v>EVD-119</x:v>
      </x:c>
      <x:c r="B121" t="str">
        <x:v>P0-119</x:v>
      </x:c>
      <x:c r="C121" t="str">
        <x:v>M4</x:v>
      </x:c>
      <x:c r="D121" t="str">
        <x:v>M4-P119</x:v>
      </x:c>
      <x:c r="E121" t="str">
        <x:v>AUTOMATED_AND_MANUAL_AS_REQUIRED</x:v>
      </x:c>
      <x:c r="F121" t="str">
        <x:v>STAGING_PASS</x:v>
      </x:c>
      <x:c r="G121" t="str">
        <x:v>NOT_EXECUTED</x:v>
      </x:c>
      <x:c r="H121" t="str">
        <x:v>在对应切片先登记失败测试ID，再记录focused tests与pnpm verify；真机/预发布按要求执行</x:v>
      </x:c>
      <x:c r="I121" t="str">
        <x:v>企业门户只显示统一配送时间线、批次和签收结果；签收数量、签名/回单/照片、拒收和差异完整留痕。任务、节点、派车、异常和配送指标可审计且不泄露个人隐私或内部结算数据。</x:v>
      </x:c>
      <x:c r="J121" t="str"/>
      <x:c r="K121" t="str"/>
      <x:c r="L121" t="str"/>
      <x:c r="M121" t="str"/>
      <x:c r="N121" t="str"/>
      <x:c r="O121" t="str"/>
      <x:c r="P121" t="str"/>
      <x:c r="Q121" t="str"/>
      <x:c r="R121" t="str">
        <x:v>NO_EVIDENCE_YET</x:v>
      </x:c>
      <x:c r="S121" t="str"/>
      <x:c r="T121" t="str">
        <x:v>YES</x:v>
      </x:c>
      <x:c r="U121" t="str">
        <x:v>不得以旧输出、字符串搜索、页面资产或模型自述替代</x:v>
      </x:c>
    </x:row>
  </x:sheetData>
  <x:conditionalFormatting sqref="G2:G120">
    <x:cfRule type="cellIs" dxfId="165" priority="1" operator="equal">
      <x:formula>"READY"</x:formula>
    </x:cfRule>
    <x:cfRule type="cellIs" dxfId="166" priority="2" operator="equal">
      <x:formula>"DONE"</x:formula>
    </x:cfRule>
    <x:cfRule type="cellIs" dxfId="167" priority="3" operator="equal">
      <x:formula>"LOCAL_PASS"</x:formula>
    </x:cfRule>
    <x:cfRule type="cellIs" dxfId="168" priority="4" operator="equal">
      <x:formula>"CI_PASS"</x:formula>
    </x:cfRule>
    <x:cfRule type="cellIs" dxfId="169" priority="5" operator="equal">
      <x:formula>"STAGING_PASS"</x:formula>
    </x:cfRule>
    <x:cfRule type="cellIs" dxfId="170" priority="6" operator="equal">
      <x:formula>"DEVICE_PASS"</x:formula>
    </x:cfRule>
    <x:cfRule type="cellIs" dxfId="171" priority="7" operator="equal">
      <x:formula>"PRODUCTION_PASS"</x:formula>
    </x:cfRule>
    <x:cfRule type="cellIs" dxfId="172" priority="8" operator="equal">
      <x:formula>"FAIL"</x:formula>
    </x:cfRule>
    <x:cfRule type="cellIs" dxfId="173" priority="9" operator="equal">
      <x:formula>"BLOCKED_EXTERNAL"</x:formula>
    </x:cfRule>
    <x:cfRule type="cellIs" dxfId="174" priority="10" operator="equal">
      <x:formula>"NOT_PROVIDED"</x:formula>
    </x:cfRule>
    <x:cfRule type="cellIs" dxfId="175" priority="11" operator="equal">
      <x:formula>"LOCKED"</x:formula>
    </x:cfRule>
    <x:cfRule type="cellIs" dxfId="176" priority="12" operator="equal">
      <x:formula>"NOT_STARTED"</x:formula>
    </x:cfRule>
    <x:cfRule type="cellIs" dxfId="177" priority="13" operator="equal">
      <x:formula>"NOT_EXECUTED"</x:formula>
    </x:cfRule>
    <x:cfRule type="cellIs" dxfId="178" priority="14" operator="equal">
      <x:formula>"IN_PROGRESS"</x:formula>
    </x:cfRule>
    <x:cfRule type="cellIs" dxfId="179" priority="15" operator="equal">
      <x:formula>"PLANNED"</x:formula>
    </x:cfRule>
  </x:conditionalFormatting>
  <x:dataValidations count="1">
    <x:dataValidation type="list" sqref="G2:G120">
      <x:formula1>"NOT_STARTED,READY,IN_PROGRESS,DONE,LOCKED,PLANNED,NOT_EXECUTED,LOCAL_PASS,CI_PASS,STAGING_PASS,DEVICE_PASS,PRODUCTION_PASS,BLOCKED_EXTERNAL,FAIL,NOT_PROVIDED"</x:formula1>
    </x:dataValidation>
  </x:dataValidations>
  <x:pageMargins left="0.7" right="0.7" top="0.75" bottom="0.75" header="0.3" footer="0.3"/>
  <x:tableParts count="1">
    <x:tablePart xmlns:r="http://schemas.openxmlformats.org/officeDocument/2006/relationships" r:id="R8a90ed546d5d4625"/>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13" hidden="0" customWidth="1"/>
    <x:col min="2" max="2" width="9" hidden="0" customWidth="1"/>
    <x:col min="3" max="3" width="32" hidden="0" customWidth="1"/>
    <x:col min="4" max="4" width="14" hidden="0" customWidth="1"/>
    <x:col min="5" max="5" width="52" hidden="0" customWidth="1"/>
    <x:col min="6" max="6" width="24" hidden="0" customWidth="1"/>
    <x:col min="7" max="7" width="42" hidden="0" customWidth="1"/>
    <x:col min="8" max="8" width="54" hidden="0" customWidth="1"/>
    <x:col min="9" max="9" width="30" hidden="0" customWidth="1"/>
    <x:col min="10" max="10" width="46" hidden="0" customWidth="1"/>
    <x:col min="11" max="11" width="18" hidden="0" customWidth="1"/>
    <x:col min="12" max="12" width="18" hidden="0" customWidth="1"/>
    <x:col min="13" max="13" width="20" hidden="0" customWidth="1"/>
    <x:col min="14" max="14" width="20" hidden="0" customWidth="1"/>
    <x:col min="15" max="15" width="20" hidden="0" customWidth="1"/>
    <x:col min="16" max="16" width="20" hidden="0" customWidth="1"/>
    <x:col min="17" max="17" width="24" hidden="0" customWidth="1"/>
    <x:col min="18" max="18" width="30" hidden="0" customWidth="1"/>
  </x:cols>
  <x:sheetData>
    <x:row r="1" ht="34" customHeight="1">
      <x:c r="A1" s="14" t="str">
        <x:v>MigrationID</x:v>
      </x:c>
      <x:c r="B1" s="15" t="str">
        <x:v>Stage</x:v>
      </x:c>
      <x:c r="C1" s="15" t="str">
        <x:v>PlannedName</x:v>
      </x:c>
      <x:c r="D1" s="15" t="str">
        <x:v>DependsOn</x:v>
      </x:c>
      <x:c r="E1" s="15" t="str">
        <x:v>Objects</x:v>
      </x:c>
      <x:c r="F1" s="15" t="str">
        <x:v>Purpose</x:v>
      </x:c>
      <x:c r="G1" s="15" t="str">
        <x:v>ForwardSteps</x:v>
      </x:c>
      <x:c r="H1" s="15" t="str">
        <x:v>BackwardOrRecovery</x:v>
      </x:c>
      <x:c r="I1" s="15" t="str">
        <x:v>DataBackfill</x:v>
      </x:c>
      <x:c r="J1" s="15" t="str">
        <x:v>Verification</x:v>
      </x:c>
      <x:c r="K1" s="15" t="str">
        <x:v>BackupRequired</x:v>
      </x:c>
      <x:c r="L1" s="15" t="str">
        <x:v>Status</x:v>
      </x:c>
      <x:c r="M1" s="15" t="str">
        <x:v>AppliedLocalAt</x:v>
      </x:c>
      <x:c r="N1" s="15" t="str">
        <x:v>AppliedStagingAt</x:v>
      </x:c>
      <x:c r="O1" s="15" t="str">
        <x:v>AppliedProductionAt</x:v>
      </x:c>
      <x:c r="P1" s="15" t="str">
        <x:v>CommitSHA</x:v>
      </x:c>
      <x:c r="Q1" s="15" t="str">
        <x:v>EvidenceLink</x:v>
      </x:c>
      <x:c r="R1" s="16" t="str">
        <x:v>Notes</x:v>
      </x:c>
    </x:row>
    <x:row r="2" ht="23" customHeight="1">
      <x:c r="A2" s="17" t="str">
        <x:v>MIG-001</x:v>
      </x:c>
      <x:c r="B2" s="17" t="str">
        <x:v>M0</x:v>
      </x:c>
      <x:c r="C2" s="17" t="str">
        <x:v>0001_engineering_baseline</x:v>
      </x:c>
      <x:c r="D2" s="17" t="str">
        <x:v>NONE</x:v>
      </x:c>
      <x:c r="E2" s="17" t="str">
        <x:v>Prisma迁移元数据、时区/字符集/金额约定</x:v>
      </x:c>
      <x:c r="F2" s="17" t="str">
        <x:v>无业务表</x:v>
      </x:c>
      <x:c r="G2" s="17" t="str">
        <x:v>由阶段切片生成Prisma migration；事务/分批策略按数据量确定</x:v>
      </x:c>
      <x:c r="H2" s="17" t="str">
        <x:v>已发布迁移不回改；失败前恢复备份或创建向前修复迁移；应用版本可回退时保持schema兼容窗口</x:v>
      </x:c>
      <x:c r="I2" s="17" t="str">
        <x:v>无</x:v>
      </x:c>
      <x:c r="J2" s="17" t="str">
        <x:v>空库创建+重复dry-run；prisma validate；空库/升级路径dry-run；关键不变量SQL</x:v>
      </x:c>
      <x:c r="K2" s="17" t="str">
        <x:v>BEFORE_STAGING_OR_PRODUCTION</x:v>
      </x:c>
      <x:c r="L2" s="17" t="str">
        <x:v>APPLIED_LOCAL</x:v>
      </x:c>
      <x:c r="M2" s="17" t="n">
        <x:v>46238.31847222222</x:v>
      </x:c>
      <x:c r="N2" s="17" t="str"/>
      <x:c r="O2" s="17" t="str"/>
      <x:c r="P2" s="17" t="str">
        <x:v>9d7d763e41dc8ffba0166d2b9162c162542ccc7d</x:v>
      </x:c>
      <x:c r="Q2" s="17" t="str">
        <x:v>artifacts/verification/M1-P001/prisma-migration-rehearsal.json</x:v>
      </x:c>
      <x:c r="R2" s="17" t="str">
        <x:v>M1-P001新增不可回改的20260804065500_engineering_baseline并在临时产品库全链部署、漂移检查和幂等重放通过；实现head完整门禁17/17；预发布与生产仍未执行</x:v>
      </x:c>
    </x:row>
    <x:row r="3" ht="23" customHeight="1">
      <x:c r="A3" s="17" t="str">
        <x:v>MIG-002</x:v>
      </x:c>
      <x:c r="B3" s="17" t="str">
        <x:v>M1</x:v>
      </x:c>
      <x:c r="C3" s="17" t="str">
        <x:v>0101_company_auth_accounts</x:v>
      </x:c>
      <x:c r="D3" s="17" t="str">
        <x:v>MIG-001</x:v>
      </x:c>
      <x:c r="E3" s="17" t="str">
        <x:v>Company/CompanyUser/FunctionalAccountType/FunctionalAccount/AuthSession/SupplierAuthSelection</x:v>
      </x:c>
      <x:c r="F3" s="17" t="str">
        <x:v>账号与会话</x:v>
      </x:c>
      <x:c r="G3" s="17" t="str">
        <x:v>由阶段切片生成Prisma migration；事务/分批策略按数据量确定</x:v>
      </x:c>
      <x:c r="H3" s="17" t="str">
        <x:v>已发布迁移不回改；失败前恢复备份或创建向前修复迁移；应用版本可回退时保持schema兼容窗口</x:v>
      </x:c>
      <x:c r="I3" s="17" t="str">
        <x:v>无</x:v>
      </x:c>
      <x:c r="J3" s="17" t="str">
        <x:v>账号状态与workspaceRoute约束；选择nonce仅存SHA-256；prisma validate；空库/升级路径dry-run；关键不变量SQL</x:v>
      </x:c>
      <x:c r="K3" s="17" t="str">
        <x:v>BEFORE_STAGING_OR_PRODUCTION</x:v>
      </x:c>
      <x:c r="L3" s="17" t="str">
        <x:v>APPLIED_LOCAL</x:v>
      </x:c>
      <x:c r="M3" s="17" t="n">
        <x:v>46241.18543981481</x:v>
      </x:c>
      <x:c r="N3" s="17" t="str"/>
      <x:c r="O3" s="17" t="str"/>
      <x:c r="P3" s="17" t="str">
        <x:v>59ce2ddb1f34f1894762298f9ae7af3bba1cc465</x:v>
      </x:c>
      <x:c r="Q3" s="17" t="str">
        <x:v>artifacts/verification/M1-P069/prisma-migration-rehearsal.json</x:v>
      </x:c>
      <x:c r="R3" s="17" t="str">
        <x:v>M1-P069新增第9条前向迁移SupplierAuthSelection及外键/哈希格式约束；临时产品库空库部署、升级、备份恢复、幂等重放、无漂移与cleanup PASS；供应商登录选择和审计行SQL探针通过；预发布和生产未执行</x:v>
      </x:c>
    </x:row>
    <x:row r="4" ht="23" customHeight="1">
      <x:c r="A4" s="17" t="str">
        <x:v>MIG-003</x:v>
      </x:c>
      <x:c r="B4" s="17" t="str">
        <x:v>M1</x:v>
      </x:c>
      <x:c r="C4" s="17" t="str">
        <x:v>0102_permissions_data_scope</x:v>
      </x:c>
      <x:c r="D4" s="17" t="str">
        <x:v>MIG-002</x:v>
      </x:c>
      <x:c r="E4" s="17" t="str">
        <x:v>Permission/FunctionalAccountPermission/DataScopePolicy/FieldAccessPolicy</x:v>
      </x:c>
      <x:c r="F4" s="17" t="str">
        <x:v>权限策略</x:v>
      </x:c>
      <x:c r="G4" s="17" t="str">
        <x:v>由阶段切片生成Prisma migration；事务/分批策略按数据量确定</x:v>
      </x:c>
      <x:c r="H4" s="17" t="str">
        <x:v>已发布迁移不回改；失败前恢复备份或创建向前修复迁移；应用版本可回退时保持schema兼容窗口</x:v>
      </x:c>
      <x:c r="I4" s="17" t="str">
        <x:v>无</x:v>
      </x:c>
      <x:c r="J4" s="17" t="str">
        <x:v>默认拒绝与supplierId域；prisma validate；空库/升级路径dry-run；关键不变量SQL</x:v>
      </x:c>
      <x:c r="K4" s="17" t="str">
        <x:v>BEFORE_STAGING_OR_PRODUCTION</x:v>
      </x:c>
      <x:c r="L4" s="17" t="str">
        <x:v>APPLIED_LOCAL</x:v>
      </x:c>
      <x:c r="M4" s="17" t="n">
        <x:v>46240.1453125</x:v>
      </x:c>
      <x:c r="N4" s="17" t="str"/>
      <x:c r="O4" s="17" t="str"/>
      <x:c r="P4" s="17" t="str">
        <x:v>1825d38a4fc81c00e1a71b89fb9f2f8e15df828a</x:v>
      </x:c>
      <x:c r="Q4" s="17" t="str">
        <x:v>artifacts/verification/M1-P046/prisma-migration-rehearsal.json</x:v>
      </x:c>
      <x:c r="R4" s="17" t="str">
        <x:v>真实MySQL产品迁移6条；四表四外键和两个supplier scope触发器；默认HIDDEN；重复字段策略与跨供应商scope拒绝；drift NONE；cleanup PASS；预发布与生产未执行</x:v>
      </x:c>
    </x:row>
    <x:row r="5" ht="23" customHeight="1">
      <x:c r="A5" s="17" t="str">
        <x:v>MIG-004</x:v>
      </x:c>
      <x:c r="B5" s="17" t="str">
        <x:v>M1</x:v>
      </x:c>
      <x:c r="C5" s="17" t="str">
        <x:v>0103_supplier_onboarding_and_sensitive_approval</x:v>
      </x:c>
      <x:c r="D5" s="17" t="str">
        <x:v>MIG-003</x:v>
      </x:c>
      <x:c r="E5" s="17" t="str">
        <x:v>Supplier/SupplierUser/ApprovalTask/ApprovalTaskHistory/ApprovalTaskCommand/LoginAudit/AuditLog</x:v>
      </x:c>
      <x:c r="F5" s="17" t="str">
        <x:v>供应商准入与敏感审批审计</x:v>
      </x:c>
      <x:c r="G5" s="17" t="str">
        <x:v>只追加前向迁移；审批状态、历史、幂等命令与审计事件同事务；supplierId由会话派生</x:v>
      </x:c>
      <x:c r="H5" s="17" t="str">
        <x:v>已发布迁移不回改；应用回退保持新增列可空；数据库回滚只允许备份恢复或后续前向修复</x:v>
      </x:c>
      <x:c r="I5" s="17" t="str">
        <x:v>无</x:v>
      </x:c>
      <x:c r="J5" s="17" t="str">
        <x:v>主体唯一；ApprovalTask按identityType+identityId隔离；历史不可更新删除；审计supplierId查询前过滤；空库/升级/恢复/product链</x:v>
      </x:c>
      <x:c r="K5" s="17" t="str">
        <x:v>BEFORE_STAGING_OR_PRODUCTION</x:v>
      </x:c>
      <x:c r="L5" s="17" t="str">
        <x:v>APPLIED_LOCAL</x:v>
      </x:c>
      <x:c r="M5" s="17" t="n">
        <x:v>46242.121342592596</x:v>
      </x:c>
      <x:c r="N5" s="17" t="str"/>
      <x:c r="O5" s="17" t="str"/>
      <x:c r="P5" s="17" t="str">
        <x:v>4aac6c0222d74a97a550bab5bd9b2336ef1214ce</x:v>
      </x:c>
      <x:c r="Q5" s="17" t="str">
        <x:v>artifacts/verification/M1-P072/prisma-migration-rehearsal.json</x:v>
      </x:c>
      <x:c r="R5" s="17" t="str">
        <x:v>20260808013000新增审批历史/幂等命令、审计归属列和九个独立权限码；真实MySQL product=11、历史UPDATE/DELETE拒绝、cleanup PASS；staging/production未执行</x:v>
      </x:c>
    </x:row>
    <x:row r="6" ht="23" customHeight="1">
      <x:c r="A6" s="17" t="str">
        <x:v>MIG-005</x:v>
      </x:c>
      <x:c r="B6" s="17" t="str">
        <x:v>M2</x:v>
      </x:c>
      <x:c r="C6" s="17" t="str">
        <x:v>20260810062000_m2_category_tree+20260810094000_m2_category_templates+20260810110000_m2_food_template_profile+20260810213000_m2_fresh_template_profile+20260810230500_m2_apparel_template_profile+20260811060000_m2_digital_template_profile+20260811090000_m2_gift_box_template_profile+20260811110000_m2_regulated_category_controls</x:v>
      </x:c>
      <x:c r="D6" s="17" t="str">
        <x:v>MIG-007</x:v>
      </x:c>
      <x:c r="E6" s="17" t="str">
        <x:v>Category/CategoryHistory/CategoryCommand/CategoryTemplate/CategoryTemplateHistory/CategoryTemplateCommand/RegulatedCategoryControl/RegulatedCategoryControlHistory/RegulatedCategoryControlCommand/SupplierProduct.qualificationValidUntil/Product.qualificationValidUntil</x:v>
      </x:c>
      <x:c r="F6" s="17" t="str">
        <x:v>三级分类树、模板版本、五类详情模板与强监管默认拒绝</x:v>
      </x:c>
      <x:c r="G6" s="17" t="str">
        <x:v>在既有分类/模板前向迁移组上增加HIGH_RISK不可变模式、公司显式控制、追加历史、幂等命令和商品资质有效期；公开目录无控制或过期即默认拒绝</x:v>
      </x:c>
      <x:c r="H6" s="17" t="str">
        <x:v>已发布迁移不回改；应用回退时先停用强监管控制；共享环境保留历史并以新前向迁移修复</x:v>
      </x:c>
      <x:c r="I6" s="17" t="str">
        <x:v>既有模板自动回填GENERIC且regulatoryMode默认STANDARD；无正式强监管数据回填；正式资质由授权运营/合规录入</x:v>
      </x:c>
      <x:c r="J6" s="17" t="str">
        <x:v>模板不可变；强监管默认关闭、有效期、历史/命令唯一键；prisma validate；空库/升级/恢复dry-run；真实MySQL关键不变量探针</x:v>
      </x:c>
      <x:c r="K6" s="17" t="str">
        <x:v>BEFORE_STAGING_OR_PRODUCTION</x:v>
      </x:c>
      <x:c r="L6" s="17" t="str">
        <x:v>LOCAL_PASS</x:v>
      </x:c>
      <x:c r="M6" s="17" t="n">
        <x:v>46245.45717592593</x:v>
      </x:c>
      <x:c r="N6" s="17" t="str"/>
      <x:c r="O6" s="17" t="str"/>
      <x:c r="P6" s="17" t="str"/>
      <x:c r="Q6" s="17" t="str">
        <x:v>packages/db/prisma/migrations/20260811110000_m2_regulated_category_controls/migration.sql|tests/migrations/m2-p018-regulated-category-migration.contract.test.mjs|artifacts/verification/M2-P018/regulated-category-default-deny.json|artifacts/test-results/verification/pnpm-verify.json</x:v>
      </x:c>
      <x:c r="R6" s="17" t="str">
        <x:v>八个前向迁移组成分类/模板/强监管逻辑迁移组；P017最终head和合并后main CI通过；P018迁移契约与MySQL演练empty=2/upgrade2/restore2/product21/cleanupPASS；完整verify和PR CI待执行；staging/production未应用。</x:v>
      </x:c>
    </x:row>
    <x:row r="7" ht="23" customHeight="1">
      <x:c r="A7" s="17" t="str">
        <x:v>MIG-006</x:v>
      </x:c>
      <x:c r="B7" s="17" t="str">
        <x:v>M2</x:v>
      </x:c>
      <x:c r="C7" s="17" t="str">
        <x:v>20260809074000_m2_product_two_layer_model</x:v>
      </x:c>
      <x:c r="D7" s="17" t="str">
        <x:v>MIG-004</x:v>
      </x:c>
      <x:c r="E7" s="17" t="str">
        <x:v>SupplierProduct/SupplierProductSku</x:v>
      </x:c>
      <x:c r="F7" s="17" t="str">
        <x:v>供应商商品草稿</x:v>
      </x:c>
      <x:c r="G7" s="17" t="str">
        <x:v>新增上游商品与SKU、审批枚举、幂等命令和不可变状态历史</x:v>
      </x:c>
      <x:c r="H7" s="17" t="str">
        <x:v>已发布迁移不回改；失败前恢复备份或创建向前修复迁移；应用版本可回退时保持schema兼容窗口</x:v>
      </x:c>
      <x:c r="I7" s="17" t="str">
        <x:v>新阶段无历史商品数据；无需回填</x:v>
      </x:c>
      <x:c r="J7" s="17" t="str">
        <x:v>商品页面价格字段物理/DTO隔离；prisma validate；空库/升级/恢复dry-run</x:v>
      </x:c>
      <x:c r="K7" s="17" t="str">
        <x:v>BEFORE_STAGING_OR_PRODUCTION</x:v>
      </x:c>
      <x:c r="L7" s="17" t="str">
        <x:v>LOCAL_PASS</x:v>
      </x:c>
      <x:c r="M7" s="17" t="n">
        <x:v>46243.33472222222</x:v>
      </x:c>
      <x:c r="N7" s="17" t="str"/>
      <x:c r="O7" s="17" t="str"/>
      <x:c r="P7" s="17" t="str">
        <x:v>575109830ad9b23407a22ea417a9180b0dc14000</x:v>
      </x:c>
      <x:c r="Q7" s="17" t="str">
        <x:v>packages/db/prisma/migrations/20260809074000_m2_product_two_layer_model/migration.sql</x:v>
      </x:c>
      <x:c r="R7" s="17" t="str">
        <x:v>与MIG-007在同一原子迁移内创建；本地迁移演练empty=2/upgrade=2/restore=2/product=12/cleanup=PASS；staging/production未应用。</x:v>
      </x:c>
    </x:row>
    <x:row r="8" ht="23" customHeight="1">
      <x:c r="A8" s="17" t="str">
        <x:v>MIG-007</x:v>
      </x:c>
      <x:c r="B8" s="17" t="str">
        <x:v>M2</x:v>
      </x:c>
      <x:c r="C8" s="17" t="str">
        <x:v>20260809074000_m2_product_two_layer_model+20260809100000_m2_company_product_approval</x:v>
      </x:c>
      <x:c r="D8" s="17" t="str">
        <x:v>MIG-006</x:v>
      </x:c>
      <x:c r="E8" s="17" t="str">
        <x:v>Product/Sku</x:v>
      </x:c>
      <x:c r="F8" s="17" t="str">
        <x:v>公司可售商品</x:v>
      </x:c>
      <x:c r="G8" s="17" t="str">
        <x:v>既有Product/Sku唯一映射；追加PRODUCT_INITIAL_PRICE审批类型和COMPANY_PRICE_REVIEW职能枚举，不回改已发布迁移</x:v>
      </x:c>
      <x:c r="H8" s="17" t="str">
        <x:v>已发布迁移不回改；失败前恢复备份或创建向前修复迁移；应用版本可回退时保持schema兼容窗口</x:v>
      </x:c>
      <x:c r="I8" s="17" t="str">
        <x:v>新阶段无历史可售商品数据；无需回填</x:v>
      </x:c>
      <x:c r="J8" s="17" t="str">
        <x:v>双审前不物化；唯一键防并发重复；prisma validate；空库/升级/恢复dry-run</x:v>
      </x:c>
      <x:c r="K8" s="17" t="str">
        <x:v>BEFORE_STAGING_OR_PRODUCTION</x:v>
      </x:c>
      <x:c r="L8" s="17" t="str">
        <x:v>LOCAL_PASS</x:v>
      </x:c>
      <x:c r="M8" s="17" t="n">
        <x:v>46243.46212962963</x:v>
      </x:c>
      <x:c r="N8" s="17" t="str"/>
      <x:c r="O8" s="17" t="str"/>
      <x:c r="P8" s="17" t="str">
        <x:v>b4fb026383ecfab86bccf47965377a827d2cd149</x:v>
      </x:c>
      <x:c r="Q8" s="17" t="str">
        <x:v>packages/db/prisma/migrations/20260809100000_m2_company_product_approval/migration.sql|artifacts/verification/M2-P007/company-product-approvals.json</x:v>
      </x:c>
      <x:c r="R8" s="17" t="str">
        <x:v>M2-P008复用M2-P007已发布ApprovalTask schema，无新增迁移；pnpm verify内迁移完整性13/13及dry-run empty=2/upgrade=2/restore=2/product=13/cleanup=PASS。</x:v>
      </x:c>
    </x:row>
    <x:row r="9" ht="23" customHeight="1">
      <x:c r="A9" s="17" t="str">
        <x:v>MIG-008</x:v>
      </x:c>
      <x:c r="B9" s="17" t="str">
        <x:v>M2</x:v>
      </x:c>
      <x:c r="C9" s="17" t="str">
        <x:v>20260812013000_m2_tiered_price_changes</x:v>
      </x:c>
      <x:c r="D9" s="17" t="str">
        <x:v>MIG-007</x:v>
      </x:c>
      <x:c r="E9" s="17" t="str">
        <x:v>SupplyPriceChangeRequest/SupplyPriceChangeHistory/PriceChangeLog/PriceEffectOutbox/PriceChangeCommand</x:v>
      </x:c>
      <x:c r="F9" s="17" t="str">
        <x:v>价格治理</x:v>
      </x:c>
      <x:c r="G9" s="17" t="str">
        <x:v>供应价申请与审核状态按version推进；销售价免审；立即生效原子更新SKU版本并追加PriceChangeLog；预约生效写持久化outbox并由BullMQ恢复调度</x:v>
      </x:c>
      <x:c r="H9" s="17" t="str">
        <x:v>已发布迁移不回改；应用回退停止新调价和worker；共享环境保留申请/历史/日志/outbox/命令并以新前向迁移修复</x:v>
      </x:c>
      <x:c r="I9" s="17" t="str">
        <x:v>新阶段无正式上架商品调价数据；无需回填</x:v>
      </x:c>
      <x:c r="J9" s="17" t="str">
        <x:v>三类价格历史不可覆盖；申请状态合法推进；命令/业务键唯一；prisma validate；空库/升级/恢复dry-run；MySQL drift和cleanup</x:v>
      </x:c>
      <x:c r="K9" s="17" t="str">
        <x:v>BEFORE_STAGING_OR_PRODUCTION</x:v>
      </x:c>
      <x:c r="L9" s="17" t="str">
        <x:v>LOCAL_PASS</x:v>
      </x:c>
      <x:c r="M9" s="17" t="n">
        <x:v>46246.080555555556</x:v>
      </x:c>
      <x:c r="N9" s="17" t="str"/>
      <x:c r="O9" s="17" t="str"/>
      <x:c r="P9" s="17" t="str">
        <x:v>739b0b0d786406536a67762f01e599bbcdaded9f</x:v>
      </x:c>
      <x:c r="Q9" s="17" t="str">
        <x:v>packages/db/prisma/migrations/20260812013000_m2_tiered_price_changes/migration.sql|tests/migrations/m2-p019-tiered-price-change-migration.contract.test.mjs</x:v>
      </x:c>
      <x:c r="R9" s="17" t="str">
        <x:v>真实MySQL演练empty=2/upgrade=2/restore=2/product=22/cleanup=PASS；首轮发现5个外键名drift后按Prisma确定性命名修复；staging/production未应用。</x:v>
      </x:c>
    </x:row>
    <x:row r="10" ht="23" customHeight="1">
      <x:c r="A10" s="17" t="str">
        <x:v>MIG-009</x:v>
      </x:c>
      <x:c r="B10" s="17" t="str">
        <x:v>M2</x:v>
      </x:c>
      <x:c r="C10" s="17" t="str">
        <x:v>0205_inventory_truth</x:v>
      </x:c>
      <x:c r="D10" s="17" t="str">
        <x:v>MIG-008</x:v>
      </x:c>
      <x:c r="E10" s="17" t="str">
        <x:v>InventoryBalance/InventoryChangeLog</x:v>
      </x:c>
      <x:c r="F10" s="17" t="str">
        <x:v>库存真源</x:v>
      </x:c>
      <x:c r="G10" s="17" t="str">
        <x:v>由阶段切片生成Prisma migration；事务/分批策略按数据量确定</x:v>
      </x:c>
      <x:c r="H10" s="17" t="str">
        <x:v>已发布迁移不回改；失败前恢复备份或创建向前修复迁移；应用版本可回退时保持schema兼容窗口</x:v>
      </x:c>
      <x:c r="I10" s="17" t="str">
        <x:v>阶段实现时明确批次、断点、校验和</x:v>
      </x:c>
      <x:c r="J10" s="17" t="str">
        <x:v>skuId唯一、非负、乐观锁；prisma validate；空库/升级路径dry-run；关键不变量SQL</x:v>
      </x:c>
      <x:c r="K10" s="17" t="str">
        <x:v>BEFORE_STAGING_OR_PRODUCTION</x:v>
      </x:c>
      <x:c r="L10" s="17" t="str">
        <x:v>PLANNED</x:v>
      </x:c>
      <x:c r="M10" s="17" t="str"/>
      <x:c r="N10" s="17" t="str"/>
      <x:c r="O10" s="17" t="str"/>
      <x:c r="P10" s="17" t="str"/>
      <x:c r="Q10" s="17" t="str">
        <x:v>artifacts/verification/M2-000/m2-contract-freeze.json#migrationContract</x:v>
      </x:c>
      <x:c r="R10" s="17" t="str">
        <x:v>M2-000仅冻结迁移顺序、不变量与恢复策略；未创建或应用任何M2迁移</x:v>
      </x:c>
    </x:row>
    <x:row r="11" ht="23" customHeight="1">
      <x:c r="A11" s="17" t="str">
        <x:v>MIG-010</x:v>
      </x:c>
      <x:c r="B11" s="17" t="str">
        <x:v>M3</x:v>
      </x:c>
      <x:c r="C11" s="17" t="str">
        <x:v>0301_consumer_identity_profile</x:v>
      </x:c>
      <x:c r="D11" s="17" t="str">
        <x:v>MIG-009</x:v>
      </x:c>
      <x:c r="E11" s="17" t="str">
        <x:v>ConsumerUser/WechatIdentity/Session/Address/Invoice/Message</x:v>
      </x:c>
      <x:c r="F11" s="17" t="str">
        <x:v>个人用户</x:v>
      </x:c>
      <x:c r="G11" s="17" t="str">
        <x:v>由阶段切片生成Prisma migration；事务/分批策略按数据量确定</x:v>
      </x:c>
      <x:c r="H11" s="17" t="str">
        <x:v>已发布迁移不回改；失败前恢复备份或创建向前修复迁移；应用版本可回退时保持schema兼容窗口</x:v>
      </x:c>
      <x:c r="I11" s="17" t="str">
        <x:v>阶段实现时明确批次、断点、校验和</x:v>
      </x:c>
      <x:c r="J11" s="17" t="str">
        <x:v>哈希/加密/归属索引；prisma validate；空库/升级路径dry-run；关键不变量SQL</x:v>
      </x:c>
      <x:c r="K11" s="17" t="str">
        <x:v>YES</x:v>
      </x:c>
      <x:c r="L11" s="17" t="str">
        <x:v>PLANNED</x:v>
      </x:c>
      <x:c r="M11" s="17" t="str"/>
      <x:c r="N11" s="17" t="str"/>
      <x:c r="O11" s="17" t="str"/>
      <x:c r="P11" s="17" t="str"/>
      <x:c r="Q11" s="17" t="str"/>
      <x:c r="R11" s="17" t="str"/>
    </x:row>
    <x:row r="12" ht="23" customHeight="1">
      <x:c r="A12" s="17" t="str">
        <x:v>MIG-011</x:v>
      </x:c>
      <x:c r="B12" s="17" t="str">
        <x:v>M3</x:v>
      </x:c>
      <x:c r="C12" s="17" t="str">
        <x:v>0302_enterprise_identity_profile</x:v>
      </x:c>
      <x:c r="D12" s="17" t="str">
        <x:v>MIG-010</x:v>
      </x:c>
      <x:c r="E12" s="17" t="str">
        <x:v>EnterpriseCustomer/User/Address/Invoice/ProcurementProfile</x:v>
      </x:c>
      <x:c r="F12" s="17" t="str">
        <x:v>企业客户</x:v>
      </x:c>
      <x:c r="G12" s="17" t="str">
        <x:v>由阶段切片生成Prisma migration；事务/分批策略按数据量确定</x:v>
      </x:c>
      <x:c r="H12" s="17" t="str">
        <x:v>已发布迁移不回改；失败前恢复备份或创建向前修复迁移；应用版本可回退时保持schema兼容窗口</x:v>
      </x:c>
      <x:c r="I12" s="17" t="str">
        <x:v>阶段实现时明确批次、断点、校验和</x:v>
      </x:c>
      <x:c r="J12" s="17" t="str">
        <x:v>信用代码唯一与数据域；prisma validate；空库/升级路径dry-run；关键不变量SQL</x:v>
      </x:c>
      <x:c r="K12" s="17" t="str">
        <x:v>YES</x:v>
      </x:c>
      <x:c r="L12" s="17" t="str">
        <x:v>PLANNED</x:v>
      </x:c>
      <x:c r="M12" s="17" t="str"/>
      <x:c r="N12" s="17" t="str"/>
      <x:c r="O12" s="17" t="str"/>
      <x:c r="P12" s="17" t="str"/>
      <x:c r="Q12" s="17" t="str"/>
      <x:c r="R12" s="17" t="str"/>
    </x:row>
    <x:row r="13" ht="23" customHeight="1">
      <x:c r="A13" s="17" t="str">
        <x:v>MIG-012</x:v>
      </x:c>
      <x:c r="B13" s="17" t="str">
        <x:v>M3</x:v>
      </x:c>
      <x:c r="C13" s="17" t="str">
        <x:v>0303_cart_order_suborders</x:v>
      </x:c>
      <x:c r="D13" s="17" t="str">
        <x:v>MIG-011</x:v>
      </x:c>
      <x:c r="E13" s="17" t="str">
        <x:v>ShoppingCart/Item/Order/OrderItem/SupplierFulfillmentSubOrder</x:v>
      </x:c>
      <x:c r="F13" s="17" t="str">
        <x:v>跨供应商订单</x:v>
      </x:c>
      <x:c r="G13" s="17" t="str">
        <x:v>由阶段切片生成Prisma migration；事务/分批策略按数据量确定</x:v>
      </x:c>
      <x:c r="H13" s="17" t="str">
        <x:v>已发布迁移不回改；失败前恢复备份或创建向前修复迁移；应用版本可回退时保持schema兼容窗口</x:v>
      </x:c>
      <x:c r="I13" s="17" t="str">
        <x:v>阶段实现时明确批次、断点、校验和</x:v>
      </x:c>
      <x:c r="J13" s="17" t="str">
        <x:v>购物车版本、订单幂等、快照；prisma validate；空库/升级路径dry-run；关键不变量SQL</x:v>
      </x:c>
      <x:c r="K13" s="17" t="str">
        <x:v>YES</x:v>
      </x:c>
      <x:c r="L13" s="17" t="str">
        <x:v>PLANNED</x:v>
      </x:c>
      <x:c r="M13" s="17" t="str"/>
      <x:c r="N13" s="17" t="str"/>
      <x:c r="O13" s="17" t="str"/>
      <x:c r="P13" s="17" t="str"/>
      <x:c r="Q13" s="17" t="str"/>
      <x:c r="R13" s="17" t="str"/>
    </x:row>
    <x:row r="14" ht="23" customHeight="1">
      <x:c r="A14" s="17" t="str">
        <x:v>MIG-013</x:v>
      </x:c>
      <x:c r="B14" s="17" t="str">
        <x:v>M3</x:v>
      </x:c>
      <x:c r="C14" s="17" t="str">
        <x:v>0304_payment_refund_allocation</x:v>
      </x:c>
      <x:c r="D14" s="17" t="str">
        <x:v>MIG-012</x:v>
      </x:c>
      <x:c r="E14" s="17" t="str">
        <x:v>OrderPaymentAllocation/PaymentTransaction/RefundTransaction</x:v>
      </x:c>
      <x:c r="F14" s="17" t="str">
        <x:v>支付退款</x:v>
      </x:c>
      <x:c r="G14" s="17" t="str">
        <x:v>由阶段切片生成Prisma migration；事务/分批策略按数据量确定</x:v>
      </x:c>
      <x:c r="H14" s="17" t="str">
        <x:v>已发布迁移不回改；失败前恢复备份或创建向前修复迁移；应用版本可回退时保持schema兼容窗口</x:v>
      </x:c>
      <x:c r="I14" s="17" t="str">
        <x:v>阶段实现时明确批次、断点、校验和</x:v>
      </x:c>
      <x:c r="J14" s="17" t="str">
        <x:v>外部单号和幂等唯一键；prisma validate；空库/升级路径dry-run；关键不变量SQL</x:v>
      </x:c>
      <x:c r="K14" s="17" t="str">
        <x:v>YES</x:v>
      </x:c>
      <x:c r="L14" s="17" t="str">
        <x:v>PLANNED</x:v>
      </x:c>
      <x:c r="M14" s="17" t="str"/>
      <x:c r="N14" s="17" t="str"/>
      <x:c r="O14" s="17" t="str"/>
      <x:c r="P14" s="17" t="str"/>
      <x:c r="Q14" s="17" t="str"/>
      <x:c r="R14" s="17" t="str"/>
    </x:row>
    <x:row r="15" ht="23" customHeight="1">
      <x:c r="A15" s="17" t="str">
        <x:v>MIG-014</x:v>
      </x:c>
      <x:c r="B15" s="17" t="str">
        <x:v>M3</x:v>
      </x:c>
      <x:c r="C15" s="17" t="str">
        <x:v>0305_welfare_card_ledger</x:v>
      </x:c>
      <x:c r="D15" s="17" t="str">
        <x:v>MIG-013</x:v>
      </x:c>
      <x:c r="E15" s="17" t="str">
        <x:v>WelfareCardProgram/Batch/Code/Account/Ledger</x:v>
      </x:c>
      <x:c r="F15" s="17" t="str">
        <x:v>福利卡</x:v>
      </x:c>
      <x:c r="G15" s="17" t="str">
        <x:v>由阶段切片生成Prisma migration；事务/分批策略按数据量确定</x:v>
      </x:c>
      <x:c r="H15" s="17" t="str">
        <x:v>已发布迁移不回改；失败前恢复备份或创建向前修复迁移；应用版本可回退时保持schema兼容窗口</x:v>
      </x:c>
      <x:c r="I15" s="17" t="str">
        <x:v>阶段实现时明确批次、断点、校验和</x:v>
      </x:c>
      <x:c r="J15" s="17" t="str">
        <x:v>账本幂等、余额不变量；资金来源仅三类且无PERSONAL_RECHARGE；prisma validate；空库/升级dry-run；关键不变量SQL</x:v>
      </x:c>
      <x:c r="K15" s="17" t="str">
        <x:v>YES</x:v>
      </x:c>
      <x:c r="L15" s="17" t="str">
        <x:v>PLANNED</x:v>
      </x:c>
      <x:c r="M15" s="17" t="str"/>
      <x:c r="N15" s="17" t="str"/>
      <x:c r="O15" s="17" t="str"/>
      <x:c r="P15" s="17" t="str"/>
      <x:c r="Q15" s="17" t="str"/>
      <x:c r="R15" s="17" t="str"/>
    </x:row>
    <x:row r="16" ht="23" customHeight="1">
      <x:c r="A16" s="17" t="str">
        <x:v>MIG-015</x:v>
      </x:c>
      <x:c r="B16" s="17" t="str">
        <x:v>M3</x:v>
      </x:c>
      <x:c r="C16" s="17" t="str">
        <x:v>0306_enterprise_procurement</x:v>
      </x:c>
      <x:c r="D16" s="17" t="str">
        <x:v>MIG-014</x:v>
      </x:c>
      <x:c r="E16" s="17" t="str">
        <x:v>EnterpriseProcurementOrder/EnterpriseWelfarePurchase</x:v>
      </x:c>
      <x:c r="F16" s="17" t="str">
        <x:v>企业采购</x:v>
      </x:c>
      <x:c r="G16" s="17" t="str">
        <x:v>由阶段切片生成Prisma migration；事务/分批策略按数据量确定</x:v>
      </x:c>
      <x:c r="H16" s="17" t="str">
        <x:v>已发布迁移不回改；失败前恢复备份或创建向前修复迁移；应用版本可回退时保持schema兼容窗口</x:v>
      </x:c>
      <x:c r="I16" s="17" t="str">
        <x:v>阶段实现时明确批次、断点、校验和</x:v>
      </x:c>
      <x:c r="J16" s="17" t="str">
        <x:v>主订单一对一和转账审核；prisma validate；空库/升级路径dry-run；关键不变量SQL</x:v>
      </x:c>
      <x:c r="K16" s="17" t="str">
        <x:v>YES</x:v>
      </x:c>
      <x:c r="L16" s="17" t="str">
        <x:v>PLANNED</x:v>
      </x:c>
      <x:c r="M16" s="17" t="str"/>
      <x:c r="N16" s="17" t="str"/>
      <x:c r="O16" s="17" t="str"/>
      <x:c r="P16" s="17" t="str"/>
      <x:c r="Q16" s="17" t="str"/>
      <x:c r="R16" s="17" t="str"/>
    </x:row>
    <x:row r="17" ht="23" customHeight="1">
      <x:c r="A17" s="17" t="str">
        <x:v>MIG-016</x:v>
      </x:c>
      <x:c r="B17" s="17" t="str">
        <x:v>M4</x:v>
      </x:c>
      <x:c r="C17" s="17" t="str">
        <x:v>0401_runner_delivery</x:v>
      </x:c>
      <x:c r="D17" s="17" t="str">
        <x:v>MIG-015</x:v>
      </x:c>
      <x:c r="E17" s="17" t="str">
        <x:v>RunnerApplication/Runner/RunnerSession/DeliveryTask/AssignmentLog/NodeLog</x:v>
      </x:c>
      <x:c r="F17" s="17" t="str">
        <x:v>个人跑腿</x:v>
      </x:c>
      <x:c r="G17" s="17" t="str">
        <x:v>由阶段切片生成Prisma migration；事务/分批策略按数据量确定</x:v>
      </x:c>
      <x:c r="H17" s="17" t="str">
        <x:v>已发布迁移不回改；失败前恢复备份或创建向前修复迁移；应用版本可回退时保持schema兼容窗口</x:v>
      </x:c>
      <x:c r="I17" s="17" t="str">
        <x:v>阶段实现时明确批次、断点、校验和</x:v>
      </x:c>
      <x:c r="J17" s="17" t="str">
        <x:v>子单至多一个任务、并发抢单；prisma validate；空库/升级路径dry-run；关键不变量SQL</x:v>
      </x:c>
      <x:c r="K17" s="17" t="str">
        <x:v>YES</x:v>
      </x:c>
      <x:c r="L17" s="17" t="str">
        <x:v>PLANNED</x:v>
      </x:c>
      <x:c r="M17" s="17" t="str"/>
      <x:c r="N17" s="17" t="str"/>
      <x:c r="O17" s="17" t="str"/>
      <x:c r="P17" s="17" t="str"/>
      <x:c r="Q17" s="17" t="str"/>
      <x:c r="R17" s="17" t="str"/>
    </x:row>
    <x:row r="18" ht="23" customHeight="1">
      <x:c r="A18" s="17" t="str">
        <x:v>MIG-017</x:v>
      </x:c>
      <x:c r="B18" s="17" t="str">
        <x:v>M4</x:v>
      </x:c>
      <x:c r="C18" s="17" t="str">
        <x:v>0402_delivery_exception_proof</x:v>
      </x:c>
      <x:c r="D18" s="17" t="str">
        <x:v>MIG-016</x:v>
      </x:c>
      <x:c r="E18" s="17" t="str">
        <x:v>DeliveryException/DeliveryProof/RunnerCompensationRecord</x:v>
      </x:c>
      <x:c r="F18" s="17" t="str">
        <x:v>配送证据</x:v>
      </x:c>
      <x:c r="G18" s="17" t="str">
        <x:v>由阶段切片生成Prisma migration；事务/分批策略按数据量确定</x:v>
      </x:c>
      <x:c r="H18" s="17" t="str">
        <x:v>已发布迁移不回改；失败前恢复备份或创建向前修复迁移；应用版本可回退时保持schema兼容窗口</x:v>
      </x:c>
      <x:c r="I18" s="17" t="str">
        <x:v>阶段实现时明确批次、断点、校验和</x:v>
      </x:c>
      <x:c r="J18" s="17" t="str">
        <x:v>追加日志与保留策略；prisma validate；空库/升级路径dry-run；关键不变量SQL</x:v>
      </x:c>
      <x:c r="K18" s="17" t="str">
        <x:v>YES</x:v>
      </x:c>
      <x:c r="L18" s="17" t="str">
        <x:v>PLANNED</x:v>
      </x:c>
      <x:c r="M18" s="17" t="str"/>
      <x:c r="N18" s="17" t="str"/>
      <x:c r="O18" s="17" t="str"/>
      <x:c r="P18" s="17" t="str"/>
      <x:c r="Q18" s="17" t="str"/>
      <x:c r="R18" s="17" t="str"/>
    </x:row>
    <x:row r="19" ht="23" customHeight="1">
      <x:c r="A19" s="17" t="str">
        <x:v>MIG-018</x:v>
      </x:c>
      <x:c r="B19" s="17" t="str">
        <x:v>M4</x:v>
      </x:c>
      <x:c r="C19" s="17" t="str">
        <x:v>0403_enterprise_delivery</x:v>
      </x:c>
      <x:c r="D19" s="17" t="str">
        <x:v>MIG-017</x:v>
      </x:c>
      <x:c r="E19" s="17" t="str">
        <x:v>EnterpriseDeliveryOrder/Item/NodeLog/CompanyDeliveryResource</x:v>
      </x:c>
      <x:c r="F19" s="17" t="str">
        <x:v>企业统一配送</x:v>
      </x:c>
      <x:c r="G19" s="17" t="str">
        <x:v>由阶段切片生成Prisma migration；事务/分批策略按数据量确定</x:v>
      </x:c>
      <x:c r="H19" s="17" t="str">
        <x:v>已发布迁移不回改；失败前恢复备份或创建向前修复迁移；应用版本可回退时保持schema兼容窗口</x:v>
      </x:c>
      <x:c r="I19" s="17" t="str">
        <x:v>阶段实现时明确批次、断点、校验和</x:v>
      </x:c>
      <x:c r="J19" s="17" t="str">
        <x:v>与DeliveryTask类型隔离；prisma validate；空库/升级路径dry-run；关键不变量SQL</x:v>
      </x:c>
      <x:c r="K19" s="17" t="str">
        <x:v>YES</x:v>
      </x:c>
      <x:c r="L19" s="17" t="str">
        <x:v>PLANNED</x:v>
      </x:c>
      <x:c r="M19" s="17" t="str"/>
      <x:c r="N19" s="17" t="str"/>
      <x:c r="O19" s="17" t="str"/>
      <x:c r="P19" s="17" t="str"/>
      <x:c r="Q19" s="17" t="str"/>
      <x:c r="R19" s="17" t="str"/>
    </x:row>
    <x:row r="20" ht="23" customHeight="1">
      <x:c r="A20" s="17" t="str">
        <x:v>MIG-019</x:v>
      </x:c>
      <x:c r="B20" s="17" t="str">
        <x:v>M5</x:v>
      </x:c>
      <x:c r="C20" s="17" t="str">
        <x:v>0501_aftersales_responsibility</x:v>
      </x:c>
      <x:c r="D20" s="17" t="str">
        <x:v>MIG-018</x:v>
      </x:c>
      <x:c r="E20" s="17" t="str">
        <x:v>AfterSale领域表/证据/责任快照（阶段冻结命名）</x:v>
      </x:c>
      <x:c r="F20" s="17" t="str">
        <x:v>售后</x:v>
      </x:c>
      <x:c r="G20" s="17" t="str">
        <x:v>由阶段切片生成Prisma migration；事务/分批策略按数据量确定</x:v>
      </x:c>
      <x:c r="H20" s="17" t="str">
        <x:v>已发布迁移不回改；失败前恢复备份或创建向前修复迁移；应用版本可回退时保持schema兼容窗口</x:v>
      </x:c>
      <x:c r="I20" s="17" t="str">
        <x:v>阶段实现时明确批次、断点、校验和</x:v>
      </x:c>
      <x:c r="J20" s="17" t="str">
        <x:v>订单项可退数量与责任版本；prisma validate；空库/升级路径dry-run；关键不变量SQL</x:v>
      </x:c>
      <x:c r="K20" s="17" t="str">
        <x:v>YES</x:v>
      </x:c>
      <x:c r="L20" s="17" t="str">
        <x:v>PLANNED</x:v>
      </x:c>
      <x:c r="M20" s="17" t="str"/>
      <x:c r="N20" s="17" t="str"/>
      <x:c r="O20" s="17" t="str"/>
      <x:c r="P20" s="17" t="str"/>
      <x:c r="Q20" s="17" t="str"/>
      <x:c r="R20" s="17" t="str"/>
    </x:row>
    <x:row r="21" ht="23" customHeight="1">
      <x:c r="A21" s="17" t="str">
        <x:v>MIG-020</x:v>
      </x:c>
      <x:c r="B21" s="17" t="str">
        <x:v>M5</x:v>
      </x:c>
      <x:c r="C21" s="17" t="str">
        <x:v>0502_supplier_statements</x:v>
      </x:c>
      <x:c r="D21" s="17" t="str">
        <x:v>MIG-019</x:v>
      </x:c>
      <x:c r="E21" s="17" t="str">
        <x:v>SupplierStatement/StatementItem/OfflineSettlementRecord</x:v>
      </x:c>
      <x:c r="F21" s="17" t="str">
        <x:v>对账结算</x:v>
      </x:c>
      <x:c r="G21" s="17" t="str">
        <x:v>由阶段切片生成Prisma migration；事务/分批策略按数据量确定</x:v>
      </x:c>
      <x:c r="H21" s="17" t="str">
        <x:v>已发布迁移不回改；失败前恢复备份或创建向前修复迁移；应用版本可回退时保持schema兼容窗口</x:v>
      </x:c>
      <x:c r="I21" s="17" t="str">
        <x:v>阶段实现时明确批次、断点、校验和</x:v>
      </x:c>
      <x:c r="J21" s="17" t="str">
        <x:v>账期唯一、已确认不可覆盖；prisma validate；空库/升级路径dry-run；关键不变量SQL</x:v>
      </x:c>
      <x:c r="K21" s="17" t="str">
        <x:v>YES</x:v>
      </x:c>
      <x:c r="L21" s="17" t="str">
        <x:v>PLANNED</x:v>
      </x:c>
      <x:c r="M21" s="17" t="str"/>
      <x:c r="N21" s="17" t="str"/>
      <x:c r="O21" s="17" t="str"/>
      <x:c r="P21" s="17" t="str"/>
      <x:c r="Q21" s="17" t="str"/>
      <x:c r="R21" s="17" t="str"/>
    </x:row>
    <x:row r="22" ht="23" customHeight="1">
      <x:c r="A22" s="17" t="str">
        <x:v>MIG-021</x:v>
      </x:c>
      <x:c r="B22" s="17" t="str">
        <x:v>M5</x:v>
      </x:c>
      <x:c r="C22" s="17" t="str">
        <x:v>0503_portal_content</x:v>
      </x:c>
      <x:c r="D22" s="17" t="str">
        <x:v>MIG-020</x:v>
      </x:c>
      <x:c r="E22" s="17" t="str">
        <x:v>PortalContent/Revision/Navigation/Media/BusinessInquiry</x:v>
      </x:c>
      <x:c r="F22" s="17" t="str">
        <x:v>门户CMS</x:v>
      </x:c>
      <x:c r="G22" s="17" t="str">
        <x:v>由阶段切片生成Prisma migration；事务/分批策略按数据量确定</x:v>
      </x:c>
      <x:c r="H22" s="17" t="str">
        <x:v>已发布迁移不回改；失败前恢复备份或创建向前修复迁移；应用版本可回退时保持schema兼容窗口</x:v>
      </x:c>
      <x:c r="I22" s="17" t="str">
        <x:v>阶段实现时明确批次、断点、校验和</x:v>
      </x:c>
      <x:c r="J22" s="17" t="str">
        <x:v>slug唯一、发布revision不可变；发布/下线事件可按slug失效；prisma validate；空库/升级dry-run；关键不变量SQL</x:v>
      </x:c>
      <x:c r="K22" s="17" t="str">
        <x:v>YES</x:v>
      </x:c>
      <x:c r="L22" s="17" t="str">
        <x:v>PLANNED</x:v>
      </x:c>
      <x:c r="M22" s="17" t="str"/>
      <x:c r="N22" s="17" t="str"/>
      <x:c r="O22" s="17" t="str"/>
      <x:c r="P22" s="17" t="str"/>
      <x:c r="Q22" s="17" t="str"/>
      <x:c r="R22" s="17" t="str"/>
    </x:row>
    <x:row r="23" ht="23" customHeight="1">
      <x:c r="A23" s="18" t="str">
        <x:v>MIG-022</x:v>
      </x:c>
      <x:c r="B23" s="18" t="str">
        <x:v>M5</x:v>
      </x:c>
      <x:c r="C23" s="18" t="str">
        <x:v>0504_export_governance</x:v>
      </x:c>
      <x:c r="D23" s="18" t="str">
        <x:v>MIG-021</x:v>
      </x:c>
      <x:c r="E23" s="18" t="str">
        <x:v>ExportJob及审计索引/保留策略</x:v>
      </x:c>
      <x:c r="F23" s="18" t="str">
        <x:v>受控导出</x:v>
      </x:c>
      <x:c r="G23" s="18" t="str">
        <x:v>由阶段切片生成Prisma migration；事务/分批策略按数据量确定</x:v>
      </x:c>
      <x:c r="H23" s="18" t="str">
        <x:v>已发布迁移不回改；失败前恢复备份或创建向前修复迁移；应用版本可回退时保持schema兼容窗口</x:v>
      </x:c>
      <x:c r="I23" s="18" t="str">
        <x:v>阶段实现时明确批次、断点、校验和</x:v>
      </x:c>
      <x:c r="J23" s="18" t="str">
        <x:v>短时下载和字段白名单；prisma validate；空库/升级路径dry-run；关键不变量SQL</x:v>
      </x:c>
      <x:c r="K23" s="18" t="str">
        <x:v>YES</x:v>
      </x:c>
      <x:c r="L23" s="18" t="str">
        <x:v>PLANNED</x:v>
      </x:c>
      <x:c r="M23" s="18" t="str"/>
      <x:c r="N23" s="18" t="str"/>
      <x:c r="O23" s="18" t="str"/>
      <x:c r="P23" s="18" t="str"/>
      <x:c r="Q23" s="18" t="str"/>
      <x:c r="R23" s="18" t="str"/>
    </x:row>
    <x:row r="24">
      <x:c r="A24"/>
      <x:c r="B24"/>
      <x:c r="C24"/>
      <x:c r="D24"/>
      <x:c r="E24"/>
      <x:c r="F24"/>
      <x:c r="G24"/>
      <x:c r="H24"/>
      <x:c r="I24"/>
      <x:c r="J24"/>
      <x:c r="K24"/>
      <x:c r="L24"/>
      <x:c r="M24"/>
      <x:c r="N24"/>
      <x:c r="O24"/>
      <x:c r="P24"/>
      <x:c r="Q24"/>
      <x:c r="R24"/>
    </x:row>
  </x:sheetData>
  <x:conditionalFormatting sqref="L2:L23">
    <x:cfRule type="cellIs" dxfId="180" priority="1" operator="equal">
      <x:formula>"READY"</x:formula>
    </x:cfRule>
    <x:cfRule type="cellIs" dxfId="181" priority="2" operator="equal">
      <x:formula>"DONE"</x:formula>
    </x:cfRule>
    <x:cfRule type="cellIs" dxfId="182" priority="3" operator="equal">
      <x:formula>"LOCAL_PASS"</x:formula>
    </x:cfRule>
    <x:cfRule type="cellIs" dxfId="183" priority="4" operator="equal">
      <x:formula>"CI_PASS"</x:formula>
    </x:cfRule>
    <x:cfRule type="cellIs" dxfId="184" priority="5" operator="equal">
      <x:formula>"STAGING_PASS"</x:formula>
    </x:cfRule>
    <x:cfRule type="cellIs" dxfId="185" priority="6" operator="equal">
      <x:formula>"DEVICE_PASS"</x:formula>
    </x:cfRule>
    <x:cfRule type="cellIs" dxfId="186" priority="7" operator="equal">
      <x:formula>"PRODUCTION_PASS"</x:formula>
    </x:cfRule>
    <x:cfRule type="cellIs" dxfId="187" priority="8" operator="equal">
      <x:formula>"FAIL"</x:formula>
    </x:cfRule>
    <x:cfRule type="cellIs" dxfId="188" priority="9" operator="equal">
      <x:formula>"BLOCKED_EXTERNAL"</x:formula>
    </x:cfRule>
    <x:cfRule type="cellIs" dxfId="189" priority="10" operator="equal">
      <x:formula>"NOT_PROVIDED"</x:formula>
    </x:cfRule>
    <x:cfRule type="cellIs" dxfId="190" priority="11" operator="equal">
      <x:formula>"LOCKED"</x:formula>
    </x:cfRule>
    <x:cfRule type="cellIs" dxfId="191" priority="12" operator="equal">
      <x:formula>"NOT_STARTED"</x:formula>
    </x:cfRule>
    <x:cfRule type="cellIs" dxfId="192" priority="13" operator="equal">
      <x:formula>"NOT_EXECUTED"</x:formula>
    </x:cfRule>
    <x:cfRule type="cellIs" dxfId="193" priority="14" operator="equal">
      <x:formula>"IN_PROGRESS"</x:formula>
    </x:cfRule>
    <x:cfRule type="cellIs" dxfId="194" priority="15" operator="equal">
      <x:formula>"PLANNED"</x:formula>
    </x:cfRule>
  </x:conditionalFormatting>
  <x:dataValidations count="1">
    <x:dataValidation type="list" sqref="L2:L23">
      <x:formula1>"NOT_STARTED,READY,IN_PROGRESS,DONE,LOCKED,PLANNED,NOT_EXECUTED,LOCAL_PASS,CI_PASS,STAGING_PASS,DEVICE_PASS,PRODUCTION_PASS,BLOCKED_EXTERNAL,FAIL,NOT_PROVIDED"</x:formula1>
    </x:dataValidation>
  </x:dataValidations>
  <x:pageMargins left="0.7" right="0.7" top="0.75" bottom="0.75" header="0.3" footer="0.3"/>
  <x:tableParts count="1">
    <x:tablePart xmlns:r="http://schemas.openxmlformats.org/officeDocument/2006/relationships" r:id="R4c87b581ee0f4daa"/>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12" hidden="0" customWidth="1"/>
    <x:col min="2" max="2" width="9" hidden="0" customWidth="1"/>
    <x:col min="3" max="3" width="24" hidden="0" customWidth="1"/>
    <x:col min="4" max="4" width="10" hidden="0" customWidth="1"/>
    <x:col min="5" max="5" width="52" hidden="0" customWidth="1"/>
    <x:col min="6" max="6" width="28" hidden="0" customWidth="1"/>
    <x:col min="7" max="7" width="32" hidden="0" customWidth="1"/>
    <x:col min="8" max="8" width="32" hidden="0" customWidth="1"/>
    <x:col min="9" max="9" width="42" hidden="0" customWidth="1"/>
    <x:col min="10" max="10" width="40" hidden="0" customWidth="1"/>
    <x:col min="11" max="11" width="24" hidden="0" customWidth="1"/>
    <x:col min="12" max="12" width="48" hidden="0" customWidth="1"/>
    <x:col min="13" max="13" width="42" hidden="0" customWidth="1"/>
    <x:col min="14" max="14" width="28" hidden="0" customWidth="1"/>
    <x:col min="15" max="15" width="20" hidden="0" customWidth="1"/>
    <x:col min="16" max="16" width="20" hidden="0" customWidth="1"/>
    <x:col min="17" max="17" width="20" hidden="0" customWidth="1"/>
    <x:col min="18" max="18" width="22" hidden="0" customWidth="1"/>
    <x:col min="19" max="19" width="18" hidden="0" customWidth="1"/>
    <x:col min="20" max="20" width="38" hidden="0" customWidth="1"/>
  </x:cols>
  <x:sheetData>
    <x:row r="1" ht="34" customHeight="1">
      <x:c r="A1" s="14" t="str">
        <x:v>ContractID</x:v>
      </x:c>
      <x:c r="B1" s="15" t="str">
        <x:v>Stage</x:v>
      </x:c>
      <x:c r="C1" s="15" t="str">
        <x:v>Domain</x:v>
      </x:c>
      <x:c r="D1" s="15" t="str">
        <x:v>Method</x:v>
      </x:c>
      <x:c r="E1" s="15" t="str">
        <x:v>Path</x:v>
      </x:c>
      <x:c r="F1" s="15" t="str">
        <x:v>Actor</x:v>
      </x:c>
      <x:c r="G1" s="15" t="str">
        <x:v>RequestDTO</x:v>
      </x:c>
      <x:c r="H1" s="15" t="str">
        <x:v>ResponseDTO</x:v>
      </x:c>
      <x:c r="I1" s="15" t="str">
        <x:v>CommonResponse</x:v>
      </x:c>
      <x:c r="J1" s="15" t="str">
        <x:v>ErrorCodes</x:v>
      </x:c>
      <x:c r="K1" s="15" t="str">
        <x:v>Idempotency</x:v>
      </x:c>
      <x:c r="L1" s="15" t="str">
        <x:v>SensitiveFieldPolicy</x:v>
      </x:c>
      <x:c r="M1" s="15" t="str">
        <x:v>MoneyRule</x:v>
      </x:c>
      <x:c r="N1" s="15" t="str">
        <x:v>P0</x:v>
      </x:c>
      <x:c r="O1" s="15" t="str">
        <x:v>OpenAPIStatus</x:v>
      </x:c>
      <x:c r="P1" s="15" t="str">
        <x:v>DTOStatus</x:v>
      </x:c>
      <x:c r="Q1" s="15" t="str">
        <x:v>ErrorCodeStatus</x:v>
      </x:c>
      <x:c r="R1" s="15" t="str">
        <x:v>ContractTest</x:v>
      </x:c>
      <x:c r="S1" s="15" t="str">
        <x:v>Owner</x:v>
      </x:c>
      <x:c r="T1" s="16" t="str">
        <x:v>Notes</x:v>
      </x:c>
    </x:row>
    <x:row r="2" ht="23" customHeight="1">
      <x:c r="A2" s="17" t="str">
        <x:v>API-001</x:v>
      </x:c>
      <x:c r="B2" s="17" t="str">
        <x:v>M0</x:v>
      </x:c>
      <x:c r="C2" s="17" t="str">
        <x:v>system</x:v>
      </x:c>
      <x:c r="D2" s="17" t="str">
        <x:v>GET</x:v>
      </x:c>
      <x:c r="E2" s="17" t="str">
        <x:v>/health/live</x:v>
      </x:c>
      <x:c r="F2" s="17" t="str">
        <x:v>PUBLIC</x:v>
      </x:c>
      <x:c r="G2" s="17" t="str">
        <x:v>None</x:v>
      </x:c>
      <x:c r="H2" s="17" t="str">
        <x:v>HealthLivenessDto</x:v>
      </x:c>
      <x:c r="I2" s="17" t="str">
        <x:v>ApiErrorResponseDto:{statusCode,code,message,requestId,path,timestamp}</x:v>
      </x:c>
      <x:c r="J2" s="17" t="str">
        <x:v>RESOURCE_NOT_FOUND|INTERNAL_ERROR</x:v>
      </x:c>
      <x:c r="K2" s="17" t="str">
        <x:v>NONE</x:v>
      </x:c>
      <x:c r="L2" s="17" t="str">
        <x:v>NEVER_RETURN; DTO白名单；对象归属校验先于查询结果返回</x:v>
      </x:c>
      <x:c r="M2" s="17" t="str">
        <x:v>N/A</x:v>
      </x:c>
      <x:c r="N2" s="17" t="str">
        <x:v>P0-048</x:v>
      </x:c>
      <x:c r="O2" s="17" t="str">
        <x:v>GENERATED</x:v>
      </x:c>
      <x:c r="P2" s="17" t="str">
        <x:v>IMPLEMENTED</x:v>
      </x:c>
      <x:c r="Q2" s="17" t="str">
        <x:v>IMPLEMENTED</x:v>
      </x:c>
      <x:c r="R2" s="17" t="str">
        <x:v>M0-008-CONTRACT</x:v>
      </x:c>
      <x:c r="S2" s="17" t="str">
        <x:v>CODEX</x:v>
      </x:c>
      <x:c r="T2" s="17" t="str">
        <x:v>已由M0-008确定性生成；测试见tests/openapi/openapi-generation.test.mjs；成功响应为显式DTO白名单；异常由统一安全错误结构处理；无业务数据或供应价字段</x:v>
      </x:c>
    </x:row>
    <x:row r="3" ht="23" customHeight="1">
      <x:c r="A3" s="17" t="str">
        <x:v>API-002</x:v>
      </x:c>
      <x:c r="B3" s="17" t="str">
        <x:v>M0</x:v>
      </x:c>
      <x:c r="C3" s="17" t="str">
        <x:v>system</x:v>
      </x:c>
      <x:c r="D3" s="17" t="str">
        <x:v>GET</x:v>
      </x:c>
      <x:c r="E3" s="17" t="str">
        <x:v>/health/ready</x:v>
      </x:c>
      <x:c r="F3" s="17" t="str">
        <x:v>INTERNAL</x:v>
      </x:c>
      <x:c r="G3" s="17" t="str">
        <x:v>None</x:v>
      </x:c>
      <x:c r="H3" s="17" t="str">
        <x:v>HealthReadinessDto</x:v>
      </x:c>
      <x:c r="I3" s="17" t="str">
        <x:v>ApiErrorResponseDto:{statusCode,code,message,requestId,path,timestamp}</x:v>
      </x:c>
      <x:c r="J3" s="17" t="str">
        <x:v>SERVICE_UNAVAILABLE|INTERNAL_ERROR</x:v>
      </x:c>
      <x:c r="K3" s="17" t="str">
        <x:v>NONE</x:v>
      </x:c>
      <x:c r="L3" s="17" t="str">
        <x:v>NEVER_RETURN; DTO白名单；对象归属校验先于查询结果返回</x:v>
      </x:c>
      <x:c r="M3" s="17" t="str">
        <x:v>N/A</x:v>
      </x:c>
      <x:c r="N3" s="17" t="str">
        <x:v>P0-048</x:v>
      </x:c>
      <x:c r="O3" s="17" t="str">
        <x:v>GENERATED</x:v>
      </x:c>
      <x:c r="P3" s="17" t="str">
        <x:v>IMPLEMENTED</x:v>
      </x:c>
      <x:c r="Q3" s="17" t="str">
        <x:v>IMPLEMENTED</x:v>
      </x:c>
      <x:c r="R3" s="17" t="str">
        <x:v>M0-008-CONTRACT</x:v>
      </x:c>
      <x:c r="S3" s="17" t="str">
        <x:v>CODEX</x:v>
      </x:c>
      <x:c r="T3" s="17" t="str">
        <x:v>已由M0-008确定性生成；测试见tests/openapi/openapi-generation.test.mjs；503保留HealthReadinessDto以表达基础依赖状态；其他异常使用统一安全错误结构；不暴露连接信息或供应价字段</x:v>
      </x:c>
    </x:row>
    <x:row r="4" ht="23" customHeight="1">
      <x:c r="A4" s="17" t="str">
        <x:v>API-003</x:v>
      </x:c>
      <x:c r="B4" s="17" t="str">
        <x:v>M1</x:v>
      </x:c>
      <x:c r="C4" s="17" t="str">
        <x:v>company-auth</x:v>
      </x:c>
      <x:c r="D4" s="17" t="str">
        <x:v>POST</x:v>
      </x:c>
      <x:c r="E4" s="17" t="str">
        <x:v>/v1/company-auth/login</x:v>
      </x:c>
      <x:c r="F4" s="17" t="str">
        <x:v>COMPANY_USER</x:v>
      </x:c>
      <x:c r="G4" s="17" t="str">
        <x:v>CompanyLoginRequestDto</x:v>
      </x:c>
      <x:c r="H4" s="17" t="str">
        <x:v>WorkspaceChoiceResponseDto</x:v>
      </x:c>
      <x:c r="I4" s="17" t="str">
        <x:v>{success,data,error:{code,message,details?},requestId}</x:v>
      </x:c>
      <x:c r="J4" s="17" t="str">
        <x:v>AUTH_INVALID|ACCOUNT_SUSPENDED|RATE_LIMITED</x:v>
      </x:c>
      <x:c r="K4" s="17" t="str">
        <x:v>requestId</x:v>
      </x:c>
      <x:c r="L4" s="17" t="str">
        <x:v>NEVER_RETURN; DTO白名单；对象归属校验先于查询结果返回</x:v>
      </x:c>
      <x:c r="M4" s="17" t="str">
        <x:v>N/A</x:v>
      </x:c>
      <x:c r="N4" s="17" t="str">
        <x:v>P0-066</x:v>
      </x:c>
      <x:c r="O4" s="17" t="str">
        <x:v>GENERATED</x:v>
      </x:c>
      <x:c r="P4" s="17" t="str">
        <x:v>IMPLEMENTED</x:v>
      </x:c>
      <x:c r="Q4" s="17" t="str">
        <x:v>IMPLEMENTED</x:v>
      </x:c>
      <x:c r="R4" s="17" t="str">
        <x:v>tests/openapi/m1-p066-company-auth-contract.test.mjs;apps/api/test/supertest/company-auth-api.test.mjs</x:v>
      </x:c>
      <x:c r="S4" s="17" t="str">
        <x:v>CODEX</x:v>
      </x:c>
      <x:c r="T4" s="17" t="str">
        <x:v>独立公司登录；未知账号与错误凭证统一错误；5次失败后限流；单一有效账号直签Cookie，多账号返回服务端列表；生产凭证校验器未接入时失败关闭</x:v>
      </x:c>
    </x:row>
    <x:row r="5" ht="23" customHeight="1">
      <x:c r="A5" s="17" t="str">
        <x:v>API-004</x:v>
      </x:c>
      <x:c r="B5" s="17" t="str">
        <x:v>M1</x:v>
      </x:c>
      <x:c r="C5" s="17" t="str">
        <x:v>company-auth</x:v>
      </x:c>
      <x:c r="D5" s="17" t="str">
        <x:v>POST</x:v>
      </x:c>
      <x:c r="E5" s="17" t="str">
        <x:v>/v1/company-auth/workspaces/{accountId}/select</x:v>
      </x:c>
      <x:c r="F5" s="17" t="str">
        <x:v>COMPANY_USER</x:v>
      </x:c>
      <x:c r="G5" s="17" t="str">
        <x:v>SelectWorkspaceRequestDto</x:v>
      </x:c>
      <x:c r="H5" s="17" t="str">
        <x:v>SessionResponseDto</x:v>
      </x:c>
      <x:c r="I5" s="17" t="str">
        <x:v>{success,data,error:{code,message,details?},requestId}</x:v>
      </x:c>
      <x:c r="J5" s="17" t="str">
        <x:v>WORKSPACE_FORBIDDEN|SECOND_VERIFICATION_REQUIRED|WORKSPACE_SESSION_CONFLICT</x:v>
      </x:c>
      <x:c r="K5" s="17" t="str">
        <x:v>selectionNonce</x:v>
      </x:c>
      <x:c r="L5" s="17" t="str">
        <x:v>NEVER_RETURN; DTO白名单；对象归属校验先于查询结果返回</x:v>
      </x:c>
      <x:c r="M5" s="17" t="str">
        <x:v>N/A</x:v>
      </x:c>
      <x:c r="N5" s="17" t="str">
        <x:v>P0-066,P0-067</x:v>
      </x:c>
      <x:c r="O5" s="17" t="str">
        <x:v>GENERATED</x:v>
      </x:c>
      <x:c r="P5" s="17" t="str">
        <x:v>IMPLEMENTED</x:v>
      </x:c>
      <x:c r="Q5" s="17" t="str">
        <x:v>IMPLEMENTED</x:v>
      </x:c>
      <x:c r="R5" s="17" t="str">
        <x:v>tests/openapi/m1-p066-company-auth-contract.test.mjs;apps/api/test/supertest/company-auth-api.test.mjs</x:v>
      </x:c>
      <x:c r="S5" s="17" t="str">
        <x:v>CODEX</x:v>
      </x:c>
      <x:c r="T5" s="17" t="str">
        <x:v>选择nonce只存哈希且同requestId返回同值；客户端owner字段先拒绝；停用/过期账号不可选；同nonce改选其他账号冲突；原始会话令牌仅写Secure HttpOnly Cookie</x:v>
      </x:c>
    </x:row>
    <x:row r="6" ht="23" customHeight="1">
      <x:c r="A6" s="17" t="str">
        <x:v>API-005</x:v>
      </x:c>
      <x:c r="B6" s="17" t="str">
        <x:v>M1</x:v>
      </x:c>
      <x:c r="C6" s="17" t="str">
        <x:v>supplier-auth</x:v>
      </x:c>
      <x:c r="D6" s="17" t="str">
        <x:v>POST</x:v>
      </x:c>
      <x:c r="E6" s="17" t="str">
        <x:v>/v1/suppliers/registrations</x:v>
      </x:c>
      <x:c r="F6" s="17" t="str">
        <x:v>PUBLIC</x:v>
      </x:c>
      <x:c r="G6" s="17" t="str">
        <x:v>SupplierRegistrationRequestDto</x:v>
      </x:c>
      <x:c r="H6" s="17" t="str">
        <x:v>SupplierRegistrationResponseDto</x:v>
      </x:c>
      <x:c r="I6" s="17" t="str">
        <x:v>SupplierRegistrationResponseDto；错误={statusCode|code|message|details?|requestId}</x:v>
      </x:c>
      <x:c r="J6" s="17" t="str">
        <x:v>SUPPLIER_DUPLICATE|VALIDATION_FAILED|FIELD_FORBIDDEN|SINGLE_MERCHANT_VIOLATION|IDEMPOTENCY_CONFLICT|SERVICE_UNAVAILABLE</x:v>
      </x:c>
      <x:c r="K6" s="17" t="str">
        <x:v>Idempotency-Key</x:v>
      </x:c>
      <x:c r="L6" s="17" t="str">
        <x:v>NEVER_RETURN；DTO白名单；verificationCode仅写；响应不返回联系方式/完整资质/companyId/supplierId/供应价</x:v>
      </x:c>
      <x:c r="M6" s="17" t="str">
        <x:v>N/A</x:v>
      </x:c>
      <x:c r="N6" s="17" t="str">
        <x:v>P0-003,P0-069</x:v>
      </x:c>
      <x:c r="O6" s="17" t="str">
        <x:v>GENERATED</x:v>
      </x:c>
      <x:c r="P6" s="17" t="str">
        <x:v>IMPLEMENTED</x:v>
      </x:c>
      <x:c r="Q6" s="17" t="str">
        <x:v>IMPLEMENTED</x:v>
      </x:c>
      <x:c r="R6" s="17" t="str">
        <x:v>apps/api/test/supertest/supplier-onboarding-api.test.mjs；tests/contracts/m1-p003-supplier-onboarding.contract.test.mjs</x:v>
      </x:c>
      <x:c r="S6" s="17" t="str">
        <x:v>CODEX</x:v>
      </x:c>
      <x:c r="T6" s="17" t="str">
        <x:v>M1-P003任务内契约细化；公开注册只创建可编辑草稿；真实短信核验未接入时生产默认503；不授予供应商业务会话</x:v>
      </x:c>
    </x:row>
    <x:row r="7" ht="23" customHeight="1">
      <x:c r="A7" s="17" t="str">
        <x:v>API-006</x:v>
      </x:c>
      <x:c r="B7" s="17" t="str">
        <x:v>M1</x:v>
      </x:c>
      <x:c r="C7" s="17" t="str">
        <x:v>supplier-auth</x:v>
      </x:c>
      <x:c r="D7" s="17" t="str">
        <x:v>POST</x:v>
      </x:c>
      <x:c r="E7" s="17" t="str">
        <x:v>/v1/supplier-auth/login</x:v>
      </x:c>
      <x:c r="F7" s="17" t="str">
        <x:v>SUPPLIER_USER</x:v>
      </x:c>
      <x:c r="G7" s="17" t="str">
        <x:v>SupplierLoginRequestDto</x:v>
      </x:c>
      <x:c r="H7" s="17" t="str">
        <x:v>SupplierWorkspaceChoiceResponseDto</x:v>
      </x:c>
      <x:c r="I7" s="17" t="str">
        <x:v>{success,data,error:{code,message,details?},requestId}</x:v>
      </x:c>
      <x:c r="J7" s="17" t="str">
        <x:v>AUTH_INVALID|SUPPLIER_NOT_ACTIVE|ACCOUNT_SUSPENDED|RATE_LIMITED|VALIDATION_FAILED|DATA_SCOPE_FORBIDDEN</x:v>
      </x:c>
      <x:c r="K7" s="17" t="str">
        <x:v>requestId</x:v>
      </x:c>
      <x:c r="L7" s="17" t="str">
        <x:v>NEVER_RETURN; DTO白名单；对象归属校验先于查询结果返回</x:v>
      </x:c>
      <x:c r="M7" s="17" t="str">
        <x:v>N/A</x:v>
      </x:c>
      <x:c r="N7" s="17" t="str">
        <x:v>P0-069</x:v>
      </x:c>
      <x:c r="O7" s="17" t="str">
        <x:v>GENERATED</x:v>
      </x:c>
      <x:c r="P7" s="17" t="str">
        <x:v>IMPLEMENTED</x:v>
      </x:c>
      <x:c r="Q7" s="17" t="str">
        <x:v>IMPLEMENTED</x:v>
      </x:c>
      <x:c r="R7" s="17" t="str">
        <x:v>apps/api/test/supertest/supplier-auth-api.test.mjs;tests/openapi/m1-p069-supplier-auth-contract.test.mjs</x:v>
      </x:c>
      <x:c r="S7" s="17" t="str">
        <x:v>CODEX</x:v>
      </x:c>
      <x:c r="T7" s="17" t="str">
        <x:v>独立供应商登录；未知账号与错误凭证统一错误；主体与用户必须ACTIVE；选择nonce由服务端密钥及独立域HMAC派生；单账号直达以同requestId的隐藏不可变选择授权复用同一有效Cookie；verificationCode仅允许最多16字符字符串且非法值在Adapter前422；多账号返回服务端列表；生产凭证校验器未接入时失败关闭</x:v>
      </x:c>
    </x:row>
    <x:row r="8" ht="23" customHeight="1">
      <x:c r="A8" s="17" t="str">
        <x:v>API-007</x:v>
      </x:c>
      <x:c r="B8" s="17" t="str">
        <x:v>M1</x:v>
      </x:c>
      <x:c r="C8" s="17" t="str">
        <x:v>supplier-auth</x:v>
      </x:c>
      <x:c r="D8" s="17" t="str">
        <x:v>POST</x:v>
      </x:c>
      <x:c r="E8" s="17" t="str">
        <x:v>/v1/supplier-auth/workspaces/{accountId}/select</x:v>
      </x:c>
      <x:c r="F8" s="17" t="str">
        <x:v>SUPPLIER_USER</x:v>
      </x:c>
      <x:c r="G8" s="17" t="str">
        <x:v>SupplierSelectWorkspaceRequestDto</x:v>
      </x:c>
      <x:c r="H8" s="17" t="str">
        <x:v>SupplierSessionResponseDto</x:v>
      </x:c>
      <x:c r="I8" s="17" t="str">
        <x:v>{success,data,error:{code,message,details?},requestId}</x:v>
      </x:c>
      <x:c r="J8" s="17" t="str">
        <x:v>WORKSPACE_FORBIDDEN|SECOND_VERIFICATION_REQUIRED|WORKSPACE_SESSION_CONFLICT|VALIDATION_FAILED|DATA_SCOPE_FORBIDDEN</x:v>
      </x:c>
      <x:c r="K8" s="17" t="str">
        <x:v>selectionNonce</x:v>
      </x:c>
      <x:c r="L8" s="17" t="str">
        <x:v>NEVER_RETURN; DTO白名单；对象归属校验先于查询结果返回</x:v>
      </x:c>
      <x:c r="M8" s="17" t="str">
        <x:v>N/A</x:v>
      </x:c>
      <x:c r="N8" s="17" t="str">
        <x:v>P0-069,P0-070</x:v>
      </x:c>
      <x:c r="O8" s="17" t="str">
        <x:v>GENERATED</x:v>
      </x:c>
      <x:c r="P8" s="17" t="str">
        <x:v>IMPLEMENTED</x:v>
      </x:c>
      <x:c r="Q8" s="17" t="str">
        <x:v>IMPLEMENTED</x:v>
      </x:c>
      <x:c r="R8" s="17" t="str">
        <x:v>apps/api/test/supertest/supplier-auth-api.test.mjs;tests/openapi/m1-p069-supplier-auth-contract.test.mjs</x:v>
      </x:c>
      <x:c r="S8" s="17" t="str">
        <x:v>CODEX</x:v>
      </x:c>
      <x:c r="T8" s="17" t="str">
        <x:v>选择nonce由服务端密钥独立域HMAC派生、只存哈希且同requestId不可覆盖；客户端归属字段先拒绝；停用过期账号不可选；secondVerificationCode仅允许最多16字符字符串且非法值不调用Adapter或消耗授权；首次二次验证成功后同nonce同账号完成态重放不再次消费一次性验证码并返回同一HMAC派生Cookie；无效/过期选择、不可用账号和同nonce改选冲突追加脱敏LoginAudit且不保存原始nonce；会话响应不返回supplierId；P070页面完整性仍未执行</x:v>
      </x:c>
    </x:row>
    <x:row r="9" ht="23" customHeight="1">
      <x:c r="A9" s="17" t="str">
        <x:v>API-008</x:v>
      </x:c>
      <x:c r="B9" s="17" t="str">
        <x:v>M1</x:v>
      </x:c>
      <x:c r="C9" s="17" t="str">
        <x:v>supplier</x:v>
      </x:c>
      <x:c r="D9" s="17" t="str">
        <x:v>GET</x:v>
      </x:c>
      <x:c r="E9" s="17" t="str">
        <x:v>/v1/supplier/me</x:v>
      </x:c>
      <x:c r="F9" s="17" t="str">
        <x:v>SUPPLIER_ACCOUNT_ADMIN</x:v>
      </x:c>
      <x:c r="G9" s="17" t="str">
        <x:v>None</x:v>
      </x:c>
      <x:c r="H9" s="17" t="str">
        <x:v>SupplierProfileResponseDto</x:v>
      </x:c>
      <x:c r="I9" s="17" t="str">
        <x:v>ApiErrorResponseDto</x:v>
      </x:c>
      <x:c r="J9" s="17" t="str">
        <x:v>SUPPLIER_SCOPE_FORBIDDEN|AUTHENTICATION_REQUIRED</x:v>
      </x:c>
      <x:c r="K9" s="17" t="str">
        <x:v>NONE</x:v>
      </x:c>
      <x:c r="L9" s="17" t="str">
        <x:v>NEVER_RETURN；DTO白名单；无supplierId查询参数；对象归属校验先于响应</x:v>
      </x:c>
      <x:c r="M9" s="17" t="str">
        <x:v>N/A</x:v>
      </x:c>
      <x:c r="N9" s="17" t="str">
        <x:v>P0-004,P0-005</x:v>
      </x:c>
      <x:c r="O9" s="17" t="str">
        <x:v>GENERATED</x:v>
      </x:c>
      <x:c r="P9" s="17" t="str">
        <x:v>IMPLEMENTED</x:v>
      </x:c>
      <x:c r="Q9" s="17" t="str">
        <x:v>IMPLEMENTED</x:v>
      </x:c>
      <x:c r="R9" s="17" t="str">
        <x:v>apps/api/test/supertest/supplier-onboarding-api.test.mjs；tests/contracts/m1-p004-supplier-isolation.contract.test.mjs</x:v>
      </x:c>
      <x:c r="S9" s="17" t="str">
        <x:v>CODEX</x:v>
      </x:c>
      <x:c r="T9" s="17" t="str">
        <x:v>M1-P004实现服务端会话绑定的本人资料读取；生产职能会话解析器仍默认401；账号业务仍归M1-P005/P069/P070</x:v>
      </x:c>
    </x:row>
    <x:row r="10" ht="23" customHeight="1">
      <x:c r="A10" s="17" t="str">
        <x:v>API-009</x:v>
      </x:c>
      <x:c r="B10" s="17" t="str">
        <x:v>M1</x:v>
      </x:c>
      <x:c r="C10" s="17" t="str">
        <x:v>supplier</x:v>
      </x:c>
      <x:c r="D10" s="17" t="str">
        <x:v>PATCH</x:v>
      </x:c>
      <x:c r="E10" s="17" t="str">
        <x:v>/v1/supplier/me</x:v>
      </x:c>
      <x:c r="F10" s="17" t="str">
        <x:v>SUPPLIER_ACCOUNT_ADMIN</x:v>
      </x:c>
      <x:c r="G10" s="17" t="str">
        <x:v>SupplierProfilePatchRequestDto</x:v>
      </x:c>
      <x:c r="H10" s="17" t="str">
        <x:v>SupplierProfileResponseDto</x:v>
      </x:c>
      <x:c r="I10" s="17" t="str">
        <x:v>SupplierProfileResponseDto；错误={statusCode|code|message|details?|requestId}</x:v>
      </x:c>
      <x:c r="J10" s="17" t="str">
        <x:v>AUTHENTICATION_REQUIRED|ACCESS_DENIED|SUPPLIER_SCOPE_FORBIDDEN|FIELD_FORBIDDEN|STATE_TRANSITION_INVALID|VERSION_CONFLICT|RESOURCE_NOT_FOUND|VALIDATION_FAILED|IDEMPOTENCY_CONFLICT|SECOND_VERIFICATION_REQUIRED</x:v>
      </x:c>
      <x:c r="K10" s="17" t="str">
        <x:v>Idempotency-Key</x:v>
      </x:c>
      <x:c r="L10" s="17" t="str">
        <x:v>NEVER_RETURN；supplierId仅取服务端会话；DTO白名单；不返回供应价或完整内部资质</x:v>
      </x:c>
      <x:c r="M10" s="17" t="str">
        <x:v>N/A</x:v>
      </x:c>
      <x:c r="N10" s="17" t="str">
        <x:v>P0-003,P0-005</x:v>
      </x:c>
      <x:c r="O10" s="17" t="str">
        <x:v>GENERATED</x:v>
      </x:c>
      <x:c r="P10" s="17" t="str">
        <x:v>IMPLEMENTED</x:v>
      </x:c>
      <x:c r="Q10" s="17" t="str">
        <x:v>IMPLEMENTED</x:v>
      </x:c>
      <x:c r="R10" s="17" t="str">
        <x:v>apps/api/test/supertest/supplier-onboarding-api.test.mjs；tests/contracts/m1-p003-supplier-onboarding.contract.test.mjs；tests/contracts/m1-p004-supplier-isolation.contract.test.mjs</x:v>
      </x:c>
      <x:c r="S10" s="17" t="str">
        <x:v>CODEX</x:v>
      </x:c>
      <x:c r="T10" s="17" t="str">
        <x:v>M1-P047将运行时结算账户变更的428二次验证要求补入确定性OpenAPI；仅DRAFT或CORRECTION_REQUIRED可按乐观版本补正；生产会话解析器默认拒绝</x:v>
      </x:c>
    </x:row>
    <x:row r="11" ht="23" customHeight="1">
      <x:c r="A11" s="17" t="str">
        <x:v>API-010</x:v>
      </x:c>
      <x:c r="B11" s="17" t="str">
        <x:v>M1</x:v>
      </x:c>
      <x:c r="C11" s="17" t="str">
        <x:v>supplier</x:v>
      </x:c>
      <x:c r="D11" s="17" t="str">
        <x:v>POST</x:v>
      </x:c>
      <x:c r="E11" s="17" t="str">
        <x:v>/v1/supplier/me/submit-review</x:v>
      </x:c>
      <x:c r="F11" s="17" t="str">
        <x:v>SUPPLIER_ACCOUNT_ADMIN</x:v>
      </x:c>
      <x:c r="G11" s="17" t="str">
        <x:v>SubmitReviewRequestDto</x:v>
      </x:c>
      <x:c r="H11" s="17" t="str">
        <x:v>ApprovalTaskResponseDto</x:v>
      </x:c>
      <x:c r="I11" s="17" t="str">
        <x:v>ApprovalTaskResponseDto；错误={statusCode|code|message|details?|requestId}</x:v>
      </x:c>
      <x:c r="J11" s="17" t="str">
        <x:v>AUTHENTICATION_REQUIRED|ACCESS_DENIED|SUPPLIER_SCOPE_FORBIDDEN|VALIDATION_FAILED|STATE_TRANSITION_INVALID|VERSION_CONFLICT|IDEMPOTENCY_CONFLICT</x:v>
      </x:c>
      <x:c r="K11" s="17" t="str">
        <x:v>Idempotency-Key</x:v>
      </x:c>
      <x:c r="L11" s="17" t="str">
        <x:v>NEVER_RETURN；supplierId与申请自然人仅取服务端会话；不返回供应价或结算资料</x:v>
      </x:c>
      <x:c r="M11" s="17" t="str">
        <x:v>N/A</x:v>
      </x:c>
      <x:c r="N11" s="17" t="str">
        <x:v>P0-003</x:v>
      </x:c>
      <x:c r="O11" s="17" t="str">
        <x:v>GENERATED</x:v>
      </x:c>
      <x:c r="P11" s="17" t="str">
        <x:v>IMPLEMENTED</x:v>
      </x:c>
      <x:c r="Q11" s="17" t="str">
        <x:v>IMPLEMENTED</x:v>
      </x:c>
      <x:c r="R11" s="17" t="str">
        <x:v>apps/api/test/supertest/supplier-onboarding-api.test.mjs；tests/contracts/m1-p003-supplier-onboarding.contract.test.mjs；tests/contracts/m1-p004-supplier-isolation.contract.test.mjs</x:v>
      </x:c>
      <x:c r="S11" s="17" t="str">
        <x:v>CODEX</x:v>
      </x:c>
      <x:c r="T11" s="17" t="str">
        <x:v>M1-P003实现提交审核；M1-P004补齐客户端归属字段篡改403契约；资料完整才创建追加式审核任务并进入PENDING_REVIEW；EXT-006正式资质规则未提供</x:v>
      </x:c>
    </x:row>
    <x:row r="12" ht="23" customHeight="1">
      <x:c r="A12" s="17" t="str">
        <x:v>API-011</x:v>
      </x:c>
      <x:c r="B12" s="17" t="str">
        <x:v>M1</x:v>
      </x:c>
      <x:c r="C12" s="17" t="str">
        <x:v>company-supplier</x:v>
      </x:c>
      <x:c r="D12" s="17" t="str">
        <x:v>GET</x:v>
      </x:c>
      <x:c r="E12" s="17" t="str">
        <x:v>/v1/company/suppliers</x:v>
      </x:c>
      <x:c r="F12" s="17" t="str">
        <x:v>COMPANY_SUPPLIER_OPS</x:v>
      </x:c>
      <x:c r="G12" s="17" t="str">
        <x:v>SupplierQueryDto</x:v>
      </x:c>
      <x:c r="H12" s="17" t="str">
        <x:v>SupplierPageResponseDto</x:v>
      </x:c>
      <x:c r="I12" s="17" t="str">
        <x:v>SupplierPageResponseDto；错误={statusCode|code|message|details?|requestId}</x:v>
      </x:c>
      <x:c r="J12" s="17" t="str">
        <x:v>AUTHENTICATION_REQUIRED|ACCESS_DENIED|VALIDATION_FAILED</x:v>
      </x:c>
      <x:c r="K12" s="17" t="str">
        <x:v>NONE</x:v>
      </x:c>
      <x:c r="L12" s="17" t="str">
        <x:v>NEVER_RETURN；仅公司供应商运营固定职能；信用代码脱敏；不返回联系方式/完整资质/供应价</x:v>
      </x:c>
      <x:c r="M12" s="17" t="str">
        <x:v>N/A</x:v>
      </x:c>
      <x:c r="N12" s="17" t="str">
        <x:v>P0-003,P0-004</x:v>
      </x:c>
      <x:c r="O12" s="17" t="str">
        <x:v>GENERATED</x:v>
      </x:c>
      <x:c r="P12" s="17" t="str">
        <x:v>IMPLEMENTED</x:v>
      </x:c>
      <x:c r="Q12" s="17" t="str">
        <x:v>IMPLEMENTED</x:v>
      </x:c>
      <x:c r="R12" s="17" t="str">
        <x:v>apps/api/test/supertest/supplier-onboarding-api.test.mjs；tests/contracts/m1-p003-supplier-onboarding.contract.test.mjs</x:v>
      </x:c>
      <x:c r="S12" s="17" t="str">
        <x:v>CODEX</x:v>
      </x:c>
      <x:c r="T12" s="17" t="str">
        <x:v>M1-P003任务内契约细化；仅提供入驻状态筛选和资质摘要；生产会话解析器默认拒绝；P0-004跨供应商业务隔离未执行</x:v>
      </x:c>
    </x:row>
    <x:row r="13" ht="23" customHeight="1">
      <x:c r="A13" s="17" t="str">
        <x:v>API-012</x:v>
      </x:c>
      <x:c r="B13" s="17" t="str">
        <x:v>M1</x:v>
      </x:c>
      <x:c r="C13" s="17" t="str">
        <x:v>company-supplier</x:v>
      </x:c>
      <x:c r="D13" s="17" t="str">
        <x:v>POST</x:v>
      </x:c>
      <x:c r="E13" s="17" t="str">
        <x:v>/v1/company/suppliers/{supplierId}/review</x:v>
      </x:c>
      <x:c r="F13" s="17" t="str">
        <x:v>COMPANY_SUPPLIER_OPS</x:v>
      </x:c>
      <x:c r="G13" s="17" t="str">
        <x:v>SupplierReviewRequestDto</x:v>
      </x:c>
      <x:c r="H13" s="17" t="str">
        <x:v>SupplierResponseDto</x:v>
      </x:c>
      <x:c r="I13" s="17" t="str">
        <x:v>SupplierResponseDto；错误={statusCode|code|message|details?|requestId}</x:v>
      </x:c>
      <x:c r="J13" s="17" t="str">
        <x:v>AUTHENTICATION_REQUIRED|ACCESS_DENIED|VALIDATION_FAILED|STATE_TRANSITION_INVALID|APPROVAL_VERSION_CONFLICT|SECOND_VERIFICATION_REQUIRED|IDEMPOTENCY_CONFLICT</x:v>
      </x:c>
      <x:c r="K13" s="17" t="str">
        <x:v>Idempotency-Key</x:v>
      </x:c>
      <x:c r="L13" s="17" t="str">
        <x:v>NEVER_RETURN；审核自然人仅取服务端会话；DTO白名单；不返回供应价/联系方式/完整资质</x:v>
      </x:c>
      <x:c r="M13" s="17" t="str">
        <x:v>N/A</x:v>
      </x:c>
      <x:c r="N13" s="17" t="str">
        <x:v>P0-003</x:v>
      </x:c>
      <x:c r="O13" s="17" t="str">
        <x:v>GENERATED</x:v>
      </x:c>
      <x:c r="P13" s="17" t="str">
        <x:v>IMPLEMENTED</x:v>
      </x:c>
      <x:c r="Q13" s="17" t="str">
        <x:v>IMPLEMENTED</x:v>
      </x:c>
      <x:c r="R13" s="17" t="str">
        <x:v>apps/api/test/supertest/supplier-onboarding-api.test.mjs；tests/contracts/m1-p003-supplier-onboarding.contract.test.mjs</x:v>
      </x:c>
      <x:c r="S13" s="17" t="str">
        <x:v>CODEX</x:v>
      </x:c>
      <x:c r="T13" s="17" t="str">
        <x:v>M1-P003任务内契约细化；只允许REQUEST_CORRECTION或APPROVE并按版本推进；历史状态和审核证据追加留痕</x:v>
      </x:c>
    </x:row>
    <x:row r="14" ht="23" customHeight="1">
      <x:c r="A14" s="17" t="str">
        <x:v>API-013</x:v>
      </x:c>
      <x:c r="B14" s="17" t="str">
        <x:v>M1</x:v>
      </x:c>
      <x:c r="C14" s="17" t="str">
        <x:v>functional-accounts</x:v>
      </x:c>
      <x:c r="D14" s="17" t="str">
        <x:v>GET</x:v>
      </x:c>
      <x:c r="E14" s="17" t="str">
        <x:v>/v1/{ownerType}/functional-accounts</x:v>
      </x:c>
      <x:c r="F14" s="17" t="str">
        <x:v>OWNER_ACCOUNT_ADMIN</x:v>
      </x:c>
      <x:c r="G14" s="17" t="str">
        <x:v>FunctionalAccountQueryDto</x:v>
      </x:c>
      <x:c r="H14" s="17" t="str">
        <x:v>FunctionalAccountPageResponseDto</x:v>
      </x:c>
      <x:c r="I14" s="17" t="str">
        <x:v>{success,data,error:{code,message,details?},requestId}</x:v>
      </x:c>
      <x:c r="J14" s="17" t="str">
        <x:v>DATA_SCOPE_FORBIDDEN|WORKSPACE_FORBIDDEN</x:v>
      </x:c>
      <x:c r="K14" s="17" t="str">
        <x:v>NONE</x:v>
      </x:c>
      <x:c r="L14" s="17" t="str">
        <x:v>NEVER_RETURN; DTO白名单；对象归属校验先于查询结果返回</x:v>
      </x:c>
      <x:c r="M14" s="17" t="str">
        <x:v>N/A</x:v>
      </x:c>
      <x:c r="N14" s="17" t="str">
        <x:v>P0-005,P0-067,P0-070</x:v>
      </x:c>
      <x:c r="O14" s="17" t="str">
        <x:v>GENERATED</x:v>
      </x:c>
      <x:c r="P14" s="17" t="str">
        <x:v>IMPLEMENTED</x:v>
      </x:c>
      <x:c r="Q14" s="17" t="str">
        <x:v>IMPLEMENTED</x:v>
      </x:c>
      <x:c r="R14" s="17" t="str">
        <x:v>FREEZE:tests/contracts/m1-contract-freeze.contract.test.mjs;RUNTIME:apps/api/test/supertest/supplier-functional-accounts-api.test.mjs;apps/api/test/supertest/company-workspace-api.test.mjs</x:v>
      </x:c>
      <x:c r="S14" s="17" t="str">
        <x:v>CODEX</x:v>
      </x:c>
      <x:c r="T14" s="17" t="str">
        <x:v>M1-P067任务内完成company归属分支；仅COMPANY_SUPER_ADMIN固定会话可列出唯一公司职能账号；供应商分支保持原合同</x:v>
      </x:c>
    </x:row>
    <x:row r="15" ht="23" customHeight="1">
      <x:c r="A15" s="17" t="str">
        <x:v>API-014</x:v>
      </x:c>
      <x:c r="B15" s="17" t="str">
        <x:v>M1</x:v>
      </x:c>
      <x:c r="C15" s="17" t="str">
        <x:v>functional-accounts</x:v>
      </x:c>
      <x:c r="D15" s="17" t="str">
        <x:v>POST</x:v>
      </x:c>
      <x:c r="E15" s="17" t="str">
        <x:v>/v1/{ownerType}/functional-accounts</x:v>
      </x:c>
      <x:c r="F15" s="17" t="str">
        <x:v>OWNER_ACCOUNT_ADMIN</x:v>
      </x:c>
      <x:c r="G15" s="17" t="str">
        <x:v>CreateFunctionalAccountRequestDto</x:v>
      </x:c>
      <x:c r="H15" s="17" t="str">
        <x:v>FunctionalAccountResponseDto</x:v>
      </x:c>
      <x:c r="I15" s="17" t="str">
        <x:v>{success,data,error:{code,message,details?},requestId}</x:v>
      </x:c>
      <x:c r="J15" s="17" t="str">
        <x:v>ACCOUNT_TYPE_INVALID|SECOND_VERIFICATION_REQUIRED|DATA_SCOPE_FORBIDDEN|WORKSPACE_FORBIDDEN|STATE_TRANSITION_INVALID|IDEMPOTENCY_CONFLICT|VALIDATION_FAILED</x:v>
      </x:c>
      <x:c r="K15" s="17" t="str">
        <x:v>Idempotency-Key</x:v>
      </x:c>
      <x:c r="L15" s="17" t="str">
        <x:v>NEVER_RETURN; DTO白名单；对象归属校验先于查询结果返回</x:v>
      </x:c>
      <x:c r="M15" s="17" t="str">
        <x:v>N/A</x:v>
      </x:c>
      <x:c r="N15" s="17" t="str">
        <x:v>P0-005,P0-067,P0-070</x:v>
      </x:c>
      <x:c r="O15" s="17" t="str">
        <x:v>GENERATED</x:v>
      </x:c>
      <x:c r="P15" s="17" t="str">
        <x:v>IMPLEMENTED</x:v>
      </x:c>
      <x:c r="Q15" s="17" t="str">
        <x:v>IMPLEMENTED</x:v>
      </x:c>
      <x:c r="R15" s="17" t="str">
        <x:v>FREEZE:tests/contracts/m1-contract-freeze.contract.test.mjs;RUNTIME:apps/api/test/supertest/supplier-functional-accounts-api.test.mjs;apps/api/test/supertest/company-workspace-api.test.mjs</x:v>
      </x:c>
      <x:c r="S15" s="17" t="str">
        <x:v>CODEX</x:v>
      </x:c>
      <x:c r="T15" s="17" t="str">
        <x:v>M1-P067任务内完成company归属分支；公司邀请需二次验证、幂等、追加状态历史和审计；所有权字段禁止；供应商激活/登录仍归M1-P069</x:v>
      </x:c>
    </x:row>
    <x:row r="16" ht="23" customHeight="1">
      <x:c r="A16" s="17" t="str">
        <x:v>API-015</x:v>
      </x:c>
      <x:c r="B16" s="17" t="str">
        <x:v>M1</x:v>
      </x:c>
      <x:c r="C16" s="17" t="str">
        <x:v>audit</x:v>
      </x:c>
      <x:c r="D16" s="17" t="str">
        <x:v>GET</x:v>
      </x:c>
      <x:c r="E16" s="17" t="str">
        <x:v>/v1/audit/events</x:v>
      </x:c>
      <x:c r="F16" s="17" t="str">
        <x:v>AUTHORIZED_AUDITOR</x:v>
      </x:c>
      <x:c r="G16" s="17" t="str">
        <x:v>AuditQueryDto</x:v>
      </x:c>
      <x:c r="H16" s="17" t="str">
        <x:v>AuditEventPageResponseDto</x:v>
      </x:c>
      <x:c r="I16" s="17" t="str">
        <x:v>{success,data,error:{code,message,details?},requestId}</x:v>
      </x:c>
      <x:c r="J16" s="17" t="str">
        <x:v>FIELD_FORBIDDEN|WORKSPACE_FORBIDDEN</x:v>
      </x:c>
      <x:c r="K16" s="17" t="str">
        <x:v>NONE</x:v>
      </x:c>
      <x:c r="L16" s="17" t="str">
        <x:v>NEVER_RETURN; DTO白名单；供应商查询在数据库前加入会话supplierId；公司审计全局只读</x:v>
      </x:c>
      <x:c r="M16" s="17" t="str">
        <x:v>N/A</x:v>
      </x:c>
      <x:c r="N16" s="17" t="str">
        <x:v>P0-045,P0-072</x:v>
      </x:c>
      <x:c r="O16" s="17" t="str">
        <x:v>GENERATED</x:v>
      </x:c>
      <x:c r="P16" s="17" t="str">
        <x:v>IMPLEMENTED</x:v>
      </x:c>
      <x:c r="Q16" s="17" t="str">
        <x:v>IMPLEMENTED</x:v>
      </x:c>
      <x:c r="R16" s="17" t="str">
        <x:v>tests/contracts/m1-p045-sensitive-audit.contract.test.mjs;apps/api/test/supertest/audit-log-api.test.mjs;tests/e2e/p0/p0-072-sensitive-operations-audit.spec.ts</x:v>
      </x:c>
      <x:c r="S16" s="17" t="str">
        <x:v>CODEX</x:v>
      </x:c>
      <x:c r="T16" s="17" t="str">
        <x:v>M1-P072扩展为公司审计全局脱敏只读与供应商审计本方只读；响应不返回supplierId/functionalAccountId/IP/敏感原文</x:v>
      </x:c>
    </x:row>
    <x:row r="17" ht="23" customHeight="1">
      <x:c r="A17" s="17" t="str">
        <x:v>API-016</x:v>
      </x:c>
      <x:c r="B17" s="17" t="str">
        <x:v>M2</x:v>
      </x:c>
      <x:c r="C17" s="17" t="str">
        <x:v>categories</x:v>
      </x:c>
      <x:c r="D17" s="17" t="str">
        <x:v>GET</x:v>
      </x:c>
      <x:c r="E17" s="17" t="str">
        <x:v>/v1/company/categories</x:v>
      </x:c>
      <x:c r="F17" s="17" t="str">
        <x:v>COMPANY_PRODUCT_OPS</x:v>
      </x:c>
      <x:c r="G17" s="17" t="str">
        <x:v>CategoryQuery(status?)</x:v>
      </x:c>
      <x:c r="H17" s="17" t="str">
        <x:v>CategoryTreeResponseDto</x:v>
      </x:c>
      <x:c r="I17" s="17" t="str">
        <x:v>{success,data,error:{code,message,details?},requestId}</x:v>
      </x:c>
      <x:c r="J17" s="17" t="str">
        <x:v>COMMON_AUTH_VALIDATION_ERRORS</x:v>
      </x:c>
      <x:c r="K17" s="17" t="str">
        <x:v>NONE</x:v>
      </x:c>
      <x:c r="L17" s="17" t="str">
        <x:v>NEVER_RETURN; DTO白名单；companyId和职能均从会话派生；不返回供应价</x:v>
      </x:c>
      <x:c r="M17" s="17" t="str">
        <x:v>不适用金额；禁止客户端提交companyId/functionalAccountId</x:v>
      </x:c>
      <x:c r="N17" s="17" t="str">
        <x:v>P0-011</x:v>
      </x:c>
      <x:c r="O17" s="17" t="str">
        <x:v>GENERATED</x:v>
      </x:c>
      <x:c r="P17" s="17" t="str">
        <x:v>IMPLEMENTED</x:v>
      </x:c>
      <x:c r="Q17" s="17" t="str">
        <x:v>IMPLEMENTED</x:v>
      </x:c>
      <x:c r="R17" s="17" t="str">
        <x:v>FREEZE:tests/contracts/m2-contract-freeze.contract.test.mjs;RUNTIME:apps/api/test/supertest/categories-api.test.mjs|tests/contracts/m2-p011-category-tree.contract.test.mjs</x:v>
      </x:c>
      <x:c r="S17" s="17" t="str">
        <x:v>CODEX</x:v>
      </x:c>
      <x:c r="T17" s="17" t="str">
        <x:v>递归树按sortWeight/name/id确定性排序；仅COMPANY_PRODUCT_OPS固定职能可访问；OpenAPI与生成类型已更新。</x:v>
      </x:c>
    </x:row>
    <x:row r="18" ht="23" customHeight="1">
      <x:c r="A18" s="17" t="str">
        <x:v>API-017</x:v>
      </x:c>
      <x:c r="B18" s="17" t="str">
        <x:v>M2</x:v>
      </x:c>
      <x:c r="C18" s="17" t="str">
        <x:v>categories</x:v>
      </x:c>
      <x:c r="D18" s="17" t="str">
        <x:v>POST</x:v>
      </x:c>
      <x:c r="E18" s="17" t="str">
        <x:v>/v1/company/categories</x:v>
      </x:c>
      <x:c r="F18" s="17" t="str">
        <x:v>COMPANY_PRODUCT_OPS</x:v>
      </x:c>
      <x:c r="G18" s="17" t="str">
        <x:v>CategoryCreateRequestDto</x:v>
      </x:c>
      <x:c r="H18" s="17" t="str">
        <x:v>CategoryResponseDto</x:v>
      </x:c>
      <x:c r="I18" s="17" t="str">
        <x:v>{success,data,error:{code,message,details?},requestId}</x:v>
      </x:c>
      <x:c r="J18" s="17" t="str">
        <x:v>CATEGORY_PARENT_INVALID|CATEGORY_LEVEL_INVALID|CATEGORY_DUPLICATE|IDEMPOTENCY_CONFLICT</x:v>
      </x:c>
      <x:c r="K18" s="17" t="str">
        <x:v>Idempotency-Key</x:v>
      </x:c>
      <x:c r="L18" s="17" t="str">
        <x:v>NEVER_RETURN; DTO白名单；companyId和操作者均从会话派生；不返回供应价</x:v>
      </x:c>
      <x:c r="M18" s="17" t="str">
        <x:v>不适用金额；禁止客户端提交companyId/functionalAccountId</x:v>
      </x:c>
      <x:c r="N18" s="17" t="str">
        <x:v>P0-011</x:v>
      </x:c>
      <x:c r="O18" s="17" t="str">
        <x:v>GENERATED</x:v>
      </x:c>
      <x:c r="P18" s="17" t="str">
        <x:v>IMPLEMENTED</x:v>
      </x:c>
      <x:c r="Q18" s="17" t="str">
        <x:v>IMPLEMENTED</x:v>
      </x:c>
      <x:c r="R18" s="17" t="str">
        <x:v>FREEZE:tests/contracts/m2-contract-freeze.contract.test.mjs;RUNTIME:apps/api/test/supertest/categories-api.test.mjs|tests/contracts/m2-p011-category-tree.contract.test.mjs</x:v>
      </x:c>
      <x:c r="S18" s="17" t="str">
        <x:v>CODEX</x:v>
      </x:c>
      <x:c r="T18" s="17" t="str">
        <x:v>PATCH/DELETE同路径categoryId补充管理操作已实现；版本冲突、幂等重放/冲突、引用删除保护和追加审计均有运行证据。</x:v>
      </x:c>
    </x:row>
    <x:row r="19" ht="23" customHeight="1">
      <x:c r="A19" s="17" t="str">
        <x:v>API-018</x:v>
      </x:c>
      <x:c r="B19" s="17" t="str">
        <x:v>M2</x:v>
      </x:c>
      <x:c r="C19" s="17" t="str">
        <x:v>category-templates+regulated-category-controls</x:v>
      </x:c>
      <x:c r="D19" s="17" t="str">
        <x:v>GET|POST|PATCH|POST|GET|POST|POST</x:v>
      </x:c>
      <x:c r="E19" s="17" t="str">
        <x:v>/v1/company/categories/{categoryId}/template-versions|/v1/company/category-template-versions/{templateId}|/v1/company/category-template-versions/{templateId}/publish|/v1/company/regulated-category-controls|/v1/company/regulated-category-controls/{categoryId}/enable|/v1/company/regulated-category-controls/{categoryId}/disable</x:v>
      </x:c>
      <x:c r="F19" s="17" t="str">
        <x:v>COMPANY_PRODUCT_OPS</x:v>
      </x:c>
      <x:c r="G19" s="17" t="str">
        <x:v>CategoryTemplateCreateRequestDto|CategoryTemplatePatchRequestDto|CategoryTemplatePublishRequestDto|RegulatedCategoryEnableRequestDto|RegulatedCategoryDisableRequestDto</x:v>
      </x:c>
      <x:c r="H19" s="17" t="str">
        <x:v>CategoryTemplateListResponseDto|CategoryTemplateResponseDto|RegulatedCategoryControlListResponseDto|RegulatedCategoryControlResponseDto</x:v>
      </x:c>
      <x:c r="I19" s="17" t="str">
        <x:v>{success,data,error:{code,message,details?},requestId}</x:v>
      </x:c>
      <x:c r="J19" s="17" t="str">
        <x:v>TEMPLATE_SCHEMA_INVALID|TEMPLATE_NOT_FOUND|TEMPLATE_DRAFT_EXISTS|TEMPLATE_IMMUTABLE|TEMPLATE_VERSION_INACTIVE|REGULATED_CATEGORY_DISABLED|QUALIFICATION_REQUIRED|CATEGORY_TEMPLATE_INVALID|SECOND_VERIFICATION_REQUIRED|VERSION_CONFLICT|IDEMPOTENCY_CONFLICT|AUDIT_REQUIRED</x:v>
      </x:c>
      <x:c r="K19" s="17" t="str">
        <x:v>Idempotency-Key</x:v>
      </x:c>
      <x:c r="L19" s="17" t="str">
        <x:v>NEVER_RETURN；companyId/identityId/functionalAccountId由会话派生；响应只返回资质引用数和有效期；不返回供应价或资质对象引用</x:v>
      </x:c>
      <x:c r="M19" s="17" t="str">
        <x:v>N/A；本切片无金额字段</x:v>
      </x:c>
      <x:c r="N19" s="17" t="str">
        <x:v>P0-012,P0-018</x:v>
      </x:c>
      <x:c r="O19" s="17" t="str">
        <x:v>GENERATED</x:v>
      </x:c>
      <x:c r="P19" s="17" t="str">
        <x:v>IMPLEMENTED</x:v>
      </x:c>
      <x:c r="Q19" s="17" t="str">
        <x:v>IMPLEMENTED</x:v>
      </x:c>
      <x:c r="R19" s="17" t="str">
        <x:v>apps/api/test/supertest/category-templates-api.test.mjs|apps/api/test/supertest/regulated-category-controls-api.test.mjs|tests/contracts/m2-p012-category-template.contract.test.mjs|tests/contracts/m2-p018-regulated-category.contract.test.mjs|tests/e2e/p0/p0-018-regulated-category.spec.ts|packages/contracts/openapi.json</x:v>
      </x:c>
      <x:c r="S19" s="17" t="str">
        <x:v>CODEX</x:v>
      </x:c>
      <x:c r="T19" s="17" t="str">
        <x:v>模板四操作与强监管列表/启用/停用已实现；HIGH_RISK默认关闭；启停二次验证、幂等、版本冲突和审计失败显式处理；当前LOCAL_PASS</x:v>
      </x:c>
    </x:row>
    <x:row r="20" ht="23" customHeight="1">
      <x:c r="A20" s="17" t="str">
        <x:v>API-019</x:v>
      </x:c>
      <x:c r="B20" s="17" t="str">
        <x:v>M2</x:v>
      </x:c>
      <x:c r="C20" s="17" t="str">
        <x:v>supplier-products</x:v>
      </x:c>
      <x:c r="D20" s="17" t="str">
        <x:v>POST</x:v>
      </x:c>
      <x:c r="E20" s="17" t="str">
        <x:v>/v1/supplier/products</x:v>
      </x:c>
      <x:c r="F20" s="17" t="str">
        <x:v>SUPPLIER_PRODUCT</x:v>
      </x:c>
      <x:c r="G20" s="17" t="str">
        <x:v>SupplierProductDraftRequestDto</x:v>
      </x:c>
      <x:c r="H20" s="17" t="str">
        <x:v>SupplierProductResponseDto</x:v>
      </x:c>
      <x:c r="I20" s="17" t="str">
        <x:v>{success,data,error:{code,message,details?},requestId}</x:v>
      </x:c>
      <x:c r="J20" s="17" t="str">
        <x:v>CATEGORY_TEMPLATE_INVALID|PRICE_FIELD_FORBIDDEN|SUPPLIER_SCOPE_FORBIDDEN|IDEMPOTENCY_CONFLICT</x:v>
      </x:c>
      <x:c r="K20" s="17" t="str">
        <x:v>Idempotency-Key</x:v>
      </x:c>
      <x:c r="L20" s="17" t="str">
        <x:v>NEVER_RETURN; DTO白名单；对象归属校验先于查询结果返回</x:v>
      </x:c>
      <x:c r="M20" s="17" t="str">
        <x:v>本商品资料接口禁止任何价格字段；归属由固定会话派生</x:v>
      </x:c>
      <x:c r="N20" s="17" t="str">
        <x:v>P0-006,P0-008,P0-061</x:v>
      </x:c>
      <x:c r="O20" s="17" t="str">
        <x:v>GENERATED</x:v>
      </x:c>
      <x:c r="P20" s="17" t="str">
        <x:v>IMPLEMENTED</x:v>
      </x:c>
      <x:c r="Q20" s="17" t="str">
        <x:v>IMPLEMENTED</x:v>
      </x:c>
      <x:c r="R20" s="17" t="str">
        <x:v>apps/api/test/supertest/supplier-products-api.test.mjs|packages/contracts/openapi.json</x:v>
      </x:c>
      <x:c r="S20" s="17" t="str">
        <x:v>CODEX</x:v>
      </x:c>
      <x:c r="T20" s="17" t="str">
        <x:v>确定性OpenAPI已生成；固定供应商商品职能会话、幂等和DTO白名单本地通过；CI待执行。</x:v>
      </x:c>
    </x:row>
    <x:row r="21" ht="23" customHeight="1">
      <x:c r="A21" s="17" t="str">
        <x:v>API-020</x:v>
      </x:c>
      <x:c r="B21" s="17" t="str">
        <x:v>M2</x:v>
      </x:c>
      <x:c r="C21" s="17" t="str">
        <x:v>supplier-products</x:v>
      </x:c>
      <x:c r="D21" s="17" t="str">
        <x:v>PATCH</x:v>
      </x:c>
      <x:c r="E21" s="17" t="str">
        <x:v>/v1/supplier/products/{supplierProductId}</x:v>
      </x:c>
      <x:c r="F21" s="17" t="str">
        <x:v>SUPPLIER_PRODUCT</x:v>
      </x:c>
      <x:c r="G21" s="17" t="str">
        <x:v>SupplierProductPatchRequestDto</x:v>
      </x:c>
      <x:c r="H21" s="17" t="str">
        <x:v>SupplierProductResponseDto</x:v>
      </x:c>
      <x:c r="I21" s="17" t="str">
        <x:v>{success,data,error:{code,message,details?},requestId}</x:v>
      </x:c>
      <x:c r="J21" s="17" t="str">
        <x:v>SUPPLIER_PRODUCT_NOT_FOUND|VERSION_CONFLICT|PRICE_FIELD_FORBIDDEN|IDEMPOTENCY_CONFLICT</x:v>
      </x:c>
      <x:c r="K21" s="17" t="str">
        <x:v>Idempotency-Key</x:v>
      </x:c>
      <x:c r="L21" s="17" t="str">
        <x:v>NEVER_RETURN; DTO白名单；对象归属校验先于查询结果返回</x:v>
      </x:c>
      <x:c r="M21" s="17" t="str">
        <x:v>本商品资料接口禁止任何价格字段；归属由固定会话派生</x:v>
      </x:c>
      <x:c r="N21" s="17" t="str">
        <x:v>P0-006,P0-008</x:v>
      </x:c>
      <x:c r="O21" s="17" t="str">
        <x:v>GENERATED</x:v>
      </x:c>
      <x:c r="P21" s="17" t="str">
        <x:v>IMPLEMENTED</x:v>
      </x:c>
      <x:c r="Q21" s="17" t="str">
        <x:v>IMPLEMENTED</x:v>
      </x:c>
      <x:c r="R21" s="17" t="str">
        <x:v>apps/api/test/supertest/supplier-products-api.test.mjs|packages/contracts/openapi.json</x:v>
      </x:c>
      <x:c r="S21" s="17" t="str">
        <x:v>CODEX</x:v>
      </x:c>
      <x:c r="T21" s="17" t="str">
        <x:v>跨供应商访问统一404且原草稿不变；确定性OpenAPI已生成；CI待执行。</x:v>
      </x:c>
    </x:row>
    <x:row r="22" ht="23" customHeight="1">
      <x:c r="A22" s="17" t="str">
        <x:v>API-021</x:v>
      </x:c>
      <x:c r="B22" s="17" t="str">
        <x:v>M2</x:v>
      </x:c>
      <x:c r="C22" s="17" t="str">
        <x:v>supplier-products</x:v>
      </x:c>
      <x:c r="D22" s="17" t="str">
        <x:v>POST</x:v>
      </x:c>
      <x:c r="E22" s="17" t="str">
        <x:v>/v1/supplier/products/{supplierProductId}/submit-material</x:v>
      </x:c>
      <x:c r="F22" s="17" t="str">
        <x:v>SUPPLIER_PRODUCT</x:v>
      </x:c>
      <x:c r="G22" s="17" t="str">
        <x:v>SubmitProductMaterialRequestDto</x:v>
      </x:c>
      <x:c r="H22" s="17" t="str">
        <x:v>ProductMaterialApprovalResponseDto</x:v>
      </x:c>
      <x:c r="I22" s="17" t="str">
        <x:v>{success,data,error:{code,message,details?},requestId}</x:v>
      </x:c>
      <x:c r="J22" s="17" t="str">
        <x:v>SUPPLIER_PRODUCT_NOT_FOUND|STATE_TRANSITION_INVALID|VERSION_CONFLICT|IDEMPOTENCY_CONFLICT</x:v>
      </x:c>
      <x:c r="K22" s="17" t="str">
        <x:v>Idempotency-Key</x:v>
      </x:c>
      <x:c r="L22" s="17" t="str">
        <x:v>NEVER_RETURN; DTO白名单；对象归属校验先于查询结果返回</x:v>
      </x:c>
      <x:c r="M22" s="17" t="str">
        <x:v>不接收价格；只创建资料审核任务，不创建可售Product/Sku</x:v>
      </x:c>
      <x:c r="N22" s="17" t="str">
        <x:v>P0-006,P0-007</x:v>
      </x:c>
      <x:c r="O22" s="17" t="str">
        <x:v>GENERATED</x:v>
      </x:c>
      <x:c r="P22" s="17" t="str">
        <x:v>IMPLEMENTED</x:v>
      </x:c>
      <x:c r="Q22" s="17" t="str">
        <x:v>IMPLEMENTED</x:v>
      </x:c>
      <x:c r="R22" s="17" t="str">
        <x:v>apps/api/test/supertest/supplier-products-api.test.mjs|packages/contracts/openapi.json</x:v>
      </x:c>
      <x:c r="S22" s="17" t="str">
        <x:v>CODEX</x:v>
      </x:c>
      <x:c r="T22" s="17" t="str">
        <x:v>双审前Product/Sku计数保持0；运行时与OpenAPI本地通过；CI待执行。</x:v>
      </x:c>
    </x:row>
    <x:row r="23" ht="23" customHeight="1">
      <x:c r="A23" s="17" t="str">
        <x:v>API-022</x:v>
      </x:c>
      <x:c r="B23" s="17" t="str">
        <x:v>M2</x:v>
      </x:c>
      <x:c r="C23" s="17" t="str">
        <x:v>supplier-pricing</x:v>
      </x:c>
      <x:c r="D23" s="17" t="str">
        <x:v>PUT</x:v>
      </x:c>
      <x:c r="E23" s="17" t="str">
        <x:v>/v1/supplier/pricing/products/{supplierProductId}/initial-prices</x:v>
      </x:c>
      <x:c r="F23" s="17" t="str">
        <x:v>SUPPLIER_PRICING</x:v>
      </x:c>
      <x:c r="G23" s="17" t="str">
        <x:v>InitialPricesRequestDto</x:v>
      </x:c>
      <x:c r="H23" s="17" t="str">
        <x:v>InitialPricesResponseDto</x:v>
      </x:c>
      <x:c r="I23" s="17" t="str">
        <x:v>{success,data,error:{code,message,details?},requestId}</x:v>
      </x:c>
      <x:c r="J23" s="17" t="str">
        <x:v>PRICE_INVALID|SUPPLIER_SCOPE_FORBIDDEN|WORKSPACE_FORBIDDEN|INITIAL_PRICE_STATE_INVALID|INITIAL_PRICE_REVIEW_PENDING|IDEMPOTENCY_CONFLICT|AUDIT_REQUIRED</x:v>
      </x:c>
      <x:c r="K23" s="17" t="str">
        <x:v>Idempotency-Key</x:v>
      </x:c>
      <x:c r="L23" s="17" t="str">
        <x:v>ROLE_AND_SUPPLIER_SCOPE_WHITELIST; DTO白名单；对象归属校验先于查询结果返回</x:v>
      </x:c>
      <x:c r="M23" s="17" t="str">
        <x:v>三类申请价格均为非负安全整数分；禁止客户端提交归属、有效价格版本或结算快照</x:v>
      </x:c>
      <x:c r="N23" s="17" t="str">
        <x:v>P0-008</x:v>
      </x:c>
      <x:c r="O23" s="17" t="str">
        <x:v>GENERATED</x:v>
      </x:c>
      <x:c r="P23" s="17" t="str">
        <x:v>IMPLEMENTED</x:v>
      </x:c>
      <x:c r="Q23" s="17" t="str">
        <x:v>IMPLEMENTED</x:v>
      </x:c>
      <x:c r="R23" s="17" t="str">
        <x:v>apps/api/test/supertest/supplier-pricing-api.test.mjs|tests/openapi/openapi-generation.test.mjs|packages/contracts/openapi.json</x:v>
      </x:c>
      <x:c r="S23" s="17" t="str">
        <x:v>CODEX</x:v>
      </x:c>
      <x:c r="T23" s="17" t="str">
        <x:v>固定SUPPLIER_PRICING会话、完整SKU集合、并发幂等、审计回滚、历史快照和公司侧禁止改价测试通过；pnpm verify 17/17 LOCAL_PASS，CI待执行。</x:v>
      </x:c>
    </x:row>
    <x:row r="24" ht="23" customHeight="1">
      <x:c r="A24" s="17" t="str">
        <x:v>API-023</x:v>
      </x:c>
      <x:c r="B24" s="17" t="str">
        <x:v>M2</x:v>
      </x:c>
      <x:c r="C24" s="17" t="str">
        <x:v>supplier-pricing</x:v>
      </x:c>
      <x:c r="D24" s="17" t="str">
        <x:v>POST</x:v>
      </x:c>
      <x:c r="E24" s="17" t="str">
        <x:v>/v1/supplier/pricing/skus/{skuId}/supply-price-change</x:v>
      </x:c>
      <x:c r="F24" s="17" t="str">
        <x:v>SUPPLIER_PRICING</x:v>
      </x:c>
      <x:c r="G24" s="17" t="str">
        <x:v>SupplyPriceChangeRequestDto</x:v>
      </x:c>
      <x:c r="H24" s="17" t="str">
        <x:v>SupplyPriceChangeDto</x:v>
      </x:c>
      <x:c r="I24" s="17" t="str">
        <x:v>{success,data,error:{code,message,details?},requestId}</x:v>
      </x:c>
      <x:c r="J24" s="17" t="str">
        <x:v>PRICE_CHANGE_PENDING|PRICE_INVALID|VERSION_CONFLICT|SECOND_VERIFICATION_REQUIRED|IDEMPOTENCY_CONFLICT|AUDIT_REQUIRED|PRICE_EFFECT_SCHEDULE_FAILED</x:v>
      </x:c>
      <x:c r="K24" s="17" t="str">
        <x:v>Idempotency-Key</x:v>
      </x:c>
      <x:c r="L24" s="17" t="str">
        <x:v>ROLE_AND_SUPPLIER_SCOPE_WHITELIST; DTO白名单；对象归属校验先于查询结果返回</x:v>
      </x:c>
      <x:c r="M24" s="17" t="str">
        <x:v>整数分；旧供应价在异人审核及约定时间前有效；客户端归属字段拒绝</x:v>
      </x:c>
      <x:c r="N24" s="17" t="str">
        <x:v>P0-019,P0-071</x:v>
      </x:c>
      <x:c r="O24" s="17" t="str">
        <x:v>GENERATED</x:v>
      </x:c>
      <x:c r="P24" s="17" t="str">
        <x:v>IMPLEMENTED</x:v>
      </x:c>
      <x:c r="Q24" s="17" t="str">
        <x:v>IMPLEMENTED</x:v>
      </x:c>
      <x:c r="R24" s="17" t="str">
        <x:v>apps/api/test/supertest/tiered-price-change-api.test.mjs|tests/contracts/m2-p019-tiered-price-change.contract.test.mjs|packages/contracts/openapi.json</x:v>
      </x:c>
      <x:c r="S24" s="17" t="str">
        <x:v>CODEX</x:v>
      </x:c>
      <x:c r="T24" s="17" t="str">
        <x:v>固定SUPPLIER_PRICING会话；同SKU最多一个待审；供应价响应仅授权职能可见且不返回归属/自然人键；GET /v1/supplier/pricing/skus为页面配套白名单。</x:v>
      </x:c>
    </x:row>
    <x:row r="25" ht="23" customHeight="1">
      <x:c r="A25" s="17" t="str">
        <x:v>API-024</x:v>
      </x:c>
      <x:c r="B25" s="17" t="str">
        <x:v>M2</x:v>
      </x:c>
      <x:c r="C25" s="17" t="str">
        <x:v>supplier-pricing</x:v>
      </x:c>
      <x:c r="D25" s="17" t="str">
        <x:v>PATCH</x:v>
      </x:c>
      <x:c r="E25" s="17" t="str">
        <x:v>/v1/supplier/pricing/skus/{skuId}/sale-prices</x:v>
      </x:c>
      <x:c r="F25" s="17" t="str">
        <x:v>SUPPLIER_PRICING</x:v>
      </x:c>
      <x:c r="G25" s="17" t="str">
        <x:v>SalePriceChangeRequestDto</x:v>
      </x:c>
      <x:c r="H25" s="17" t="str">
        <x:v>SalePriceChangeResponseDto</x:v>
      </x:c>
      <x:c r="I25" s="17" t="str">
        <x:v>{success,data,error:{code,message,details?},requestId}</x:v>
      </x:c>
      <x:c r="J25" s="17" t="str">
        <x:v>PRICE_INVALID|VERSION_CONFLICT|SECOND_VERIFICATION_REQUIRED|IDEMPOTENCY_CONFLICT|AUDIT_REQUIRED|PRICE_EFFECT_SCHEDULE_FAILED</x:v>
      </x:c>
      <x:c r="K25" s="17" t="str">
        <x:v>Idempotency-Key</x:v>
      </x:c>
      <x:c r="L25" s="17" t="str">
        <x:v>ROLE_AND_SUPPLIER_SCOPE_WHITELIST; DTO白名单；对象归属校验先于查询结果返回</x:v>
      </x:c>
      <x:c r="M25" s="17" t="str">
        <x:v>整数分；零售/集采价不创建审批；立即或outbox预约生效并追加版本历史</x:v>
      </x:c>
      <x:c r="N25" s="17" t="str">
        <x:v>P0-019,P0-071</x:v>
      </x:c>
      <x:c r="O25" s="17" t="str">
        <x:v>GENERATED</x:v>
      </x:c>
      <x:c r="P25" s="17" t="str">
        <x:v>IMPLEMENTED</x:v>
      </x:c>
      <x:c r="Q25" s="17" t="str">
        <x:v>IMPLEMENTED</x:v>
      </x:c>
      <x:c r="R25" s="17" t="str">
        <x:v>apps/api/test/supertest/tiered-price-change-api.test.mjs|tests/contracts/m2-p019-tiered-price-change.contract.test.mjs|packages/contracts/openapi.json</x:v>
      </x:c>
      <x:c r="S25" s="17" t="str">
        <x:v>CODEX</x:v>
      </x:c>
      <x:c r="T25" s="17" t="str">
        <x:v>reviewCreated固定false；同幂等键重放、不同payload冲突；预约生效由持久化outbox和BullMQ恢复调度。</x:v>
      </x:c>
    </x:row>
    <x:row r="26" ht="23" customHeight="1">
      <x:c r="A26" s="17" t="str">
        <x:v>API-025</x:v>
      </x:c>
      <x:c r="B26" s="17" t="str">
        <x:v>M2</x:v>
      </x:c>
      <x:c r="C26" s="17" t="str">
        <x:v>company-product-review</x:v>
      </x:c>
      <x:c r="D26" s="17" t="str">
        <x:v>POST</x:v>
      </x:c>
      <x:c r="E26" s="17" t="str">
        <x:v>/v1/company/product-material-reviews/{taskId}/decision</x:v>
      </x:c>
      <x:c r="F26" s="17" t="str">
        <x:v>COMPANY_PRODUCT_OPS</x:v>
      </x:c>
      <x:c r="G26" s="17" t="str">
        <x:v>ProductApprovalDecisionRequestDto</x:v>
      </x:c>
      <x:c r="H26" s="17" t="str">
        <x:v>ProductApprovalDecisionResponseDto</x:v>
      </x:c>
      <x:c r="I26" s="17" t="str">
        <x:v>{success,data,error:{code,message,details?},requestId}</x:v>
      </x:c>
      <x:c r="J26" s="17" t="str">
        <x:v>APPROVAL_VERSION_CONFLICT</x:v>
      </x:c>
      <x:c r="K26" s="17" t="str">
        <x:v>Idempotency-Key</x:v>
      </x:c>
      <x:c r="L26" s="17" t="str">
        <x:v>NEVER_RETURN; DTO白名单；对象归属校验先于查询结果返回</x:v>
      </x:c>
      <x:c r="M26" s="17" t="str">
        <x:v>金额字段整数分；服务端重算；禁止客户端提交供应价或结算快照</x:v>
      </x:c>
      <x:c r="N26" s="17" t="str">
        <x:v>P0-007</x:v>
      </x:c>
      <x:c r="O26" s="17" t="str">
        <x:v>GENERATED</x:v>
      </x:c>
      <x:c r="P26" s="17" t="str">
        <x:v>IMPLEMENTED</x:v>
      </x:c>
      <x:c r="Q26" s="17" t="str">
        <x:v>IMPLEMENTED</x:v>
      </x:c>
      <x:c r="R26" s="17" t="str">
        <x:v>apps/api/test/supertest/company-product-approvals-api.test.mjs|packages/contracts/openapi.json</x:v>
      </x:c>
      <x:c r="S26" s="17" t="str">
        <x:v>CODEX</x:v>
      </x:c>
      <x:c r="T26" s="17" t="str">
        <x:v>资料审核队列/决定运行时和确定性OpenAPI已实现；响应白名单无三类价格；同人自审、幂等、并发和审计失败本地通过；CI待执行。</x:v>
      </x:c>
    </x:row>
    <x:row r="27" ht="23" customHeight="1">
      <x:c r="A27" s="17" t="str">
        <x:v>API-026</x:v>
      </x:c>
      <x:c r="B27" s="17" t="str">
        <x:v>M2</x:v>
      </x:c>
      <x:c r="C27" s="17" t="str">
        <x:v>company-price-review</x:v>
      </x:c>
      <x:c r="D27" s="17" t="str">
        <x:v>POST</x:v>
      </x:c>
      <x:c r="E27" s="17" t="str">
        <x:v>/v1/company/price-reviews/{taskId}/decision</x:v>
      </x:c>
      <x:c r="F27" s="17" t="str">
        <x:v>COMPANY_PRICE_REVIEW</x:v>
      </x:c>
      <x:c r="G27" s="17" t="str">
        <x:v>ProductApprovalDecisionRequestDto</x:v>
      </x:c>
      <x:c r="H27" s="17" t="str">
        <x:v>ProductApprovalDecisionResponseDto|SupplyPriceChangeDto</x:v>
      </x:c>
      <x:c r="I27" s="17" t="str">
        <x:v>{success,data,error:{code,message,details?},requestId}</x:v>
      </x:c>
      <x:c r="J27" s="17" t="str">
        <x:v>APPROVAL_VERSION_CONFLICT|SELF_APPROVAL_FORBIDDEN|SECOND_VERIFICATION_REQUIRED|APPROVAL_STATE_INVALID|IDEMPOTENCY_CONFLICT</x:v>
      </x:c>
      <x:c r="K27" s="17" t="str">
        <x:v>Idempotency-Key</x:v>
      </x:c>
      <x:c r="L27" s="17" t="str">
        <x:v>ROLE_AND_SUPPLIER_SCOPE_WHITELIST; DTO白名单；对象归属校验先于查询结果返回</x:v>
      </x:c>
      <x:c r="M27" s="17" t="str">
        <x:v>整数分；初始三价与上架后供应价使用同一固定审核入口；供应价申请人与审核人identityId必须不同</x:v>
      </x:c>
      <x:c r="N27" s="17" t="str">
        <x:v>P0-007,P0-019,P0-071</x:v>
      </x:c>
      <x:c r="O27" s="17" t="str">
        <x:v>GENERATED</x:v>
      </x:c>
      <x:c r="P27" s="17" t="str">
        <x:v>IMPLEMENTED</x:v>
      </x:c>
      <x:c r="Q27" s="17" t="str">
        <x:v>IMPLEMENTED</x:v>
      </x:c>
      <x:c r="R27" s="17" t="str">
        <x:v>apps/api/test/supertest/company-product-approvals-api.test.mjs|apps/api/test/supertest/tiered-price-change-api.test.mjs|tests/contracts/m2-p019-tiered-price-change.contract.test.mjs|packages/contracts/openapi.json</x:v>
      </x:c>
      <x:c r="S27" s="17" t="str">
        <x:v>CODEX</x:v>
      </x:c>
      <x:c r="T27" s="17" t="str">
        <x:v>初始三价与P019相关回归15/15通过；GET /v1/company/price-reviews/supply-price-changes为配套独立队列；CI待执行。</x:v>
      </x:c>
    </x:row>
    <x:row r="28" ht="23" customHeight="1">
      <x:c r="A28" s="17" t="str">
        <x:v>API-027</x:v>
      </x:c>
      <x:c r="B28" s="17" t="str">
        <x:v>M2</x:v>
      </x:c>
      <x:c r="C28" s="17" t="str">
        <x:v>inventory</x:v>
      </x:c>
      <x:c r="D28" s="17" t="str">
        <x:v>GET</x:v>
      </x:c>
      <x:c r="E28" s="17" t="str">
        <x:v>/v1/supplier/inventory</x:v>
      </x:c>
      <x:c r="F28" s="17" t="str">
        <x:v>SUPPLIER_INVENTORY</x:v>
      </x:c>
      <x:c r="G28" s="17" t="str">
        <x:v>InventoryQuery</x:v>
      </x:c>
      <x:c r="H28" s="17" t="str">
        <x:v>InventoryPageResponse</x:v>
      </x:c>
      <x:c r="I28" s="17" t="str">
        <x:v>{success,data,error:{code,message,details?},requestId}</x:v>
      </x:c>
      <x:c r="J28" s="17" t="str">
        <x:v>SUPPLIER_SCOPE_FORBIDDEN</x:v>
      </x:c>
      <x:c r="K28" s="17" t="str">
        <x:v>NONE</x:v>
      </x:c>
      <x:c r="L28" s="17" t="str">
        <x:v>NEVER_RETURN; DTO白名单；对象归属校验先于查询结果返回</x:v>
      </x:c>
      <x:c r="M28" s="17" t="str">
        <x:v>金额字段整数分；服务端重算；禁止客户端提交供应价或结算快照</x:v>
      </x:c>
      <x:c r="N28" s="17" t="str">
        <x:v>P0-023,P0-063</x:v>
      </x:c>
      <x:c r="O28" s="17" t="str">
        <x:v>PLANNED</x:v>
      </x:c>
      <x:c r="P28" s="17" t="str">
        <x:v>PLANNED</x:v>
      </x:c>
      <x:c r="Q28" s="17" t="str">
        <x:v>PLANNED</x:v>
      </x:c>
      <x:c r="R28" s="17" t="str">
        <x:v>FREEZE:tests/contracts/m2-contract-freeze.contract.test.mjs;RUNTIME:TO_BE_CREATED</x:v>
      </x:c>
      <x:c r="S28" s="17" t="str">
        <x:v>CODEX</x:v>
      </x:c>
      <x:c r="T28" s="17" t="str">
        <x:v>M2-000已冻结DTO、错误码、权限、幂等和敏感字段策略；OpenAPI及运行时实现仍为PLANNED/NOT_IMPLEMENTED</x:v>
      </x:c>
    </x:row>
    <x:row r="29" ht="23" customHeight="1">
      <x:c r="A29" s="17" t="str">
        <x:v>API-028</x:v>
      </x:c>
      <x:c r="B29" s="17" t="str">
        <x:v>M2</x:v>
      </x:c>
      <x:c r="C29" s="17" t="str">
        <x:v>inventory</x:v>
      </x:c>
      <x:c r="D29" s="17" t="str">
        <x:v>POST</x:v>
      </x:c>
      <x:c r="E29" s="17" t="str">
        <x:v>/v1/supplier/inventory/{skuId}/adjustments</x:v>
      </x:c>
      <x:c r="F29" s="17" t="str">
        <x:v>SUPPLIER_INVENTORY</x:v>
      </x:c>
      <x:c r="G29" s="17" t="str">
        <x:v>InventoryAdjustmentRequest</x:v>
      </x:c>
      <x:c r="H29" s="17" t="str">
        <x:v>InventoryBalanceResponse</x:v>
      </x:c>
      <x:c r="I29" s="17" t="str">
        <x:v>{success,data,error:{code,message,details?},requestId}</x:v>
      </x:c>
      <x:c r="J29" s="17" t="str">
        <x:v>INVENTORY_VERSION_CONFLICT|INVENTORY_NEGATIVE</x:v>
      </x:c>
      <x:c r="K29" s="17" t="str">
        <x:v>Idempotency-Key</x:v>
      </x:c>
      <x:c r="L29" s="17" t="str">
        <x:v>NEVER_RETURN; DTO白名单；对象归属校验先于查询结果返回</x:v>
      </x:c>
      <x:c r="M29" s="17" t="str">
        <x:v>金额字段整数分；服务端重算；禁止客户端提交供应价或结算快照</x:v>
      </x:c>
      <x:c r="N29" s="17" t="str">
        <x:v>P0-023,P0-063</x:v>
      </x:c>
      <x:c r="O29" s="17" t="str">
        <x:v>PLANNED</x:v>
      </x:c>
      <x:c r="P29" s="17" t="str">
        <x:v>PLANNED</x:v>
      </x:c>
      <x:c r="Q29" s="17" t="str">
        <x:v>PLANNED</x:v>
      </x:c>
      <x:c r="R29" s="17" t="str">
        <x:v>FREEZE:tests/contracts/m2-contract-freeze.contract.test.mjs;RUNTIME:TO_BE_CREATED</x:v>
      </x:c>
      <x:c r="S29" s="17" t="str">
        <x:v>CODEX</x:v>
      </x:c>
      <x:c r="T29" s="17" t="str">
        <x:v>M2-000已冻结DTO、错误码、权限、幂等和敏感字段策略；OpenAPI及运行时实现仍为PLANNED/NOT_IMPLEMENTED</x:v>
      </x:c>
    </x:row>
    <x:row r="30" ht="23" customHeight="1">
      <x:c r="A30" s="17" t="str">
        <x:v>API-029</x:v>
      </x:c>
      <x:c r="B30" s="17" t="str">
        <x:v>M3</x:v>
      </x:c>
      <x:c r="C30" s="17" t="str">
        <x:v>catalog</x:v>
      </x:c>
      <x:c r="D30" s="17" t="str">
        <x:v>GET</x:v>
      </x:c>
      <x:c r="E30" s="17" t="str">
        <x:v>/v1/catalog/products</x:v>
      </x:c>
      <x:c r="F30" s="17" t="str">
        <x:v>PUBLIC_OR_AUTHENTICATED</x:v>
      </x:c>
      <x:c r="G30" s="17" t="str">
        <x:v>CatalogQuery</x:v>
      </x:c>
      <x:c r="H30" s="17" t="str">
        <x:v>PublicProductPageResponse</x:v>
      </x:c>
      <x:c r="I30" s="17" t="str">
        <x:v>{success,data,error:{code,message,details?},requestId}</x:v>
      </x:c>
      <x:c r="J30" s="17" t="str">
        <x:v>REGION_UNAVAILABLE</x:v>
      </x:c>
      <x:c r="K30" s="17" t="str">
        <x:v>NONE</x:v>
      </x:c>
      <x:c r="L30" s="17" t="str">
        <x:v>NEVER_RETURN; DTO白名单；对象归属校验先于查询结果返回</x:v>
      </x:c>
      <x:c r="M30" s="17" t="str">
        <x:v>金额字段整数分；服务端重算；禁止客户端提交供应价或结算快照</x:v>
      </x:c>
      <x:c r="N30" s="17" t="str">
        <x:v>P0-020,P0-078,P0-087</x:v>
      </x:c>
      <x:c r="O30" s="17" t="str">
        <x:v>PLANNED</x:v>
      </x:c>
      <x:c r="P30" s="17" t="str">
        <x:v>PLANNED</x:v>
      </x:c>
      <x:c r="Q30" s="17" t="str">
        <x:v>PLANNED</x:v>
      </x:c>
      <x:c r="R30" s="17" t="str">
        <x:v>TO_BE_CREATED</x:v>
      </x:c>
      <x:c r="S30" s="17" t="str">
        <x:v>UNASSIGNED</x:v>
      </x:c>
      <x:c r="T30" s="17" t="str">
        <x:v>路径为执行初始契约；阶段M*-000冻结后方可编码</x:v>
      </x:c>
    </x:row>
    <x:row r="31" ht="23" customHeight="1">
      <x:c r="A31" s="17" t="str">
        <x:v>API-030</x:v>
      </x:c>
      <x:c r="B31" s="17" t="str">
        <x:v>M3</x:v>
      </x:c>
      <x:c r="C31" s="17" t="str">
        <x:v>catalog</x:v>
      </x:c>
      <x:c r="D31" s="17" t="str">
        <x:v>GET</x:v>
      </x:c>
      <x:c r="E31" s="17" t="str">
        <x:v>/v1/catalog/products/{productId}</x:v>
      </x:c>
      <x:c r="F31" s="17" t="str">
        <x:v>PUBLIC_OR_AUTHENTICATED</x:v>
      </x:c>
      <x:c r="G31" s="17" t="str">
        <x:v>ProductIdPath</x:v>
      </x:c>
      <x:c r="H31" s="17" t="str">
        <x:v>PublicFoodProductDetailResponseDto</x:v>
      </x:c>
      <x:c r="I31" s="17" t="str">
        <x:v>{success,data,error:{code,message,details?},requestId}</x:v>
      </x:c>
      <x:c r="J31" s="17" t="str">
        <x:v>INVALID_INPUT|PRODUCT_NOT_FOUND|PRODUCT_NOT_SALEABLE|TEMPLATE_SCHEMA_INVALID|TEMPLATE_DATA_INVALID|REGULATORY_WARNING_REQUIRED|FRESH_REQUIRED_FIELD_MISSING|FRESH_WEIGHT_RULE_INVALID|FRESH_HISTORY_REWRITE|APPAREL_REQUIRED_FIELD_MISSING|SKU_DIMENSION_DUPLICATE|APPAREL_HISTORY_REWRITE|DIGITAL_REQUIRED_FIELD_MISSING|DIGITAL_MODEL_DUPLICATE|DIGITAL_HISTORY_REWRITE|BUNDLE_SCHEMA_INVALID|SUPPLIER_SCOPE_FORBIDDEN|TEMPLATE_VERSION_IMMUTABLE</x:v>
      </x:c>
      <x:c r="K31" s="17" t="str">
        <x:v>NONE</x:v>
      </x:c>
      <x:c r="L31" s="17" t="str">
        <x:v>NEVER_RETURN; DTO白名单；对象归属校验先于查询结果返回；礼盒supplierProductId内部引用不返回</x:v>
      </x:c>
      <x:c r="M31" s="17" t="str">
        <x:v>金额字段整数分；服务端重算；禁止客户端提交供应价或结算快照</x:v>
      </x:c>
      <x:c r="N31" s="17" t="str">
        <x:v>P0-013,P0-014,P0-015,P0-016,P0-017,P0-021,P0-088</x:v>
      </x:c>
      <x:c r="O31" s="17" t="str">
        <x:v>GENERATED</x:v>
      </x:c>
      <x:c r="P31" s="17" t="str">
        <x:v>IMPLEMENTED</x:v>
      </x:c>
      <x:c r="Q31" s="17" t="str">
        <x:v>IMPLEMENTED</x:v>
      </x:c>
      <x:c r="R31" s="17" t="str">
        <x:v>apps/api/test/supertest/food-product-detail-api.test.mjs|apps/api/test/supertest/fresh-product-detail-api.test.mjs|apps/api/test/supertest/apparel-product-detail-api.test.mjs|apps/api/test/supertest/digital-product-detail-api.test.mjs|apps/api/test/supertest/gift-box-product-detail-api.test.mjs|tests/contracts/m2-p013-food-detail.contract.test.mjs|tests/contracts/m2-p014-fresh-detail.contract.test.mjs|tests/contracts/m2-p015-apparel-detail.contract.test.mjs|tests/contracts/m2-p016-digital-detail.contract.test.mjs|tests/contracts/m2-p017-gift-box-detail.contract.test.mjs|tests/openapi/openapi-generation.test.mjs|packages/contracts/openapi.json</x:v>
      </x:c>
      <x:c r="S31" s="17" t="str">
        <x:v>CODEX</x:v>
      </x:c>
      <x:c r="T31" s="17" t="str">
        <x:v>P013至P016已在main取得CI证据；P017礼盒详情以结构化公开DTO展示子项、数量、规格和有效期下限，内部supplierProductId、供应价和资质引用不返回，当前为LOCAL_PASS。P0-021/P0-088其他通用详情与完整交互仍为NOT_EXECUTED。</x:v>
      </x:c>
    </x:row>
    <x:row r="32" ht="23" customHeight="1">
      <x:c r="A32" s="17" t="str">
        <x:v>API-031</x:v>
      </x:c>
      <x:c r="B32" s="17" t="str">
        <x:v>M3</x:v>
      </x:c>
      <x:c r="C32" s="17" t="str">
        <x:v>catalog</x:v>
      </x:c>
      <x:c r="D32" s="17" t="str">
        <x:v>GET</x:v>
      </x:c>
      <x:c r="E32" s="17" t="str">
        <x:v>/v1/catalog/suppliers/{supplierId}/products</x:v>
      </x:c>
      <x:c r="F32" s="17" t="str">
        <x:v>PUBLIC_OR_AUTHENTICATED</x:v>
      </x:c>
      <x:c r="G32" s="17" t="str">
        <x:v>SupplierProductQuery</x:v>
      </x:c>
      <x:c r="H32" s="17" t="str">
        <x:v>PublicProductPageResponse</x:v>
      </x:c>
      <x:c r="I32" s="17" t="str">
        <x:v>{success,data,error:{code,message,details?},requestId}</x:v>
      </x:c>
      <x:c r="J32" s="17" t="str">
        <x:v>SUPPLIER_NOT_ACTIVE|SUPPLIER_SCOPE_FORBIDDEN|PRODUCT_NOT_SALEABLE|FORBIDDEN_CAPABILITY</x:v>
      </x:c>
      <x:c r="K32" s="17" t="str">
        <x:v>NONE</x:v>
      </x:c>
      <x:c r="L32" s="17" t="str">
        <x:v>NEVER_RETURN; DTO白名单；供应价、结算、供应商私有字段和店铺语义均不返回</x:v>
      </x:c>
      <x:c r="M32" s="17" t="str">
        <x:v>金额字段整数分；只返回当前零售销售价；禁止客户端提交供应价或结算快照</x:v>
      </x:c>
      <x:c r="N32" s="17" t="str">
        <x:v>P0-010,P0-089</x:v>
      </x:c>
      <x:c r="O32" s="17" t="str">
        <x:v>GENERATED</x:v>
      </x:c>
      <x:c r="P32" s="17" t="str">
        <x:v>IMPLEMENTED</x:v>
      </x:c>
      <x:c r="Q32" s="17" t="str">
        <x:v>IMPLEMENTED</x:v>
      </x:c>
      <x:c r="R32" s="17" t="str">
        <x:v>apps/api/test/supertest/public-catalog-api.test.mjs|apps/api/test/unit/public-catalog-prisma-repository.test.mjs|tests/contracts/m2-p010-public-catalog.contract.test.mjs|apps/user-miniapp/test/supplier-products-build.test.mjs</x:v>
      </x:c>
      <x:c r="S32" s="17" t="str">
        <x:v>CODEX</x:v>
      </x:c>
      <x:c r="T32" s="17" t="str">
        <x:v>M2-P010完成公开同源在售商品查询与响应白名单；保留M3归属，因为PAGE-054完整P0-089、真机与交易入口仍在M3执行。</x:v>
      </x:c>
    </x:row>
    <x:row r="33" ht="23" customHeight="1">
      <x:c r="A33" s="17" t="str">
        <x:v>API-032</x:v>
      </x:c>
      <x:c r="B33" s="17" t="str">
        <x:v>M3</x:v>
      </x:c>
      <x:c r="C33" s="17" t="str">
        <x:v>consumer-auth</x:v>
      </x:c>
      <x:c r="D33" s="17" t="str">
        <x:v>POST</x:v>
      </x:c>
      <x:c r="E33" s="17" t="str">
        <x:v>/v1/consumer-auth/wechat-login</x:v>
      </x:c>
      <x:c r="F33" s="17" t="str">
        <x:v>CONSUMER</x:v>
      </x:c>
      <x:c r="G33" s="17" t="str">
        <x:v>WechatLoginRequest</x:v>
      </x:c>
      <x:c r="H33" s="17" t="str">
        <x:v>ConsumerSessionResponse</x:v>
      </x:c>
      <x:c r="I33" s="17" t="str">
        <x:v>{success,data,error:{code,message,details?},requestId}</x:v>
      </x:c>
      <x:c r="J33" s="17" t="str">
        <x:v>WECHAT_CODE_INVALID|CONSENT_REQUIRED</x:v>
      </x:c>
      <x:c r="K33" s="17" t="str">
        <x:v>loginNonce</x:v>
      </x:c>
      <x:c r="L33" s="17" t="str">
        <x:v>NEVER_RETURN; DTO白名单；对象归属校验先于查询结果返回</x:v>
      </x:c>
      <x:c r="M33" s="17" t="str">
        <x:v>金额字段整数分；服务端重算；禁止客户端提交供应价或结算快照</x:v>
      </x:c>
      <x:c r="N33" s="17" t="str">
        <x:v>P0-085</x:v>
      </x:c>
      <x:c r="O33" s="17" t="str">
        <x:v>PLANNED</x:v>
      </x:c>
      <x:c r="P33" s="17" t="str">
        <x:v>PLANNED</x:v>
      </x:c>
      <x:c r="Q33" s="17" t="str">
        <x:v>PLANNED</x:v>
      </x:c>
      <x:c r="R33" s="17" t="str">
        <x:v>TO_BE_CREATED</x:v>
      </x:c>
      <x:c r="S33" s="17" t="str">
        <x:v>UNASSIGNED</x:v>
      </x:c>
      <x:c r="T33" s="17" t="str">
        <x:v>路径为执行初始契约；阶段M*-000冻结后方可编码</x:v>
      </x:c>
    </x:row>
    <x:row r="34" ht="23" customHeight="1">
      <x:c r="A34" s="17" t="str">
        <x:v>API-033</x:v>
      </x:c>
      <x:c r="B34" s="17" t="str">
        <x:v>M3</x:v>
      </x:c>
      <x:c r="C34" s="17" t="str">
        <x:v>cart</x:v>
      </x:c>
      <x:c r="D34" s="17" t="str">
        <x:v>GET</x:v>
      </x:c>
      <x:c r="E34" s="17" t="str">
        <x:v>/v1/consumer/cart</x:v>
      </x:c>
      <x:c r="F34" s="17" t="str">
        <x:v>CONSUMER</x:v>
      </x:c>
      <x:c r="G34" s="17" t="str">
        <x:v>None</x:v>
      </x:c>
      <x:c r="H34" s="17" t="str">
        <x:v>ShoppingCartResponse</x:v>
      </x:c>
      <x:c r="I34" s="17" t="str">
        <x:v>{success,data,error:{code,message,details?},requestId}</x:v>
      </x:c>
      <x:c r="J34" s="17" t="str">
        <x:v>COMMON_AUTH_VALIDATION_ERRORS</x:v>
      </x:c>
      <x:c r="K34" s="17" t="str">
        <x:v>NONE</x:v>
      </x:c>
      <x:c r="L34" s="17" t="str">
        <x:v>NEVER_RETURN; DTO白名单；对象归属校验先于查询结果返回</x:v>
      </x:c>
      <x:c r="M34" s="17" t="str">
        <x:v>金额字段整数分；服务端重算；禁止客户端提交供应价或结算快照</x:v>
      </x:c>
      <x:c r="N34" s="17" t="str">
        <x:v>P0-022,P0-090</x:v>
      </x:c>
      <x:c r="O34" s="17" t="str">
        <x:v>PLANNED</x:v>
      </x:c>
      <x:c r="P34" s="17" t="str">
        <x:v>PLANNED</x:v>
      </x:c>
      <x:c r="Q34" s="17" t="str">
        <x:v>PLANNED</x:v>
      </x:c>
      <x:c r="R34" s="17" t="str">
        <x:v>TO_BE_CREATED</x:v>
      </x:c>
      <x:c r="S34" s="17" t="str">
        <x:v>UNASSIGNED</x:v>
      </x:c>
      <x:c r="T34" s="17" t="str">
        <x:v>路径为执行初始契约；阶段M*-000冻结后方可编码</x:v>
      </x:c>
    </x:row>
    <x:row r="35" ht="23" customHeight="1">
      <x:c r="A35" s="17" t="str">
        <x:v>API-034</x:v>
      </x:c>
      <x:c r="B35" s="17" t="str">
        <x:v>M3</x:v>
      </x:c>
      <x:c r="C35" s="17" t="str">
        <x:v>cart</x:v>
      </x:c>
      <x:c r="D35" s="17" t="str">
        <x:v>PUT</x:v>
      </x:c>
      <x:c r="E35" s="17" t="str">
        <x:v>/v1/consumer/cart/items/{skuId}</x:v>
      </x:c>
      <x:c r="F35" s="17" t="str">
        <x:v>CONSUMER</x:v>
      </x:c>
      <x:c r="G35" s="17" t="str">
        <x:v>CartItemUpsertRequest</x:v>
      </x:c>
      <x:c r="H35" s="17" t="str">
        <x:v>ShoppingCartResponse</x:v>
      </x:c>
      <x:c r="I35" s="17" t="str">
        <x:v>{success,data,error:{code,message,details?},requestId}</x:v>
      </x:c>
      <x:c r="J35" s="17" t="str">
        <x:v>PRODUCT_NOT_SALEABLE|INVENTORY_INSUFFICIENT</x:v>
      </x:c>
      <x:c r="K35" s="17" t="str">
        <x:v>Idempotency-Key</x:v>
      </x:c>
      <x:c r="L35" s="17" t="str">
        <x:v>NEVER_RETURN; DTO白名单；对象归属校验先于查询结果返回</x:v>
      </x:c>
      <x:c r="M35" s="17" t="str">
        <x:v>金额字段整数分；服务端重算；禁止客户端提交供应价或结算快照</x:v>
      </x:c>
      <x:c r="N35" s="17" t="str">
        <x:v>P0-022,P0-090</x:v>
      </x:c>
      <x:c r="O35" s="17" t="str">
        <x:v>PLANNED</x:v>
      </x:c>
      <x:c r="P35" s="17" t="str">
        <x:v>PLANNED</x:v>
      </x:c>
      <x:c r="Q35" s="17" t="str">
        <x:v>PLANNED</x:v>
      </x:c>
      <x:c r="R35" s="17" t="str">
        <x:v>TO_BE_CREATED</x:v>
      </x:c>
      <x:c r="S35" s="17" t="str">
        <x:v>UNASSIGNED</x:v>
      </x:c>
      <x:c r="T35" s="17" t="str">
        <x:v>路径为执行初始契约；阶段M*-000冻结后方可编码</x:v>
      </x:c>
    </x:row>
    <x:row r="36" ht="23" customHeight="1">
      <x:c r="A36" s="17" t="str">
        <x:v>API-035</x:v>
      </x:c>
      <x:c r="B36" s="17" t="str">
        <x:v>M3</x:v>
      </x:c>
      <x:c r="C36" s="17" t="str">
        <x:v>checkout</x:v>
      </x:c>
      <x:c r="D36" s="17" t="str">
        <x:v>POST</x:v>
      </x:c>
      <x:c r="E36" s="17" t="str">
        <x:v>/v1/consumer/checkout/preview</x:v>
      </x:c>
      <x:c r="F36" s="17" t="str">
        <x:v>CONSUMER</x:v>
      </x:c>
      <x:c r="G36" s="17" t="str">
        <x:v>ConsumerCheckoutPreviewRequest</x:v>
      </x:c>
      <x:c r="H36" s="17" t="str">
        <x:v>CheckoutPreviewResponse</x:v>
      </x:c>
      <x:c r="I36" s="17" t="str">
        <x:v>{success,data,error:{code,message,details?},requestId}</x:v>
      </x:c>
      <x:c r="J36" s="17" t="str">
        <x:v>PRICE_CHANGED|INVENTORY_INSUFFICIENT|WELFARE_SCOPE_MISMATCH</x:v>
      </x:c>
      <x:c r="K36" s="17" t="str">
        <x:v>previewKey</x:v>
      </x:c>
      <x:c r="L36" s="17" t="str">
        <x:v>NEVER_RETURN; DTO白名单；对象归属校验先于查询结果返回</x:v>
      </x:c>
      <x:c r="M36" s="17" t="str">
        <x:v>金额字段整数分；服务端重算；禁止客户端提交供应价或结算快照</x:v>
      </x:c>
      <x:c r="N36" s="17" t="str">
        <x:v>P0-022,P0-053,P0-091,P0-092</x:v>
      </x:c>
      <x:c r="O36" s="17" t="str">
        <x:v>PLANNED</x:v>
      </x:c>
      <x:c r="P36" s="17" t="str">
        <x:v>PLANNED</x:v>
      </x:c>
      <x:c r="Q36" s="17" t="str">
        <x:v>PLANNED</x:v>
      </x:c>
      <x:c r="R36" s="17" t="str">
        <x:v>TO_BE_CREATED</x:v>
      </x:c>
      <x:c r="S36" s="17" t="str">
        <x:v>UNASSIGNED</x:v>
      </x:c>
      <x:c r="T36" s="17" t="str">
        <x:v>路径为执行初始契约；阶段M*-000冻结后方可编码</x:v>
      </x:c>
    </x:row>
    <x:row r="37" ht="23" customHeight="1">
      <x:c r="A37" s="17" t="str">
        <x:v>API-036</x:v>
      </x:c>
      <x:c r="B37" s="17" t="str">
        <x:v>M3</x:v>
      </x:c>
      <x:c r="C37" s="17" t="str">
        <x:v>orders</x:v>
      </x:c>
      <x:c r="D37" s="17" t="str">
        <x:v>POST</x:v>
      </x:c>
      <x:c r="E37" s="17" t="str">
        <x:v>/v1/consumer/orders</x:v>
      </x:c>
      <x:c r="F37" s="17" t="str">
        <x:v>CONSUMER</x:v>
      </x:c>
      <x:c r="G37" s="17" t="str">
        <x:v>ConsumerOrderCreateRequest</x:v>
      </x:c>
      <x:c r="H37" s="17" t="str">
        <x:v>OrderCreateResponse</x:v>
      </x:c>
      <x:c r="I37" s="17" t="str">
        <x:v>{success,data,error:{code,message,details?},requestId}</x:v>
      </x:c>
      <x:c r="J37" s="17" t="str">
        <x:v>IDEMPOTENCY_CONFLICT|PRICE_CHANGED|INVENTORY_INSUFFICIENT</x:v>
      </x:c>
      <x:c r="K37" s="17" t="str">
        <x:v>Idempotency-Key</x:v>
      </x:c>
      <x:c r="L37" s="17" t="str">
        <x:v>NEVER_RETURN; DTO白名单；对象归属校验先于查询结果返回</x:v>
      </x:c>
      <x:c r="M37" s="17" t="str">
        <x:v>金额字段整数分；服务端重算；禁止客户端提交供应价或结算快照</x:v>
      </x:c>
      <x:c r="N37" s="17" t="str">
        <x:v>P0-022,P0-023,P0-025,P0-091</x:v>
      </x:c>
      <x:c r="O37" s="17" t="str">
        <x:v>PLANNED</x:v>
      </x:c>
      <x:c r="P37" s="17" t="str">
        <x:v>PLANNED</x:v>
      </x:c>
      <x:c r="Q37" s="17" t="str">
        <x:v>PLANNED</x:v>
      </x:c>
      <x:c r="R37" s="17" t="str">
        <x:v>TO_BE_CREATED</x:v>
      </x:c>
      <x:c r="S37" s="17" t="str">
        <x:v>UNASSIGNED</x:v>
      </x:c>
      <x:c r="T37" s="17" t="str">
        <x:v>路径为执行初始契约；阶段M*-000冻结后方可编码</x:v>
      </x:c>
    </x:row>
    <x:row r="38" ht="23" customHeight="1">
      <x:c r="A38" s="17" t="str">
        <x:v>API-037</x:v>
      </x:c>
      <x:c r="B38" s="17" t="str">
        <x:v>M3</x:v>
      </x:c>
      <x:c r="C38" s="17" t="str">
        <x:v>orders</x:v>
      </x:c>
      <x:c r="D38" s="17" t="str">
        <x:v>GET</x:v>
      </x:c>
      <x:c r="E38" s="17" t="str">
        <x:v>/v1/consumer/orders/{orderId}</x:v>
      </x:c>
      <x:c r="F38" s="17" t="str">
        <x:v>CONSUMER</x:v>
      </x:c>
      <x:c r="G38" s="17" t="str">
        <x:v>None</x:v>
      </x:c>
      <x:c r="H38" s="17" t="str">
        <x:v>ConsumerOrderDetailResponse</x:v>
      </x:c>
      <x:c r="I38" s="17" t="str">
        <x:v>{success,data,error:{code,message,details?},requestId}</x:v>
      </x:c>
      <x:c r="J38" s="17" t="str">
        <x:v>ORDER_SCOPE_FORBIDDEN</x:v>
      </x:c>
      <x:c r="K38" s="17" t="str">
        <x:v>NONE</x:v>
      </x:c>
      <x:c r="L38" s="17" t="str">
        <x:v>NEVER_RETURN; DTO白名单；对象归属校验先于查询结果返回</x:v>
      </x:c>
      <x:c r="M38" s="17" t="str">
        <x:v>金额字段整数分；服务端重算；禁止客户端提交供应价或结算快照</x:v>
      </x:c>
      <x:c r="N38" s="17" t="str">
        <x:v>P0-094,P0-095</x:v>
      </x:c>
      <x:c r="O38" s="17" t="str">
        <x:v>PLANNED</x:v>
      </x:c>
      <x:c r="P38" s="17" t="str">
        <x:v>PLANNED</x:v>
      </x:c>
      <x:c r="Q38" s="17" t="str">
        <x:v>PLANNED</x:v>
      </x:c>
      <x:c r="R38" s="17" t="str">
        <x:v>TO_BE_CREATED</x:v>
      </x:c>
      <x:c r="S38" s="17" t="str">
        <x:v>UNASSIGNED</x:v>
      </x:c>
      <x:c r="T38" s="17" t="str">
        <x:v>路径为执行初始契约；阶段M*-000冻结后方可编码</x:v>
      </x:c>
    </x:row>
    <x:row r="39" ht="23" customHeight="1">
      <x:c r="A39" s="17" t="str">
        <x:v>API-038</x:v>
      </x:c>
      <x:c r="B39" s="17" t="str">
        <x:v>M3</x:v>
      </x:c>
      <x:c r="C39" s="17" t="str">
        <x:v>welfare-card</x:v>
      </x:c>
      <x:c r="D39" s="17" t="str">
        <x:v>POST</x:v>
      </x:c>
      <x:c r="E39" s="17" t="str">
        <x:v>/v1/consumer/welfare-card-accounts/bind</x:v>
      </x:c>
      <x:c r="F39" s="17" t="str">
        <x:v>CONSUMER</x:v>
      </x:c>
      <x:c r="G39" s="17" t="str">
        <x:v>WelfareCardBindRequest</x:v>
      </x:c>
      <x:c r="H39" s="17" t="str">
        <x:v>WelfareCardAccountResponse</x:v>
      </x:c>
      <x:c r="I39" s="17" t="str">
        <x:v>{success,data,error:{code,message,details?},requestId}</x:v>
      </x:c>
      <x:c r="J39" s="17" t="str">
        <x:v>CARD_CODE_INVALID|CARD_ALREADY_CLAIMED</x:v>
      </x:c>
      <x:c r="K39" s="17" t="str">
        <x:v>Idempotency-Key</x:v>
      </x:c>
      <x:c r="L39" s="17" t="str">
        <x:v>NEVER_RETURN; DTO白名单；对象归属校验先于查询结果返回</x:v>
      </x:c>
      <x:c r="M39" s="17" t="str">
        <x:v>金额字段整数分；服务端重算；禁止客户端提交供应价或结算快照</x:v>
      </x:c>
      <x:c r="N39" s="17" t="str">
        <x:v>P0-052</x:v>
      </x:c>
      <x:c r="O39" s="17" t="str">
        <x:v>PLANNED</x:v>
      </x:c>
      <x:c r="P39" s="17" t="str">
        <x:v>PLANNED</x:v>
      </x:c>
      <x:c r="Q39" s="17" t="str">
        <x:v>PLANNED</x:v>
      </x:c>
      <x:c r="R39" s="17" t="str">
        <x:v>TO_BE_CREATED</x:v>
      </x:c>
      <x:c r="S39" s="17" t="str">
        <x:v>UNASSIGNED</x:v>
      </x:c>
      <x:c r="T39" s="17" t="str">
        <x:v>路径为执行初始契约；阶段M*-000冻结后方可编码</x:v>
      </x:c>
    </x:row>
    <x:row r="40" ht="23" customHeight="1">
      <x:c r="A40" s="17" t="str">
        <x:v>API-039</x:v>
      </x:c>
      <x:c r="B40" s="17" t="str">
        <x:v>M3</x:v>
      </x:c>
      <x:c r="C40" s="17" t="str">
        <x:v>welfare-card</x:v>
      </x:c>
      <x:c r="D40" s="17" t="str">
        <x:v>GET</x:v>
      </x:c>
      <x:c r="E40" s="17" t="str">
        <x:v>/v1/consumer/welfare-card-accounts/eligible</x:v>
      </x:c>
      <x:c r="F40" s="17" t="str">
        <x:v>CONSUMER</x:v>
      </x:c>
      <x:c r="G40" s="17" t="str">
        <x:v>EligibilityQuery</x:v>
      </x:c>
      <x:c r="H40" s="17" t="str">
        <x:v>EligibleWelfareAccountsResponse</x:v>
      </x:c>
      <x:c r="I40" s="17" t="str">
        <x:v>{success,data,error:{code,message,details?},requestId}</x:v>
      </x:c>
      <x:c r="J40" s="17" t="str">
        <x:v>COMMON_AUTH_VALIDATION_ERRORS</x:v>
      </x:c>
      <x:c r="K40" s="17" t="str">
        <x:v>NONE</x:v>
      </x:c>
      <x:c r="L40" s="17" t="str">
        <x:v>NEVER_RETURN; DTO白名单；对象归属校验先于查询结果返回</x:v>
      </x:c>
      <x:c r="M40" s="17" t="str">
        <x:v>金额字段整数分；服务端重算；禁止客户端提交供应价或结算快照</x:v>
      </x:c>
      <x:c r="N40" s="17" t="str">
        <x:v>P0-053,P0-054,P0-092</x:v>
      </x:c>
      <x:c r="O40" s="17" t="str">
        <x:v>PLANNED</x:v>
      </x:c>
      <x:c r="P40" s="17" t="str">
        <x:v>PLANNED</x:v>
      </x:c>
      <x:c r="Q40" s="17" t="str">
        <x:v>PLANNED</x:v>
      </x:c>
      <x:c r="R40" s="17" t="str">
        <x:v>TO_BE_CREATED</x:v>
      </x:c>
      <x:c r="S40" s="17" t="str">
        <x:v>UNASSIGNED</x:v>
      </x:c>
      <x:c r="T40" s="17" t="str">
        <x:v>路径为执行初始契约；阶段M*-000冻结后方可编码</x:v>
      </x:c>
    </x:row>
    <x:row r="41" ht="23" customHeight="1">
      <x:c r="A41" s="17" t="str">
        <x:v>API-040</x:v>
      </x:c>
      <x:c r="B41" s="17" t="str">
        <x:v>M3</x:v>
      </x:c>
      <x:c r="C41" s="17" t="str">
        <x:v>welfare-card</x:v>
      </x:c>
      <x:c r="D41" s="17" t="str">
        <x:v>GET</x:v>
      </x:c>
      <x:c r="E41" s="17" t="str">
        <x:v>/v1/consumer/welfare-card-accounts/{accountId}/ledger</x:v>
      </x:c>
      <x:c r="F41" s="17" t="str">
        <x:v>CONSUMER</x:v>
      </x:c>
      <x:c r="G41" s="17" t="str">
        <x:v>LedgerQuery</x:v>
      </x:c>
      <x:c r="H41" s="17" t="str">
        <x:v>ConsumerWelfareLedgerResponse</x:v>
      </x:c>
      <x:c r="I41" s="17" t="str">
        <x:v>{success,data,error:{code,message,details?},requestId}</x:v>
      </x:c>
      <x:c r="J41" s="17" t="str">
        <x:v>ACCOUNT_SCOPE_FORBIDDEN</x:v>
      </x:c>
      <x:c r="K41" s="17" t="str">
        <x:v>NONE</x:v>
      </x:c>
      <x:c r="L41" s="17" t="str">
        <x:v>NEVER_RETURN; DTO白名单；对象归属校验先于查询结果返回</x:v>
      </x:c>
      <x:c r="M41" s="17" t="str">
        <x:v>金额字段整数分；服务端重算；禁止客户端提交供应价或结算快照</x:v>
      </x:c>
      <x:c r="N41" s="17" t="str">
        <x:v>P0-059,P0-097</x:v>
      </x:c>
      <x:c r="O41" s="17" t="str">
        <x:v>PLANNED</x:v>
      </x:c>
      <x:c r="P41" s="17" t="str">
        <x:v>PLANNED</x:v>
      </x:c>
      <x:c r="Q41" s="17" t="str">
        <x:v>PLANNED</x:v>
      </x:c>
      <x:c r="R41" s="17" t="str">
        <x:v>TO_BE_CREATED</x:v>
      </x:c>
      <x:c r="S41" s="17" t="str">
        <x:v>UNASSIGNED</x:v>
      </x:c>
      <x:c r="T41" s="17" t="str">
        <x:v>路径为执行初始契约；阶段M*-000冻结后方可编码</x:v>
      </x:c>
    </x:row>
    <x:row r="42" ht="23" customHeight="1">
      <x:c r="A42" s="17" t="str">
        <x:v>API-041</x:v>
      </x:c>
      <x:c r="B42" s="17" t="str">
        <x:v>M3</x:v>
      </x:c>
      <x:c r="C42" s="17" t="str">
        <x:v>payments</x:v>
      </x:c>
      <x:c r="D42" s="17" t="str">
        <x:v>POST</x:v>
      </x:c>
      <x:c r="E42" s="17" t="str">
        <x:v>/v1/orders/{orderId}/wechat-prepay</x:v>
      </x:c>
      <x:c r="F42" s="17" t="str">
        <x:v>CONSUMER_OR_ENTERPRISE</x:v>
      </x:c>
      <x:c r="G42" s="17" t="str">
        <x:v>WechatPrepayRequest</x:v>
      </x:c>
      <x:c r="H42" s="17" t="str">
        <x:v>WechatPrepayResponse</x:v>
      </x:c>
      <x:c r="I42" s="17" t="str">
        <x:v>{success,data,error:{code,message,details?},requestId}</x:v>
      </x:c>
      <x:c r="J42" s="17" t="str">
        <x:v>PAYMENT_AMOUNT_MISMATCH|PAYMENT_STATE_INVALID</x:v>
      </x:c>
      <x:c r="K42" s="17" t="str">
        <x:v>Idempotency-Key</x:v>
      </x:c>
      <x:c r="L42" s="17" t="str">
        <x:v>NEVER_RETURN; DTO白名单；对象归属校验先于查询结果返回</x:v>
      </x:c>
      <x:c r="M42" s="17" t="str">
        <x:v>金额字段整数分；服务端重算；禁止客户端提交供应价或结算快照</x:v>
      </x:c>
      <x:c r="N42" s="17" t="str">
        <x:v>P0-024,P0-056,P0-093</x:v>
      </x:c>
      <x:c r="O42" s="17" t="str">
        <x:v>PLANNED</x:v>
      </x:c>
      <x:c r="P42" s="17" t="str">
        <x:v>PLANNED</x:v>
      </x:c>
      <x:c r="Q42" s="17" t="str">
        <x:v>PLANNED</x:v>
      </x:c>
      <x:c r="R42" s="17" t="str">
        <x:v>TO_BE_CREATED</x:v>
      </x:c>
      <x:c r="S42" s="17" t="str">
        <x:v>UNASSIGNED</x:v>
      </x:c>
      <x:c r="T42" s="17" t="str">
        <x:v>路径为执行初始契约；阶段M*-000冻结后方可编码</x:v>
      </x:c>
    </x:row>
    <x:row r="43" ht="23" customHeight="1">
      <x:c r="A43" s="17" t="str">
        <x:v>API-042</x:v>
      </x:c>
      <x:c r="B43" s="17" t="str">
        <x:v>M3</x:v>
      </x:c>
      <x:c r="C43" s="17" t="str">
        <x:v>payments</x:v>
      </x:c>
      <x:c r="D43" s="17" t="str">
        <x:v>POST</x:v>
      </x:c>
      <x:c r="E43" s="17" t="str">
        <x:v>/v1/payment-notifications/wechat</x:v>
      </x:c>
      <x:c r="F43" s="17" t="str">
        <x:v>WECHAT_PLATFORM</x:v>
      </x:c>
      <x:c r="G43" s="17" t="str">
        <x:v>RawWechatNotification</x:v>
      </x:c>
      <x:c r="H43" s="17" t="str">
        <x:v>CallbackAckResponse</x:v>
      </x:c>
      <x:c r="I43" s="17" t="str">
        <x:v>{success,data,error:{code,message,details?},requestId}</x:v>
      </x:c>
      <x:c r="J43" s="17" t="str">
        <x:v>SIGNATURE_INVALID|AMOUNT_MISMATCH</x:v>
      </x:c>
      <x:c r="K43" s="17" t="str">
        <x:v>wechatTransactionId</x:v>
      </x:c>
      <x:c r="L43" s="17" t="str">
        <x:v>NEVER_RETURN; DTO白名单；对象归属校验先于查询结果返回</x:v>
      </x:c>
      <x:c r="M43" s="17" t="str">
        <x:v>金额字段整数分；服务端重算；禁止客户端提交供应价或结算快照</x:v>
      </x:c>
      <x:c r="N43" s="17" t="str">
        <x:v>P0-024,P0-056</x:v>
      </x:c>
      <x:c r="O43" s="17" t="str">
        <x:v>PLANNED</x:v>
      </x:c>
      <x:c r="P43" s="17" t="str">
        <x:v>PLANNED</x:v>
      </x:c>
      <x:c r="Q43" s="17" t="str">
        <x:v>PLANNED</x:v>
      </x:c>
      <x:c r="R43" s="17" t="str">
        <x:v>TO_BE_CREATED</x:v>
      </x:c>
      <x:c r="S43" s="17" t="str">
        <x:v>UNASSIGNED</x:v>
      </x:c>
      <x:c r="T43" s="17" t="str">
        <x:v>路径为执行初始契约；阶段M*-000冻结后方可编码</x:v>
      </x:c>
    </x:row>
    <x:row r="44" ht="23" customHeight="1">
      <x:c r="A44" s="17" t="str">
        <x:v>API-043</x:v>
      </x:c>
      <x:c r="B44" s="17" t="str">
        <x:v>M3</x:v>
      </x:c>
      <x:c r="C44" s="17" t="str">
        <x:v>refunds</x:v>
      </x:c>
      <x:c r="D44" s="17" t="str">
        <x:v>POST</x:v>
      </x:c>
      <x:c r="E44" s="17" t="str">
        <x:v>/v1/aftersales/{afterSaleId}/refund</x:v>
      </x:c>
      <x:c r="F44" s="17" t="str">
        <x:v>COMPANY_ORDER_SERVICE</x:v>
      </x:c>
      <x:c r="G44" s="17" t="str">
        <x:v>RefundCreateRequest</x:v>
      </x:c>
      <x:c r="H44" s="17" t="str">
        <x:v>RefundResponse</x:v>
      </x:c>
      <x:c r="I44" s="17" t="str">
        <x:v>{success,data,error:{code,message,details?},requestId}</x:v>
      </x:c>
      <x:c r="J44" s="17" t="str">
        <x:v>REFUND_ALLOCATION_INVALID|REFUND_DUPLICATE|SAME_NATURAL_PERSON_REVIEW_FORBIDDEN</x:v>
      </x:c>
      <x:c r="K44" s="17" t="str">
        <x:v>Idempotency-Key</x:v>
      </x:c>
      <x:c r="L44" s="17" t="str">
        <x:v>NEVER_RETURN; DTO白名单；对象归属校验先于查询结果返回</x:v>
      </x:c>
      <x:c r="M44" s="17" t="str">
        <x:v>金额字段整数分；服务端重算；禁止客户端提交供应价或结算快照</x:v>
      </x:c>
      <x:c r="N44" s="17" t="str">
        <x:v>P0-026,P0-058,P0-096</x:v>
      </x:c>
      <x:c r="O44" s="17" t="str">
        <x:v>PLANNED</x:v>
      </x:c>
      <x:c r="P44" s="17" t="str">
        <x:v>PLANNED</x:v>
      </x:c>
      <x:c r="Q44" s="17" t="str">
        <x:v>PLANNED</x:v>
      </x:c>
      <x:c r="R44" s="17" t="str">
        <x:v>TO_BE_CREATED</x:v>
      </x:c>
      <x:c r="S44" s="17" t="str">
        <x:v>UNASSIGNED</x:v>
      </x:c>
      <x:c r="T44" s="17" t="str">
        <x:v>路径为执行初始契约；阶段M*-000冻结后方可编码</x:v>
      </x:c>
    </x:row>
    <x:row r="45" ht="23" customHeight="1">
      <x:c r="A45" s="17" t="str">
        <x:v>API-044</x:v>
      </x:c>
      <x:c r="B45" s="17" t="str">
        <x:v>M3</x:v>
      </x:c>
      <x:c r="C45" s="17" t="str">
        <x:v>enterprise-auth</x:v>
      </x:c>
      <x:c r="D45" s="17" t="str">
        <x:v>POST</x:v>
      </x:c>
      <x:c r="E45" s="17" t="str">
        <x:v>/v1/enterprise/registrations</x:v>
      </x:c>
      <x:c r="F45" s="17" t="str">
        <x:v>PUBLIC</x:v>
      </x:c>
      <x:c r="G45" s="17" t="str">
        <x:v>EnterpriseRegistrationRequest</x:v>
      </x:c>
      <x:c r="H45" s="17" t="str">
        <x:v>EnterpriseRegistrationResponse</x:v>
      </x:c>
      <x:c r="I45" s="17" t="str">
        <x:v>{success,data,error:{code,message,details?},requestId}</x:v>
      </x:c>
      <x:c r="J45" s="17" t="str">
        <x:v>CREDIT_CODE_DUPLICATE</x:v>
      </x:c>
      <x:c r="K45" s="17" t="str">
        <x:v>Idempotency-Key</x:v>
      </x:c>
      <x:c r="L45" s="17" t="str">
        <x:v>NEVER_RETURN; DTO白名单；对象归属校验先于查询结果返回</x:v>
      </x:c>
      <x:c r="M45" s="17" t="str">
        <x:v>金额字段整数分；服务端重算；禁止客户端提交供应价或结算快照</x:v>
      </x:c>
      <x:c r="N45" s="17" t="str">
        <x:v>P0-028,P0-077</x:v>
      </x:c>
      <x:c r="O45" s="17" t="str">
        <x:v>PLANNED</x:v>
      </x:c>
      <x:c r="P45" s="17" t="str">
        <x:v>PLANNED</x:v>
      </x:c>
      <x:c r="Q45" s="17" t="str">
        <x:v>PLANNED</x:v>
      </x:c>
      <x:c r="R45" s="17" t="str">
        <x:v>TO_BE_CREATED</x:v>
      </x:c>
      <x:c r="S45" s="17" t="str">
        <x:v>UNASSIGNED</x:v>
      </x:c>
      <x:c r="T45" s="17" t="str">
        <x:v>路径为执行初始契约；阶段M*-000冻结后方可编码</x:v>
      </x:c>
    </x:row>
    <x:row r="46" ht="23" customHeight="1">
      <x:c r="A46" s="17" t="str">
        <x:v>API-045</x:v>
      </x:c>
      <x:c r="B46" s="17" t="str">
        <x:v>M3</x:v>
      </x:c>
      <x:c r="C46" s="17" t="str">
        <x:v>enterprise-auth</x:v>
      </x:c>
      <x:c r="D46" s="17" t="str">
        <x:v>POST</x:v>
      </x:c>
      <x:c r="E46" s="17" t="str">
        <x:v>/v1/enterprise-auth/login</x:v>
      </x:c>
      <x:c r="F46" s="17" t="str">
        <x:v>ENTERPRISE_USER</x:v>
      </x:c>
      <x:c r="G46" s="17" t="str">
        <x:v>EnterpriseLoginRequest</x:v>
      </x:c>
      <x:c r="H46" s="17" t="str">
        <x:v>EnterpriseSessionResponse</x:v>
      </x:c>
      <x:c r="I46" s="17" t="str">
        <x:v>{success,data,error:{code,message,details?},requestId}</x:v>
      </x:c>
      <x:c r="J46" s="17" t="str">
        <x:v>AUTH_INVALID|ENTERPRISE_NOT_ACTIVE</x:v>
      </x:c>
      <x:c r="K46" s="17" t="str">
        <x:v>requestId</x:v>
      </x:c>
      <x:c r="L46" s="17" t="str">
        <x:v>NEVER_RETURN; DTO白名单；对象归属校验先于查询结果返回</x:v>
      </x:c>
      <x:c r="M46" s="17" t="str">
        <x:v>金额字段整数分；服务端重算；禁止客户端提交供应价或结算快照</x:v>
      </x:c>
      <x:c r="N46" s="17" t="str">
        <x:v>P0-077</x:v>
      </x:c>
      <x:c r="O46" s="17" t="str">
        <x:v>PLANNED</x:v>
      </x:c>
      <x:c r="P46" s="17" t="str">
        <x:v>PLANNED</x:v>
      </x:c>
      <x:c r="Q46" s="17" t="str">
        <x:v>PLANNED</x:v>
      </x:c>
      <x:c r="R46" s="17" t="str">
        <x:v>TO_BE_CREATED</x:v>
      </x:c>
      <x:c r="S46" s="17" t="str">
        <x:v>UNASSIGNED</x:v>
      </x:c>
      <x:c r="T46" s="17" t="str">
        <x:v>路径为执行初始契约；阶段M*-000冻结后方可编码</x:v>
      </x:c>
    </x:row>
    <x:row r="47" ht="23" customHeight="1">
      <x:c r="A47" s="17" t="str">
        <x:v>API-046</x:v>
      </x:c>
      <x:c r="B47" s="17" t="str">
        <x:v>M3</x:v>
      </x:c>
      <x:c r="C47" s="17" t="str">
        <x:v>company-enterprise-review</x:v>
      </x:c>
      <x:c r="D47" s="17" t="str">
        <x:v>POST</x:v>
      </x:c>
      <x:c r="E47" s="17" t="str">
        <x:v>/v1/company/enterprise-registrations/{enterpriseId}/review</x:v>
      </x:c>
      <x:c r="F47" s="17" t="str">
        <x:v>AUTHORIZED_COMPANY_REVIEWER</x:v>
      </x:c>
      <x:c r="G47" s="17" t="str">
        <x:v>EnterpriseReviewRequest</x:v>
      </x:c>
      <x:c r="H47" s="17" t="str">
        <x:v>EnterpriseRegistrationResponse</x:v>
      </x:c>
      <x:c r="I47" s="17" t="str">
        <x:v>{success,data,error:{code,message,details?},requestId}</x:v>
      </x:c>
      <x:c r="J47" s="17" t="str">
        <x:v>APPROVAL_VERSION_CONFLICT|SELF_APPROVAL_FORBIDDEN</x:v>
      </x:c>
      <x:c r="K47" s="17" t="str">
        <x:v>Idempotency-Key</x:v>
      </x:c>
      <x:c r="L47" s="17" t="str">
        <x:v>NEVER_RETURN; DTO白名单；对象归属校验先于查询结果返回</x:v>
      </x:c>
      <x:c r="M47" s="17" t="str">
        <x:v>金额字段整数分；服务端重算；禁止客户端提交供应价或结算快照</x:v>
      </x:c>
      <x:c r="N47" s="17" t="str">
        <x:v>P0-028,P0-077</x:v>
      </x:c>
      <x:c r="O47" s="17" t="str">
        <x:v>PLANNED</x:v>
      </x:c>
      <x:c r="P47" s="17" t="str">
        <x:v>PLANNED</x:v>
      </x:c>
      <x:c r="Q47" s="17" t="str">
        <x:v>PLANNED</x:v>
      </x:c>
      <x:c r="R47" s="17" t="str">
        <x:v>TO_BE_CREATED</x:v>
      </x:c>
      <x:c r="S47" s="17" t="str">
        <x:v>UNASSIGNED</x:v>
      </x:c>
      <x:c r="T47" s="17" t="str">
        <x:v>路径为执行初始契约；阶段M*-000冻结后方可编码</x:v>
      </x:c>
    </x:row>
    <x:row r="48" ht="23" customHeight="1">
      <x:c r="A48" s="17" t="str">
        <x:v>API-047</x:v>
      </x:c>
      <x:c r="B48" s="17" t="str">
        <x:v>M3</x:v>
      </x:c>
      <x:c r="C48" s="17" t="str">
        <x:v>enterprise-procurement</x:v>
      </x:c>
      <x:c r="D48" s="17" t="str">
        <x:v>GET</x:v>
      </x:c>
      <x:c r="E48" s="17" t="str">
        <x:v>/v1/enterprise/catalog/products</x:v>
      </x:c>
      <x:c r="F48" s="17" t="str">
        <x:v>ENTERPRISE_PURCHASER</x:v>
      </x:c>
      <x:c r="G48" s="17" t="str">
        <x:v>EnterpriseCatalogQuery</x:v>
      </x:c>
      <x:c r="H48" s="17" t="str">
        <x:v>EnterpriseProductPageResponse</x:v>
      </x:c>
      <x:c r="I48" s="17" t="str">
        <x:v>{success,data,error:{code,message,details?},requestId}</x:v>
      </x:c>
      <x:c r="J48" s="17" t="str">
        <x:v>ENTERPRISE_NOT_CERTIFIED</x:v>
      </x:c>
      <x:c r="K48" s="17" t="str">
        <x:v>NONE</x:v>
      </x:c>
      <x:c r="L48" s="17" t="str">
        <x:v>NEVER_RETURN; DTO白名单；对象归属校验先于查询结果返回</x:v>
      </x:c>
      <x:c r="M48" s="17" t="str">
        <x:v>金额字段整数分；服务端重算；禁止客户端提交供应价或结算快照</x:v>
      </x:c>
      <x:c r="N48" s="17" t="str">
        <x:v>P0-029,P0-061,P0-078</x:v>
      </x:c>
      <x:c r="O48" s="17" t="str">
        <x:v>PLANNED</x:v>
      </x:c>
      <x:c r="P48" s="17" t="str">
        <x:v>PLANNED</x:v>
      </x:c>
      <x:c r="Q48" s="17" t="str">
        <x:v>PLANNED</x:v>
      </x:c>
      <x:c r="R48" s="17" t="str">
        <x:v>TO_BE_CREATED</x:v>
      </x:c>
      <x:c r="S48" s="17" t="str">
        <x:v>UNASSIGNED</x:v>
      </x:c>
      <x:c r="T48" s="17" t="str">
        <x:v>路径为执行初始契约；阶段M*-000冻结后方可编码</x:v>
      </x:c>
    </x:row>
    <x:row r="49" ht="23" customHeight="1">
      <x:c r="A49" s="17" t="str">
        <x:v>API-048</x:v>
      </x:c>
      <x:c r="B49" s="17" t="str">
        <x:v>M3</x:v>
      </x:c>
      <x:c r="C49" s="17" t="str">
        <x:v>enterprise-procurement</x:v>
      </x:c>
      <x:c r="D49" s="17" t="str">
        <x:v>POST</x:v>
      </x:c>
      <x:c r="E49" s="17" t="str">
        <x:v>/v1/enterprise/orders</x:v>
      </x:c>
      <x:c r="F49" s="17" t="str">
        <x:v>ENTERPRISE_PURCHASER</x:v>
      </x:c>
      <x:c r="G49" s="17" t="str">
        <x:v>EnterpriseOrderCreateRequest</x:v>
      </x:c>
      <x:c r="H49" s="17" t="str">
        <x:v>EnterpriseOrderCreateResponse</x:v>
      </x:c>
      <x:c r="I49" s="17" t="str">
        <x:v>{success,data,error:{code,message,details?},requestId}</x:v>
      </x:c>
      <x:c r="J49" s="17" t="str">
        <x:v>IDEMPOTENCY_CONFLICT|INVENTORY_INSUFFICIENT</x:v>
      </x:c>
      <x:c r="K49" s="17" t="str">
        <x:v>Idempotency-Key</x:v>
      </x:c>
      <x:c r="L49" s="17" t="str">
        <x:v>NEVER_RETURN; DTO白名单；对象归属校验先于查询结果返回</x:v>
      </x:c>
      <x:c r="M49" s="17" t="str">
        <x:v>金额字段整数分；服务端重算；禁止客户端提交供应价或结算快照</x:v>
      </x:c>
      <x:c r="N49" s="17" t="str">
        <x:v>P0-029,P0-062,P0-079</x:v>
      </x:c>
      <x:c r="O49" s="17" t="str">
        <x:v>PLANNED</x:v>
      </x:c>
      <x:c r="P49" s="17" t="str">
        <x:v>PLANNED</x:v>
      </x:c>
      <x:c r="Q49" s="17" t="str">
        <x:v>PLANNED</x:v>
      </x:c>
      <x:c r="R49" s="17" t="str">
        <x:v>TO_BE_CREATED</x:v>
      </x:c>
      <x:c r="S49" s="17" t="str">
        <x:v>UNASSIGNED</x:v>
      </x:c>
      <x:c r="T49" s="17" t="str">
        <x:v>路径为执行初始契约；阶段M*-000冻结后方可编码</x:v>
      </x:c>
    </x:row>
    <x:row r="50" ht="23" customHeight="1">
      <x:c r="A50" s="17" t="str">
        <x:v>API-049</x:v>
      </x:c>
      <x:c r="B50" s="17" t="str">
        <x:v>M3</x:v>
      </x:c>
      <x:c r="C50" s="17" t="str">
        <x:v>enterprise-procurement</x:v>
      </x:c>
      <x:c r="D50" s="17" t="str">
        <x:v>GET</x:v>
      </x:c>
      <x:c r="E50" s="17" t="str">
        <x:v>/v1/enterprise/orders/{orderId}</x:v>
      </x:c>
      <x:c r="F50" s="17" t="str">
        <x:v>ENTERPRISE_USER</x:v>
      </x:c>
      <x:c r="G50" s="17" t="str">
        <x:v>None</x:v>
      </x:c>
      <x:c r="H50" s="17" t="str">
        <x:v>EnterpriseOrderDetailResponse</x:v>
      </x:c>
      <x:c r="I50" s="17" t="str">
        <x:v>{success,data,error:{code,message,details?},requestId}</x:v>
      </x:c>
      <x:c r="J50" s="17" t="str">
        <x:v>ENTERPRISE_SCOPE_FORBIDDEN</x:v>
      </x:c>
      <x:c r="K50" s="17" t="str">
        <x:v>NONE</x:v>
      </x:c>
      <x:c r="L50" s="17" t="str">
        <x:v>NEVER_RETURN; DTO白名单；对象归属校验先于查询结果返回</x:v>
      </x:c>
      <x:c r="M50" s="17" t="str">
        <x:v>金额字段整数分；服务端重算；禁止客户端提交供应价或结算快照</x:v>
      </x:c>
      <x:c r="N50" s="17" t="str">
        <x:v>P0-080,P0-117,P0-119</x:v>
      </x:c>
      <x:c r="O50" s="17" t="str">
        <x:v>PLANNED</x:v>
      </x:c>
      <x:c r="P50" s="17" t="str">
        <x:v>PLANNED</x:v>
      </x:c>
      <x:c r="Q50" s="17" t="str">
        <x:v>PLANNED</x:v>
      </x:c>
      <x:c r="R50" s="17" t="str">
        <x:v>TO_BE_CREATED</x:v>
      </x:c>
      <x:c r="S50" s="17" t="str">
        <x:v>UNASSIGNED</x:v>
      </x:c>
      <x:c r="T50" s="17" t="str">
        <x:v>路径为执行初始契约；阶段M*-000冻结后方可编码</x:v>
      </x:c>
    </x:row>
    <x:row r="51" ht="23" customHeight="1">
      <x:c r="A51" s="17" t="str">
        <x:v>API-050</x:v>
      </x:c>
      <x:c r="B51" s="17" t="str">
        <x:v>M3</x:v>
      </x:c>
      <x:c r="C51" s="17" t="str">
        <x:v>enterprise-remittance</x:v>
      </x:c>
      <x:c r="D51" s="17" t="str">
        <x:v>POST</x:v>
      </x:c>
      <x:c r="E51" s="17" t="str">
        <x:v>/v1/enterprise/orders/{orderId}/remittance-proof</x:v>
      </x:c>
      <x:c r="F51" s="17" t="str">
        <x:v>ENTERPRISE_PURCHASER</x:v>
      </x:c>
      <x:c r="G51" s="17" t="str">
        <x:v>EnterpriseRemittanceProofRequest</x:v>
      </x:c>
      <x:c r="H51" s="17" t="str">
        <x:v>EnterpriseOrderDetailResponse</x:v>
      </x:c>
      <x:c r="I51" s="17" t="str">
        <x:v>{success,data,error:{code,message,details?},requestId}</x:v>
      </x:c>
      <x:c r="J51" s="17" t="str">
        <x:v>PAYMENT_METHOD_INVALID|REMITTANCE_ALREADY_SUBMITTED</x:v>
      </x:c>
      <x:c r="K51" s="17" t="str">
        <x:v>Idempotency-Key</x:v>
      </x:c>
      <x:c r="L51" s="17" t="str">
        <x:v>NEVER_RETURN; DTO白名单；对象归属校验先于查询结果返回</x:v>
      </x:c>
      <x:c r="M51" s="17" t="str">
        <x:v>金额字段整数分；服务端重算；禁止客户端提交供应价或结算快照</x:v>
      </x:c>
      <x:c r="N51" s="17" t="str">
        <x:v>P0-025,P0-029,P0-079</x:v>
      </x:c>
      <x:c r="O51" s="17" t="str">
        <x:v>PLANNED</x:v>
      </x:c>
      <x:c r="P51" s="17" t="str">
        <x:v>PLANNED</x:v>
      </x:c>
      <x:c r="Q51" s="17" t="str">
        <x:v>PLANNED</x:v>
      </x:c>
      <x:c r="R51" s="17" t="str">
        <x:v>TO_BE_CREATED</x:v>
      </x:c>
      <x:c r="S51" s="17" t="str">
        <x:v>UNASSIGNED</x:v>
      </x:c>
      <x:c r="T51" s="17" t="str">
        <x:v>路径为执行初始契约；阶段M*-000冻结后方可编码</x:v>
      </x:c>
    </x:row>
    <x:row r="52" ht="23" customHeight="1">
      <x:c r="A52" s="17" t="str">
        <x:v>API-051</x:v>
      </x:c>
      <x:c r="B52" s="17" t="str">
        <x:v>M3</x:v>
      </x:c>
      <x:c r="C52" s="17" t="str">
        <x:v>enterprise-remittance</x:v>
      </x:c>
      <x:c r="D52" s="17" t="str">
        <x:v>POST</x:v>
      </x:c>
      <x:c r="E52" s="17" t="str">
        <x:v>/v1/company/enterprise-orders/{orderId}/remittance-review</x:v>
      </x:c>
      <x:c r="F52" s="17" t="str">
        <x:v>COMPANY_FINANCE</x:v>
      </x:c>
      <x:c r="G52" s="17" t="str">
        <x:v>EnterpriseRemittanceReviewRequest</x:v>
      </x:c>
      <x:c r="H52" s="17" t="str">
        <x:v>EnterpriseOrderDetailResponse</x:v>
      </x:c>
      <x:c r="I52" s="17" t="str">
        <x:v>{success,data,error:{code,message,details?},requestId}</x:v>
      </x:c>
      <x:c r="J52" s="17" t="str">
        <x:v>AMOUNT_MISMATCH|APPROVAL_VERSION_CONFLICT</x:v>
      </x:c>
      <x:c r="K52" s="17" t="str">
        <x:v>Idempotency-Key</x:v>
      </x:c>
      <x:c r="L52" s="17" t="str">
        <x:v>NEVER_RETURN; DTO白名单；对象归属校验先于查询结果返回</x:v>
      </x:c>
      <x:c r="M52" s="17" t="str">
        <x:v>金额字段整数分；服务端重算；禁止客户端提交供应价或结算快照</x:v>
      </x:c>
      <x:c r="N52" s="17" t="str">
        <x:v>P0-025,P0-029</x:v>
      </x:c>
      <x:c r="O52" s="17" t="str">
        <x:v>PLANNED</x:v>
      </x:c>
      <x:c r="P52" s="17" t="str">
        <x:v>PLANNED</x:v>
      </x:c>
      <x:c r="Q52" s="17" t="str">
        <x:v>PLANNED</x:v>
      </x:c>
      <x:c r="R52" s="17" t="str">
        <x:v>TO_BE_CREATED</x:v>
      </x:c>
      <x:c r="S52" s="17" t="str">
        <x:v>UNASSIGNED</x:v>
      </x:c>
      <x:c r="T52" s="17" t="str">
        <x:v>路径为执行初始契约；阶段M*-000冻结后方可编码</x:v>
      </x:c>
    </x:row>
    <x:row r="53" ht="23" customHeight="1">
      <x:c r="A53" s="17" t="str">
        <x:v>API-052</x:v>
      </x:c>
      <x:c r="B53" s="17" t="str">
        <x:v>M3</x:v>
      </x:c>
      <x:c r="C53" s="17" t="str">
        <x:v>supplier-fulfillment</x:v>
      </x:c>
      <x:c r="D53" s="17" t="str">
        <x:v>GET</x:v>
      </x:c>
      <x:c r="E53" s="17" t="str">
        <x:v>/v1/supplier/fulfillment-sub-orders</x:v>
      </x:c>
      <x:c r="F53" s="17" t="str">
        <x:v>SUPPLIER_FULFILLMENT</x:v>
      </x:c>
      <x:c r="G53" s="17" t="str">
        <x:v>SubOrderQuery</x:v>
      </x:c>
      <x:c r="H53" s="17" t="str">
        <x:v>SupplierSubOrderPageResponse</x:v>
      </x:c>
      <x:c r="I53" s="17" t="str">
        <x:v>{success,data,error:{code,message,details?},requestId}</x:v>
      </x:c>
      <x:c r="J53" s="17" t="str">
        <x:v>SUPPLIER_SCOPE_FORBIDDEN</x:v>
      </x:c>
      <x:c r="K53" s="17" t="str">
        <x:v>NONE</x:v>
      </x:c>
      <x:c r="L53" s="17" t="str">
        <x:v>NEVER_RETURN; DTO白名单；对象归属校验先于查询结果返回</x:v>
      </x:c>
      <x:c r="M53" s="17" t="str">
        <x:v>金额字段整数分；服务端重算；禁止客户端提交供应价或结算快照</x:v>
      </x:c>
      <x:c r="N53" s="17" t="str">
        <x:v>P0-031</x:v>
      </x:c>
      <x:c r="O53" s="17" t="str">
        <x:v>PLANNED</x:v>
      </x:c>
      <x:c r="P53" s="17" t="str">
        <x:v>PLANNED</x:v>
      </x:c>
      <x:c r="Q53" s="17" t="str">
        <x:v>PLANNED</x:v>
      </x:c>
      <x:c r="R53" s="17" t="str">
        <x:v>TO_BE_CREATED</x:v>
      </x:c>
      <x:c r="S53" s="17" t="str">
        <x:v>UNASSIGNED</x:v>
      </x:c>
      <x:c r="T53" s="17" t="str">
        <x:v>路径为执行初始契约；阶段M*-000冻结后方可编码</x:v>
      </x:c>
    </x:row>
    <x:row r="54" ht="23" customHeight="1">
      <x:c r="A54" s="17" t="str">
        <x:v>API-053</x:v>
      </x:c>
      <x:c r="B54" s="17" t="str">
        <x:v>M3</x:v>
      </x:c>
      <x:c r="C54" s="17" t="str">
        <x:v>supplier-fulfillment</x:v>
      </x:c>
      <x:c r="D54" s="17" t="str">
        <x:v>POST</x:v>
      </x:c>
      <x:c r="E54" s="17" t="str">
        <x:v>/v1/supplier/fulfillment-sub-orders/{subOrderId}/nodes</x:v>
      </x:c>
      <x:c r="F54" s="17" t="str">
        <x:v>SUPPLIER_FULFILLMENT</x:v>
      </x:c>
      <x:c r="G54" s="17" t="str">
        <x:v>FulfillmentNodeRequest</x:v>
      </x:c>
      <x:c r="H54" s="17" t="str">
        <x:v>SupplierSubOrderResponse</x:v>
      </x:c>
      <x:c r="I54" s="17" t="str">
        <x:v>{success,data,error:{code,message,details?},requestId}</x:v>
      </x:c>
      <x:c r="J54" s="17" t="str">
        <x:v>STATE_TRANSITION_INVALID|SUPPLIER_SCOPE_FORBIDDEN</x:v>
      </x:c>
      <x:c r="K54" s="17" t="str">
        <x:v>Idempotency-Key</x:v>
      </x:c>
      <x:c r="L54" s="17" t="str">
        <x:v>NEVER_RETURN; DTO白名单；对象归属校验先于查询结果返回</x:v>
      </x:c>
      <x:c r="M54" s="17" t="str">
        <x:v>金额字段整数分；服务端重算；禁止客户端提交供应价或结算快照</x:v>
      </x:c>
      <x:c r="N54" s="17" t="str">
        <x:v>P0-031</x:v>
      </x:c>
      <x:c r="O54" s="17" t="str">
        <x:v>PLANNED</x:v>
      </x:c>
      <x:c r="P54" s="17" t="str">
        <x:v>PLANNED</x:v>
      </x:c>
      <x:c r="Q54" s="17" t="str">
        <x:v>PLANNED</x:v>
      </x:c>
      <x:c r="R54" s="17" t="str">
        <x:v>TO_BE_CREATED</x:v>
      </x:c>
      <x:c r="S54" s="17" t="str">
        <x:v>UNASSIGNED</x:v>
      </x:c>
      <x:c r="T54" s="17" t="str">
        <x:v>路径为执行初始契约；阶段M*-000冻结后方可编码</x:v>
      </x:c>
    </x:row>
    <x:row r="55" ht="23" customHeight="1">
      <x:c r="A55" s="17" t="str">
        <x:v>API-054</x:v>
      </x:c>
      <x:c r="B55" s="17" t="str">
        <x:v>M4</x:v>
      </x:c>
      <x:c r="C55" s="17" t="str">
        <x:v>runner-auth</x:v>
      </x:c>
      <x:c r="D55" s="17" t="str">
        <x:v>POST</x:v>
      </x:c>
      <x:c r="E55" s="17" t="str">
        <x:v>/v1/runner/applications</x:v>
      </x:c>
      <x:c r="F55" s="17" t="str">
        <x:v>PUBLIC</x:v>
      </x:c>
      <x:c r="G55" s="17" t="str">
        <x:v>RunnerApplicationRequest</x:v>
      </x:c>
      <x:c r="H55" s="17" t="str">
        <x:v>RunnerApplicationResponse</x:v>
      </x:c>
      <x:c r="I55" s="17" t="str">
        <x:v>{success,data,error:{code,message,details?},requestId}</x:v>
      </x:c>
      <x:c r="J55" s="17" t="str">
        <x:v>APPLICATION_DUPLICATE</x:v>
      </x:c>
      <x:c r="K55" s="17" t="str">
        <x:v>Idempotency-Key</x:v>
      </x:c>
      <x:c r="L55" s="17" t="str">
        <x:v>NEVER_RETURN; DTO白名单；对象归属校验先于查询结果返回</x:v>
      </x:c>
      <x:c r="M55" s="17" t="str">
        <x:v>N/A</x:v>
      </x:c>
      <x:c r="N55" s="17" t="str">
        <x:v>P0-100,P0-101</x:v>
      </x:c>
      <x:c r="O55" s="17" t="str">
        <x:v>PLANNED</x:v>
      </x:c>
      <x:c r="P55" s="17" t="str">
        <x:v>PLANNED</x:v>
      </x:c>
      <x:c r="Q55" s="17" t="str">
        <x:v>PLANNED</x:v>
      </x:c>
      <x:c r="R55" s="17" t="str">
        <x:v>TO_BE_CREATED</x:v>
      </x:c>
      <x:c r="S55" s="17" t="str">
        <x:v>UNASSIGNED</x:v>
      </x:c>
      <x:c r="T55" s="17" t="str">
        <x:v>路径为执行初始契约；阶段M*-000冻结后方可编码</x:v>
      </x:c>
    </x:row>
    <x:row r="56" ht="23" customHeight="1">
      <x:c r="A56" s="17" t="str">
        <x:v>API-055</x:v>
      </x:c>
      <x:c r="B56" s="17" t="str">
        <x:v>M4</x:v>
      </x:c>
      <x:c r="C56" s="17" t="str">
        <x:v>runner-auth</x:v>
      </x:c>
      <x:c r="D56" s="17" t="str">
        <x:v>POST</x:v>
      </x:c>
      <x:c r="E56" s="17" t="str">
        <x:v>/v1/runner-auth/wechat-login</x:v>
      </x:c>
      <x:c r="F56" s="17" t="str">
        <x:v>RUNNER</x:v>
      </x:c>
      <x:c r="G56" s="17" t="str">
        <x:v>RunnerWechatLoginRequest</x:v>
      </x:c>
      <x:c r="H56" s="17" t="str">
        <x:v>RunnerSessionResponse</x:v>
      </x:c>
      <x:c r="I56" s="17" t="str">
        <x:v>{success,data,error:{code,message,details?},requestId}</x:v>
      </x:c>
      <x:c r="J56" s="17" t="str">
        <x:v>RUNNER_NOT_APPROVED|RUNNER_SUSPENDED</x:v>
      </x:c>
      <x:c r="K56" s="17" t="str">
        <x:v>loginNonce</x:v>
      </x:c>
      <x:c r="L56" s="17" t="str">
        <x:v>NEVER_RETURN; DTO白名单；对象归属校验先于查询结果返回</x:v>
      </x:c>
      <x:c r="M56" s="17" t="str">
        <x:v>N/A</x:v>
      </x:c>
      <x:c r="N56" s="17" t="str">
        <x:v>P0-101</x:v>
      </x:c>
      <x:c r="O56" s="17" t="str">
        <x:v>PLANNED</x:v>
      </x:c>
      <x:c r="P56" s="17" t="str">
        <x:v>PLANNED</x:v>
      </x:c>
      <x:c r="Q56" s="17" t="str">
        <x:v>PLANNED</x:v>
      </x:c>
      <x:c r="R56" s="17" t="str">
        <x:v>TO_BE_CREATED</x:v>
      </x:c>
      <x:c r="S56" s="17" t="str">
        <x:v>UNASSIGNED</x:v>
      </x:c>
      <x:c r="T56" s="17" t="str">
        <x:v>路径为执行初始契约；阶段M*-000冻结后方可编码</x:v>
      </x:c>
    </x:row>
    <x:row r="57" ht="23" customHeight="1">
      <x:c r="A57" s="17" t="str">
        <x:v>API-056</x:v>
      </x:c>
      <x:c r="B57" s="17" t="str">
        <x:v>M4</x:v>
      </x:c>
      <x:c r="C57" s="17" t="str">
        <x:v>company-runner-review</x:v>
      </x:c>
      <x:c r="D57" s="17" t="str">
        <x:v>POST</x:v>
      </x:c>
      <x:c r="E57" s="17" t="str">
        <x:v>/v1/company/runner-applications/{applicationId}/review</x:v>
      </x:c>
      <x:c r="F57" s="17" t="str">
        <x:v>COMPANY_LOGISTICS</x:v>
      </x:c>
      <x:c r="G57" s="17" t="str">
        <x:v>RunnerApplicationReviewRequest</x:v>
      </x:c>
      <x:c r="H57" s="17" t="str">
        <x:v>RunnerApplicationResponse</x:v>
      </x:c>
      <x:c r="I57" s="17" t="str">
        <x:v>{success,data,error:{code,message,details?},requestId}</x:v>
      </x:c>
      <x:c r="J57" s="17" t="str">
        <x:v>APPROVAL_VERSION_CONFLICT</x:v>
      </x:c>
      <x:c r="K57" s="17" t="str">
        <x:v>Idempotency-Key</x:v>
      </x:c>
      <x:c r="L57" s="17" t="str">
        <x:v>NEVER_RETURN; DTO白名单；对象归属校验先于查询结果返回</x:v>
      </x:c>
      <x:c r="M57" s="17" t="str">
        <x:v>N/A</x:v>
      </x:c>
      <x:c r="N57" s="17" t="str">
        <x:v>P0-100</x:v>
      </x:c>
      <x:c r="O57" s="17" t="str">
        <x:v>PLANNED</x:v>
      </x:c>
      <x:c r="P57" s="17" t="str">
        <x:v>PLANNED</x:v>
      </x:c>
      <x:c r="Q57" s="17" t="str">
        <x:v>PLANNED</x:v>
      </x:c>
      <x:c r="R57" s="17" t="str">
        <x:v>TO_BE_CREATED</x:v>
      </x:c>
      <x:c r="S57" s="17" t="str">
        <x:v>UNASSIGNED</x:v>
      </x:c>
      <x:c r="T57" s="17" t="str">
        <x:v>路径为执行初始契约；阶段M*-000冻结后方可编码</x:v>
      </x:c>
    </x:row>
    <x:row r="58" ht="23" customHeight="1">
      <x:c r="A58" s="17" t="str">
        <x:v>API-057</x:v>
      </x:c>
      <x:c r="B58" s="17" t="str">
        <x:v>M4</x:v>
      </x:c>
      <x:c r="C58" s="17" t="str">
        <x:v>runner-tasks</x:v>
      </x:c>
      <x:c r="D58" s="17" t="str">
        <x:v>GET</x:v>
      </x:c>
      <x:c r="E58" s="17" t="str">
        <x:v>/v1/runner/task-hall</x:v>
      </x:c>
      <x:c r="F58" s="17" t="str">
        <x:v>RUNNER</x:v>
      </x:c>
      <x:c r="G58" s="17" t="str">
        <x:v>TaskHallQuery</x:v>
      </x:c>
      <x:c r="H58" s="17" t="str">
        <x:v>TaskHallPageResponse</x:v>
      </x:c>
      <x:c r="I58" s="17" t="str">
        <x:v>{success,data,error:{code,message,details?},requestId}</x:v>
      </x:c>
      <x:c r="J58" s="17" t="str">
        <x:v>RUNNER_OFFLINE|SERVICE_AREA_FORBIDDEN</x:v>
      </x:c>
      <x:c r="K58" s="17" t="str">
        <x:v>NONE</x:v>
      </x:c>
      <x:c r="L58" s="17" t="str">
        <x:v>NEVER_RETURN; DTO白名单；对象归属校验先于查询结果返回</x:v>
      </x:c>
      <x:c r="M58" s="17" t="str">
        <x:v>N/A</x:v>
      </x:c>
      <x:c r="N58" s="17" t="str">
        <x:v>P0-103,P0-104</x:v>
      </x:c>
      <x:c r="O58" s="17" t="str">
        <x:v>PLANNED</x:v>
      </x:c>
      <x:c r="P58" s="17" t="str">
        <x:v>PLANNED</x:v>
      </x:c>
      <x:c r="Q58" s="17" t="str">
        <x:v>PLANNED</x:v>
      </x:c>
      <x:c r="R58" s="17" t="str">
        <x:v>TO_BE_CREATED</x:v>
      </x:c>
      <x:c r="S58" s="17" t="str">
        <x:v>UNASSIGNED</x:v>
      </x:c>
      <x:c r="T58" s="17" t="str">
        <x:v>路径为执行初始契约；阶段M*-000冻结后方可编码</x:v>
      </x:c>
    </x:row>
    <x:row r="59" ht="23" customHeight="1">
      <x:c r="A59" s="17" t="str">
        <x:v>API-058</x:v>
      </x:c>
      <x:c r="B59" s="17" t="str">
        <x:v>M4</x:v>
      </x:c>
      <x:c r="C59" s="17" t="str">
        <x:v>runner-tasks</x:v>
      </x:c>
      <x:c r="D59" s="17" t="str">
        <x:v>POST</x:v>
      </x:c>
      <x:c r="E59" s="17" t="str">
        <x:v>/v1/runner/tasks/{taskId}/claim</x:v>
      </x:c>
      <x:c r="F59" s="17" t="str">
        <x:v>RUNNER</x:v>
      </x:c>
      <x:c r="G59" s="17" t="str">
        <x:v>ClaimTaskRequest</x:v>
      </x:c>
      <x:c r="H59" s="17" t="str">
        <x:v>RunnerTaskResponse</x:v>
      </x:c>
      <x:c r="I59" s="17" t="str">
        <x:v>{success,data,error:{code,message,details?},requestId}</x:v>
      </x:c>
      <x:c r="J59" s="17" t="str">
        <x:v>TASK_ALREADY_CLAIMED|CLAIM_RESULT_UNKNOWN</x:v>
      </x:c>
      <x:c r="K59" s="17" t="str">
        <x:v>Idempotency-Key</x:v>
      </x:c>
      <x:c r="L59" s="17" t="str">
        <x:v>NEVER_RETURN; DTO白名单；对象归属校验先于查询结果返回</x:v>
      </x:c>
      <x:c r="M59" s="17" t="str">
        <x:v>N/A</x:v>
      </x:c>
      <x:c r="N59" s="17" t="str">
        <x:v>P0-105</x:v>
      </x:c>
      <x:c r="O59" s="17" t="str">
        <x:v>PLANNED</x:v>
      </x:c>
      <x:c r="P59" s="17" t="str">
        <x:v>PLANNED</x:v>
      </x:c>
      <x:c r="Q59" s="17" t="str">
        <x:v>PLANNED</x:v>
      </x:c>
      <x:c r="R59" s="17" t="str">
        <x:v>TO_BE_CREATED</x:v>
      </x:c>
      <x:c r="S59" s="17" t="str">
        <x:v>UNASSIGNED</x:v>
      </x:c>
      <x:c r="T59" s="17" t="str">
        <x:v>路径为执行初始契约；阶段M*-000冻结后方可编码</x:v>
      </x:c>
    </x:row>
    <x:row r="60" ht="23" customHeight="1">
      <x:c r="A60" s="17" t="str">
        <x:v>API-059</x:v>
      </x:c>
      <x:c r="B60" s="17" t="str">
        <x:v>M4</x:v>
      </x:c>
      <x:c r="C60" s="17" t="str">
        <x:v>runner-tasks</x:v>
      </x:c>
      <x:c r="D60" s="17" t="str">
        <x:v>GET</x:v>
      </x:c>
      <x:c r="E60" s="17" t="str">
        <x:v>/v1/runner/tasks/{taskId}</x:v>
      </x:c>
      <x:c r="F60" s="17" t="str">
        <x:v>ASSIGNED_RUNNER</x:v>
      </x:c>
      <x:c r="G60" s="17" t="str">
        <x:v>None</x:v>
      </x:c>
      <x:c r="H60" s="17" t="str">
        <x:v>RunnerTaskDetailResponse</x:v>
      </x:c>
      <x:c r="I60" s="17" t="str">
        <x:v>{success,data,error:{code,message,details?},requestId}</x:v>
      </x:c>
      <x:c r="J60" s="17" t="str">
        <x:v>TASK_ACCESS_REVOKED</x:v>
      </x:c>
      <x:c r="K60" s="17" t="str">
        <x:v>NONE</x:v>
      </x:c>
      <x:c r="L60" s="17" t="str">
        <x:v>NEVER_RETURN; DTO白名单；对象归属校验先于查询结果返回</x:v>
      </x:c>
      <x:c r="M60" s="17" t="str">
        <x:v>N/A</x:v>
      </x:c>
      <x:c r="N60" s="17" t="str">
        <x:v>P0-106,P0-108,P0-111</x:v>
      </x:c>
      <x:c r="O60" s="17" t="str">
        <x:v>PLANNED</x:v>
      </x:c>
      <x:c r="P60" s="17" t="str">
        <x:v>PLANNED</x:v>
      </x:c>
      <x:c r="Q60" s="17" t="str">
        <x:v>PLANNED</x:v>
      </x:c>
      <x:c r="R60" s="17" t="str">
        <x:v>TO_BE_CREATED</x:v>
      </x:c>
      <x:c r="S60" s="17" t="str">
        <x:v>UNASSIGNED</x:v>
      </x:c>
      <x:c r="T60" s="17" t="str">
        <x:v>路径为执行初始契约；阶段M*-000冻结后方可编码</x:v>
      </x:c>
    </x:row>
    <x:row r="61" ht="23" customHeight="1">
      <x:c r="A61" s="17" t="str">
        <x:v>API-060</x:v>
      </x:c>
      <x:c r="B61" s="17" t="str">
        <x:v>M4</x:v>
      </x:c>
      <x:c r="C61" s="17" t="str">
        <x:v>runner-tasks</x:v>
      </x:c>
      <x:c r="D61" s="17" t="str">
        <x:v>POST</x:v>
      </x:c>
      <x:c r="E61" s="17" t="str">
        <x:v>/v1/runner/tasks/{taskId}/nodes</x:v>
      </x:c>
      <x:c r="F61" s="17" t="str">
        <x:v>ASSIGNED_RUNNER</x:v>
      </x:c>
      <x:c r="G61" s="17" t="str">
        <x:v>DeliveryNodeRequest</x:v>
      </x:c>
      <x:c r="H61" s="17" t="str">
        <x:v>RunnerTaskResponse</x:v>
      </x:c>
      <x:c r="I61" s="17" t="str">
        <x:v>{success,data,error:{code,message,details?},requestId}</x:v>
      </x:c>
      <x:c r="J61" s="17" t="str">
        <x:v>STATE_TRANSITION_INVALID|TASK_ACCESS_REVOKED</x:v>
      </x:c>
      <x:c r="K61" s="17" t="str">
        <x:v>Idempotency-Key</x:v>
      </x:c>
      <x:c r="L61" s="17" t="str">
        <x:v>NEVER_RETURN; DTO白名单；对象归属校验先于查询结果返回</x:v>
      </x:c>
      <x:c r="M61" s="17" t="str">
        <x:v>N/A</x:v>
      </x:c>
      <x:c r="N61" s="17" t="str">
        <x:v>P0-107</x:v>
      </x:c>
      <x:c r="O61" s="17" t="str">
        <x:v>PLANNED</x:v>
      </x:c>
      <x:c r="P61" s="17" t="str">
        <x:v>PLANNED</x:v>
      </x:c>
      <x:c r="Q61" s="17" t="str">
        <x:v>PLANNED</x:v>
      </x:c>
      <x:c r="R61" s="17" t="str">
        <x:v>TO_BE_CREATED</x:v>
      </x:c>
      <x:c r="S61" s="17" t="str">
        <x:v>UNASSIGNED</x:v>
      </x:c>
      <x:c r="T61" s="17" t="str">
        <x:v>路径为执行初始契约；阶段M*-000冻结后方可编码</x:v>
      </x:c>
    </x:row>
    <x:row r="62" ht="23" customHeight="1">
      <x:c r="A62" s="17" t="str">
        <x:v>API-061</x:v>
      </x:c>
      <x:c r="B62" s="17" t="str">
        <x:v>M4</x:v>
      </x:c>
      <x:c r="C62" s="17" t="str">
        <x:v>runner-tasks</x:v>
      </x:c>
      <x:c r="D62" s="17" t="str">
        <x:v>POST</x:v>
      </x:c>
      <x:c r="E62" s="17" t="str">
        <x:v>/v1/runner/tasks/{taskId}/exceptions</x:v>
      </x:c>
      <x:c r="F62" s="17" t="str">
        <x:v>ASSIGNED_RUNNER</x:v>
      </x:c>
      <x:c r="G62" s="17" t="str">
        <x:v>DeliveryExceptionRequest</x:v>
      </x:c>
      <x:c r="H62" s="17" t="str">
        <x:v>DeliveryExceptionResponse</x:v>
      </x:c>
      <x:c r="I62" s="17" t="str">
        <x:v>{success,data,error:{code,message,details?},requestId}</x:v>
      </x:c>
      <x:c r="J62" s="17" t="str">
        <x:v>TASK_ACCESS_REVOKED</x:v>
      </x:c>
      <x:c r="K62" s="17" t="str">
        <x:v>Idempotency-Key</x:v>
      </x:c>
      <x:c r="L62" s="17" t="str">
        <x:v>NEVER_RETURN; DTO白名单；对象归属校验先于查询结果返回</x:v>
      </x:c>
      <x:c r="M62" s="17" t="str">
        <x:v>N/A</x:v>
      </x:c>
      <x:c r="N62" s="17" t="str">
        <x:v>P0-109</x:v>
      </x:c>
      <x:c r="O62" s="17" t="str">
        <x:v>PLANNED</x:v>
      </x:c>
      <x:c r="P62" s="17" t="str">
        <x:v>PLANNED</x:v>
      </x:c>
      <x:c r="Q62" s="17" t="str">
        <x:v>PLANNED</x:v>
      </x:c>
      <x:c r="R62" s="17" t="str">
        <x:v>TO_BE_CREATED</x:v>
      </x:c>
      <x:c r="S62" s="17" t="str">
        <x:v>UNASSIGNED</x:v>
      </x:c>
      <x:c r="T62" s="17" t="str">
        <x:v>路径为执行初始契约；阶段M*-000冻结后方可编码</x:v>
      </x:c>
    </x:row>
    <x:row r="63" ht="23" customHeight="1">
      <x:c r="A63" s="17" t="str">
        <x:v>API-062</x:v>
      </x:c>
      <x:c r="B63" s="17" t="str">
        <x:v>M4</x:v>
      </x:c>
      <x:c r="C63" s="17" t="str">
        <x:v>runner-tasks</x:v>
      </x:c>
      <x:c r="D63" s="17" t="str">
        <x:v>POST</x:v>
      </x:c>
      <x:c r="E63" s="17" t="str">
        <x:v>/v1/runner/tasks/{taskId}/navigation-token</x:v>
      </x:c>
      <x:c r="F63" s="17" t="str">
        <x:v>ASSIGNED_RUNNER</x:v>
      </x:c>
      <x:c r="G63" s="17" t="str">
        <x:v>NavigationTargetRequest</x:v>
      </x:c>
      <x:c r="H63" s="17" t="str">
        <x:v>NavigationTargetResponse</x:v>
      </x:c>
      <x:c r="I63" s="17" t="str">
        <x:v>{success,data,error:{code,message,details?},requestId}</x:v>
      </x:c>
      <x:c r="J63" s="17" t="str">
        <x:v>NAVIGATION_PHASE_INVALID|TASK_ACCESS_REVOKED</x:v>
      </x:c>
      <x:c r="K63" s="17" t="str">
        <x:v>Idempotency-Key</x:v>
      </x:c>
      <x:c r="L63" s="17" t="str">
        <x:v>NEVER_RETURN; DTO白名单；对象归属校验先于查询结果返回</x:v>
      </x:c>
      <x:c r="M63" s="17" t="str">
        <x:v>N/A</x:v>
      </x:c>
      <x:c r="N63" s="17" t="str">
        <x:v>P0-108</x:v>
      </x:c>
      <x:c r="O63" s="17" t="str">
        <x:v>PLANNED</x:v>
      </x:c>
      <x:c r="P63" s="17" t="str">
        <x:v>PLANNED</x:v>
      </x:c>
      <x:c r="Q63" s="17" t="str">
        <x:v>PLANNED</x:v>
      </x:c>
      <x:c r="R63" s="17" t="str">
        <x:v>TO_BE_CREATED</x:v>
      </x:c>
      <x:c r="S63" s="17" t="str">
        <x:v>UNASSIGNED</x:v>
      </x:c>
      <x:c r="T63" s="17" t="str">
        <x:v>路径为执行初始契约；阶段M*-000冻结后方可编码</x:v>
      </x:c>
    </x:row>
    <x:row r="64" ht="23" customHeight="1">
      <x:c r="A64" s="17" t="str">
        <x:v>API-063</x:v>
      </x:c>
      <x:c r="B64" s="17" t="str">
        <x:v>M4</x:v>
      </x:c>
      <x:c r="C64" s="17" t="str">
        <x:v>company-logistics</x:v>
      </x:c>
      <x:c r="D64" s="17" t="str">
        <x:v>POST</x:v>
      </x:c>
      <x:c r="E64" s="17" t="str">
        <x:v>/v1/company/retail-delivery-tasks/{taskId}/publish</x:v>
      </x:c>
      <x:c r="F64" s="17" t="str">
        <x:v>COMPANY_LOGISTICS</x:v>
      </x:c>
      <x:c r="G64" s="17" t="str">
        <x:v>PublishTaskRequest</x:v>
      </x:c>
      <x:c r="H64" s="17" t="str">
        <x:v>DeliveryTaskResponse</x:v>
      </x:c>
      <x:c r="I64" s="17" t="str">
        <x:v>{success,data,error:{code,message,details?},requestId}</x:v>
      </x:c>
      <x:c r="J64" s="17" t="str">
        <x:v>ENTERPRISE_TASK_HALL_FORBIDDEN</x:v>
      </x:c>
      <x:c r="K64" s="17" t="str">
        <x:v>Idempotency-Key</x:v>
      </x:c>
      <x:c r="L64" s="17" t="str">
        <x:v>NEVER_RETURN; DTO白名单；对象归属校验先于查询结果返回</x:v>
      </x:c>
      <x:c r="M64" s="17" t="str">
        <x:v>N/A</x:v>
      </x:c>
      <x:c r="N64" s="17" t="str">
        <x:v>P0-102,P0-103</x:v>
      </x:c>
      <x:c r="O64" s="17" t="str">
        <x:v>PLANNED</x:v>
      </x:c>
      <x:c r="P64" s="17" t="str">
        <x:v>PLANNED</x:v>
      </x:c>
      <x:c r="Q64" s="17" t="str">
        <x:v>PLANNED</x:v>
      </x:c>
      <x:c r="R64" s="17" t="str">
        <x:v>TO_BE_CREATED</x:v>
      </x:c>
      <x:c r="S64" s="17" t="str">
        <x:v>UNASSIGNED</x:v>
      </x:c>
      <x:c r="T64" s="17" t="str">
        <x:v>路径为执行初始契约；阶段M*-000冻结后方可编码</x:v>
      </x:c>
    </x:row>
    <x:row r="65" ht="23" customHeight="1">
      <x:c r="A65" s="17" t="str">
        <x:v>API-064</x:v>
      </x:c>
      <x:c r="B65" s="17" t="str">
        <x:v>M4</x:v>
      </x:c>
      <x:c r="C65" s="17" t="str">
        <x:v>company-logistics</x:v>
      </x:c>
      <x:c r="D65" s="17" t="str">
        <x:v>POST</x:v>
      </x:c>
      <x:c r="E65" s="17" t="str">
        <x:v>/v1/company/retail-delivery-tasks/{taskId}/reassign</x:v>
      </x:c>
      <x:c r="F65" s="17" t="str">
        <x:v>COMPANY_LOGISTICS</x:v>
      </x:c>
      <x:c r="G65" s="17" t="str">
        <x:v>ReassignTaskRequest</x:v>
      </x:c>
      <x:c r="H65" s="17" t="str">
        <x:v>DeliveryTaskResponse</x:v>
      </x:c>
      <x:c r="I65" s="17" t="str">
        <x:v>{success,data,error:{code,message,details?},requestId}</x:v>
      </x:c>
      <x:c r="J65" s="17" t="str">
        <x:v>REASSIGNMENT_NOT_ALLOWED</x:v>
      </x:c>
      <x:c r="K65" s="17" t="str">
        <x:v>Idempotency-Key</x:v>
      </x:c>
      <x:c r="L65" s="17" t="str">
        <x:v>NEVER_RETURN; DTO白名单；对象归属校验先于查询结果返回</x:v>
      </x:c>
      <x:c r="M65" s="17" t="str">
        <x:v>N/A</x:v>
      </x:c>
      <x:c r="N65" s="17" t="str">
        <x:v>P0-110</x:v>
      </x:c>
      <x:c r="O65" s="17" t="str">
        <x:v>PLANNED</x:v>
      </x:c>
      <x:c r="P65" s="17" t="str">
        <x:v>PLANNED</x:v>
      </x:c>
      <x:c r="Q65" s="17" t="str">
        <x:v>PLANNED</x:v>
      </x:c>
      <x:c r="R65" s="17" t="str">
        <x:v>TO_BE_CREATED</x:v>
      </x:c>
      <x:c r="S65" s="17" t="str">
        <x:v>UNASSIGNED</x:v>
      </x:c>
      <x:c r="T65" s="17" t="str">
        <x:v>路径为执行初始契约；阶段M*-000冻结后方可编码</x:v>
      </x:c>
    </x:row>
    <x:row r="66" ht="23" customHeight="1">
      <x:c r="A66" s="17" t="str">
        <x:v>API-065</x:v>
      </x:c>
      <x:c r="B66" s="17" t="str">
        <x:v>M4</x:v>
      </x:c>
      <x:c r="C66" s="17" t="str">
        <x:v>enterprise-logistics</x:v>
      </x:c>
      <x:c r="D66" s="17" t="str">
        <x:v>POST</x:v>
      </x:c>
      <x:c r="E66" s="17" t="str">
        <x:v>/v1/company/enterprise-deliveries</x:v>
      </x:c>
      <x:c r="F66" s="17" t="str">
        <x:v>COMPANY_LOGISTICS</x:v>
      </x:c>
      <x:c r="G66" s="17" t="str">
        <x:v>EnterpriseDeliveryCreateRequest</x:v>
      </x:c>
      <x:c r="H66" s="17" t="str">
        <x:v>EnterpriseDeliveryResponse</x:v>
      </x:c>
      <x:c r="I66" s="17" t="str">
        <x:v>{success,data,error:{code,message,details?},requestId}</x:v>
      </x:c>
      <x:c r="J66" s="17" t="str">
        <x:v>ENTERPRISE_ORDER_REQUIRED|DELIVERY_ITEM_INVALID</x:v>
      </x:c>
      <x:c r="K66" s="17" t="str">
        <x:v>Idempotency-Key</x:v>
      </x:c>
      <x:c r="L66" s="17" t="str">
        <x:v>NEVER_RETURN; DTO白名单；对象归属校验先于查询结果返回</x:v>
      </x:c>
      <x:c r="M66" s="17" t="str">
        <x:v>N/A</x:v>
      </x:c>
      <x:c r="N66" s="17" t="str">
        <x:v>P0-064,P0-115,P0-116</x:v>
      </x:c>
      <x:c r="O66" s="17" t="str">
        <x:v>PLANNED</x:v>
      </x:c>
      <x:c r="P66" s="17" t="str">
        <x:v>PLANNED</x:v>
      </x:c>
      <x:c r="Q66" s="17" t="str">
        <x:v>PLANNED</x:v>
      </x:c>
      <x:c r="R66" s="17" t="str">
        <x:v>TO_BE_CREATED</x:v>
      </x:c>
      <x:c r="S66" s="17" t="str">
        <x:v>UNASSIGNED</x:v>
      </x:c>
      <x:c r="T66" s="17" t="str">
        <x:v>路径为执行初始契约；阶段M*-000冻结后方可编码</x:v>
      </x:c>
    </x:row>
    <x:row r="67" ht="23" customHeight="1">
      <x:c r="A67" s="17" t="str">
        <x:v>API-066</x:v>
      </x:c>
      <x:c r="B67" s="17" t="str">
        <x:v>M4</x:v>
      </x:c>
      <x:c r="C67" s="17" t="str">
        <x:v>enterprise-logistics</x:v>
      </x:c>
      <x:c r="D67" s="17" t="str">
        <x:v>POST</x:v>
      </x:c>
      <x:c r="E67" s="17" t="str">
        <x:v>/v1/company/enterprise-deliveries/{deliveryId}/assign</x:v>
      </x:c>
      <x:c r="F67" s="17" t="str">
        <x:v>COMPANY_LOGISTICS</x:v>
      </x:c>
      <x:c r="G67" s="17" t="str">
        <x:v>EnterpriseDeliveryAssignRequest</x:v>
      </x:c>
      <x:c r="H67" s="17" t="str">
        <x:v>EnterpriseDeliveryResponse</x:v>
      </x:c>
      <x:c r="I67" s="17" t="str">
        <x:v>{success,data,error:{code,message,details?},requestId}</x:v>
      </x:c>
      <x:c r="J67" s="17" t="str">
        <x:v>RESOURCE_NOT_ACTIVE</x:v>
      </x:c>
      <x:c r="K67" s="17" t="str">
        <x:v>Idempotency-Key</x:v>
      </x:c>
      <x:c r="L67" s="17" t="str">
        <x:v>NEVER_RETURN; DTO白名单；对象归属校验先于查询结果返回</x:v>
      </x:c>
      <x:c r="M67" s="17" t="str">
        <x:v>N/A</x:v>
      </x:c>
      <x:c r="N67" s="17" t="str">
        <x:v>P0-118</x:v>
      </x:c>
      <x:c r="O67" s="17" t="str">
        <x:v>PLANNED</x:v>
      </x:c>
      <x:c r="P67" s="17" t="str">
        <x:v>PLANNED</x:v>
      </x:c>
      <x:c r="Q67" s="17" t="str">
        <x:v>PLANNED</x:v>
      </x:c>
      <x:c r="R67" s="17" t="str">
        <x:v>TO_BE_CREATED</x:v>
      </x:c>
      <x:c r="S67" s="17" t="str">
        <x:v>UNASSIGNED</x:v>
      </x:c>
      <x:c r="T67" s="17" t="str">
        <x:v>路径为执行初始契约；阶段M*-000冻结后方可编码</x:v>
      </x:c>
    </x:row>
    <x:row r="68" ht="23" customHeight="1">
      <x:c r="A68" s="17" t="str">
        <x:v>API-067</x:v>
      </x:c>
      <x:c r="B68" s="17" t="str">
        <x:v>M4</x:v>
      </x:c>
      <x:c r="C68" s="17" t="str">
        <x:v>enterprise-logistics</x:v>
      </x:c>
      <x:c r="D68" s="17" t="str">
        <x:v>POST</x:v>
      </x:c>
      <x:c r="E68" s="17" t="str">
        <x:v>/v1/company/enterprise-deliveries/{deliveryId}/nodes</x:v>
      </x:c>
      <x:c r="F68" s="17" t="str">
        <x:v>COMPANY_DELIVERY_EXECUTOR</x:v>
      </x:c>
      <x:c r="G68" s="17" t="str">
        <x:v>EnterpriseDeliveryNodeRequest</x:v>
      </x:c>
      <x:c r="H68" s="17" t="str">
        <x:v>EnterpriseDeliveryResponse</x:v>
      </x:c>
      <x:c r="I68" s="17" t="str">
        <x:v>{success,data,error:{code,message,details?},requestId}</x:v>
      </x:c>
      <x:c r="J68" s="17" t="str">
        <x:v>STATE_TRANSITION_INVALID|EXECUTOR_SCOPE_FORBIDDEN</x:v>
      </x:c>
      <x:c r="K68" s="17" t="str">
        <x:v>Idempotency-Key</x:v>
      </x:c>
      <x:c r="L68" s="17" t="str">
        <x:v>NEVER_RETURN; DTO白名单；对象归属校验先于查询结果返回</x:v>
      </x:c>
      <x:c r="M68" s="17" t="str">
        <x:v>N/A</x:v>
      </x:c>
      <x:c r="N68" s="17" t="str">
        <x:v>P0-118,P0-119</x:v>
      </x:c>
      <x:c r="O68" s="17" t="str">
        <x:v>PLANNED</x:v>
      </x:c>
      <x:c r="P68" s="17" t="str">
        <x:v>PLANNED</x:v>
      </x:c>
      <x:c r="Q68" s="17" t="str">
        <x:v>PLANNED</x:v>
      </x:c>
      <x:c r="R68" s="17" t="str">
        <x:v>TO_BE_CREATED</x:v>
      </x:c>
      <x:c r="S68" s="17" t="str">
        <x:v>UNASSIGNED</x:v>
      </x:c>
      <x:c r="T68" s="17" t="str">
        <x:v>路径为执行初始契约；阶段M*-000冻结后方可编码</x:v>
      </x:c>
    </x:row>
    <x:row r="69" ht="23" customHeight="1">
      <x:c r="A69" s="17" t="str">
        <x:v>API-068</x:v>
      </x:c>
      <x:c r="B69" s="17" t="str">
        <x:v>M4</x:v>
      </x:c>
      <x:c r="C69" s="17" t="str">
        <x:v>enterprise-logistics</x:v>
      </x:c>
      <x:c r="D69" s="17" t="str">
        <x:v>POST</x:v>
      </x:c>
      <x:c r="E69" s="17" t="str">
        <x:v>/v1/enterprise/deliveries/{deliveryId}/receipt</x:v>
      </x:c>
      <x:c r="F69" s="17" t="str">
        <x:v>ENTERPRISE_PURCHASER</x:v>
      </x:c>
      <x:c r="G69" s="17" t="str">
        <x:v>EnterpriseReceiptRequest</x:v>
      </x:c>
      <x:c r="H69" s="17" t="str">
        <x:v>EnterpriseDeliveryResponse</x:v>
      </x:c>
      <x:c r="I69" s="17" t="str">
        <x:v>{success,data,error:{code,message,details?},requestId}</x:v>
      </x:c>
      <x:c r="J69" s="17" t="str">
        <x:v>RECEIPT_QUANTITY_INVALID|ENTERPRISE_SCOPE_FORBIDDEN</x:v>
      </x:c>
      <x:c r="K69" s="17" t="str">
        <x:v>Idempotency-Key</x:v>
      </x:c>
      <x:c r="L69" s="17" t="str">
        <x:v>NEVER_RETURN; DTO白名单；对象归属校验先于查询结果返回</x:v>
      </x:c>
      <x:c r="M69" s="17" t="str">
        <x:v>N/A</x:v>
      </x:c>
      <x:c r="N69" s="17" t="str">
        <x:v>P0-117,P0-119</x:v>
      </x:c>
      <x:c r="O69" s="17" t="str">
        <x:v>PLANNED</x:v>
      </x:c>
      <x:c r="P69" s="17" t="str">
        <x:v>PLANNED</x:v>
      </x:c>
      <x:c r="Q69" s="17" t="str">
        <x:v>PLANNED</x:v>
      </x:c>
      <x:c r="R69" s="17" t="str">
        <x:v>TO_BE_CREATED</x:v>
      </x:c>
      <x:c r="S69" s="17" t="str">
        <x:v>UNASSIGNED</x:v>
      </x:c>
      <x:c r="T69" s="17" t="str">
        <x:v>路径为执行初始契约；阶段M*-000冻结后方可编码</x:v>
      </x:c>
    </x:row>
    <x:row r="70" ht="23" customHeight="1">
      <x:c r="A70" s="17" t="str">
        <x:v>API-069</x:v>
      </x:c>
      <x:c r="B70" s="17" t="str">
        <x:v>M5</x:v>
      </x:c>
      <x:c r="C70" s="17" t="str">
        <x:v>aftersales</x:v>
      </x:c>
      <x:c r="D70" s="17" t="str">
        <x:v>POST</x:v>
      </x:c>
      <x:c r="E70" s="17" t="str">
        <x:v>/v1/consumer/aftersales</x:v>
      </x:c>
      <x:c r="F70" s="17" t="str">
        <x:v>CONSUMER</x:v>
      </x:c>
      <x:c r="G70" s="17" t="str">
        <x:v>AfterSaleCreateRequest</x:v>
      </x:c>
      <x:c r="H70" s="17" t="str">
        <x:v>AfterSaleResponse</x:v>
      </x:c>
      <x:c r="I70" s="17" t="str">
        <x:v>{success,data,error:{code,message,details?},requestId}</x:v>
      </x:c>
      <x:c r="J70" s="17" t="str">
        <x:v>AFTERSALE_QUANTITY_INVALID|AFTERSALE_WINDOW_CLOSED</x:v>
      </x:c>
      <x:c r="K70" s="17" t="str">
        <x:v>Idempotency-Key</x:v>
      </x:c>
      <x:c r="L70" s="17" t="str">
        <x:v>NEVER_RETURN; DTO白名单；对象归属校验先于查询结果返回</x:v>
      </x:c>
      <x:c r="M70" s="17" t="str">
        <x:v>金额字段整数分；服务端重算；禁止客户端提交供应价或结算快照</x:v>
      </x:c>
      <x:c r="N70" s="17" t="str">
        <x:v>P0-038,P0-096</x:v>
      </x:c>
      <x:c r="O70" s="17" t="str">
        <x:v>PLANNED</x:v>
      </x:c>
      <x:c r="P70" s="17" t="str">
        <x:v>PLANNED</x:v>
      </x:c>
      <x:c r="Q70" s="17" t="str">
        <x:v>PLANNED</x:v>
      </x:c>
      <x:c r="R70" s="17" t="str">
        <x:v>TO_BE_CREATED</x:v>
      </x:c>
      <x:c r="S70" s="17" t="str">
        <x:v>UNASSIGNED</x:v>
      </x:c>
      <x:c r="T70" s="17" t="str">
        <x:v>路径为执行初始契约；阶段M*-000冻结后方可编码</x:v>
      </x:c>
    </x:row>
    <x:row r="71" ht="23" customHeight="1">
      <x:c r="A71" s="17" t="str">
        <x:v>API-070</x:v>
      </x:c>
      <x:c r="B71" s="17" t="str">
        <x:v>M5</x:v>
      </x:c>
      <x:c r="C71" s="17" t="str">
        <x:v>aftersales</x:v>
      </x:c>
      <x:c r="D71" s="17" t="str">
        <x:v>POST</x:v>
      </x:c>
      <x:c r="E71" s="17" t="str">
        <x:v>/v1/supplier/aftersales/{afterSaleId}/evidence</x:v>
      </x:c>
      <x:c r="F71" s="17" t="str">
        <x:v>SUPPLIER_AFTERSALES</x:v>
      </x:c>
      <x:c r="G71" s="17" t="str">
        <x:v>SupplierEvidenceRequest</x:v>
      </x:c>
      <x:c r="H71" s="17" t="str">
        <x:v>AfterSaleResponse</x:v>
      </x:c>
      <x:c r="I71" s="17" t="str">
        <x:v>{success,data,error:{code,message,details?},requestId}</x:v>
      </x:c>
      <x:c r="J71" s="17" t="str">
        <x:v>SUPPLIER_SCOPE_FORBIDDEN</x:v>
      </x:c>
      <x:c r="K71" s="17" t="str">
        <x:v>Idempotency-Key</x:v>
      </x:c>
      <x:c r="L71" s="17" t="str">
        <x:v>NEVER_RETURN; DTO白名单；对象归属校验先于查询结果返回</x:v>
      </x:c>
      <x:c r="M71" s="17" t="str">
        <x:v>金额字段整数分；服务端重算；禁止客户端提交供应价或结算快照</x:v>
      </x:c>
      <x:c r="N71" s="17" t="str">
        <x:v>P0-039</x:v>
      </x:c>
      <x:c r="O71" s="17" t="str">
        <x:v>PLANNED</x:v>
      </x:c>
      <x:c r="P71" s="17" t="str">
        <x:v>PLANNED</x:v>
      </x:c>
      <x:c r="Q71" s="17" t="str">
        <x:v>PLANNED</x:v>
      </x:c>
      <x:c r="R71" s="17" t="str">
        <x:v>TO_BE_CREATED</x:v>
      </x:c>
      <x:c r="S71" s="17" t="str">
        <x:v>UNASSIGNED</x:v>
      </x:c>
      <x:c r="T71" s="17" t="str">
        <x:v>路径为执行初始契约；阶段M*-000冻结后方可编码</x:v>
      </x:c>
    </x:row>
    <x:row r="72" ht="23" customHeight="1">
      <x:c r="A72" s="17" t="str">
        <x:v>API-071</x:v>
      </x:c>
      <x:c r="B72" s="17" t="str">
        <x:v>M5</x:v>
      </x:c>
      <x:c r="C72" s="17" t="str">
        <x:v>statements</x:v>
      </x:c>
      <x:c r="D72" s="17" t="str">
        <x:v>POST</x:v>
      </x:c>
      <x:c r="E72" s="17" t="str">
        <x:v>/v1/company/supplier-statements/generate</x:v>
      </x:c>
      <x:c r="F72" s="17" t="str">
        <x:v>COMPANY_FINANCE</x:v>
      </x:c>
      <x:c r="G72" s="17" t="str">
        <x:v>StatementGenerateRequest</x:v>
      </x:c>
      <x:c r="H72" s="17" t="str">
        <x:v>SupplierStatementResponse</x:v>
      </x:c>
      <x:c r="I72" s="17" t="str">
        <x:v>{success,data,error:{code,message,details?},requestId}</x:v>
      </x:c>
      <x:c r="J72" s="17" t="str">
        <x:v>STATEMENT_PERIOD_OVERLAP|STATEMENT_SNAPSHOT_INVALID</x:v>
      </x:c>
      <x:c r="K72" s="17" t="str">
        <x:v>Idempotency-Key</x:v>
      </x:c>
      <x:c r="L72" s="17" t="str">
        <x:v>ROLE_AND_SUPPLIER_SCOPE_WHITELIST; DTO白名单；对象归属校验先于查询结果返回</x:v>
      </x:c>
      <x:c r="M72" s="17" t="str">
        <x:v>金额字段整数分；服务端重算；禁止客户端提交供应价或结算快照</x:v>
      </x:c>
      <x:c r="N72" s="17" t="str">
        <x:v>P0-040,P0-065</x:v>
      </x:c>
      <x:c r="O72" s="17" t="str">
        <x:v>PLANNED</x:v>
      </x:c>
      <x:c r="P72" s="17" t="str">
        <x:v>PLANNED</x:v>
      </x:c>
      <x:c r="Q72" s="17" t="str">
        <x:v>PLANNED</x:v>
      </x:c>
      <x:c r="R72" s="17" t="str">
        <x:v>TO_BE_CREATED</x:v>
      </x:c>
      <x:c r="S72" s="17" t="str">
        <x:v>UNASSIGNED</x:v>
      </x:c>
      <x:c r="T72" s="17" t="str">
        <x:v>路径为执行初始契约；阶段M*-000冻结后方可编码</x:v>
      </x:c>
    </x:row>
    <x:row r="73" ht="23" customHeight="1">
      <x:c r="A73" s="17" t="str">
        <x:v>API-072</x:v>
      </x:c>
      <x:c r="B73" s="17" t="str">
        <x:v>M5</x:v>
      </x:c>
      <x:c r="C73" s="17" t="str">
        <x:v>statements</x:v>
      </x:c>
      <x:c r="D73" s="17" t="str">
        <x:v>POST</x:v>
      </x:c>
      <x:c r="E73" s="17" t="str">
        <x:v>/v1/supplier/statements/{statementId}/disputes</x:v>
      </x:c>
      <x:c r="F73" s="17" t="str">
        <x:v>SUPPLIER_FINANCE</x:v>
      </x:c>
      <x:c r="G73" s="17" t="str">
        <x:v>StatementDisputeRequest</x:v>
      </x:c>
      <x:c r="H73" s="17" t="str">
        <x:v>StatementDisputeResponse</x:v>
      </x:c>
      <x:c r="I73" s="17" t="str">
        <x:v>{success,data,error:{code,message,details?},requestId}</x:v>
      </x:c>
      <x:c r="J73" s="17" t="str">
        <x:v>STATEMENT_SCOPE_FORBIDDEN|STATEMENT_LOCKED</x:v>
      </x:c>
      <x:c r="K73" s="17" t="str">
        <x:v>Idempotency-Key</x:v>
      </x:c>
      <x:c r="L73" s="17" t="str">
        <x:v>ROLE_AND_SUPPLIER_SCOPE_WHITELIST; DTO白名单；对象归属校验先于查询结果返回</x:v>
      </x:c>
      <x:c r="M73" s="17" t="str">
        <x:v>金额字段整数分；服务端重算；禁止客户端提交供应价或结算快照</x:v>
      </x:c>
      <x:c r="N73" s="17" t="str">
        <x:v>P0-041</x:v>
      </x:c>
      <x:c r="O73" s="17" t="str">
        <x:v>PLANNED</x:v>
      </x:c>
      <x:c r="P73" s="17" t="str">
        <x:v>PLANNED</x:v>
      </x:c>
      <x:c r="Q73" s="17" t="str">
        <x:v>PLANNED</x:v>
      </x:c>
      <x:c r="R73" s="17" t="str">
        <x:v>TO_BE_CREATED</x:v>
      </x:c>
      <x:c r="S73" s="17" t="str">
        <x:v>UNASSIGNED</x:v>
      </x:c>
      <x:c r="T73" s="17" t="str">
        <x:v>路径为执行初始契约；阶段M*-000冻结后方可编码</x:v>
      </x:c>
    </x:row>
    <x:row r="74" ht="23" customHeight="1">
      <x:c r="A74" s="17" t="str">
        <x:v>API-073</x:v>
      </x:c>
      <x:c r="B74" s="17" t="str">
        <x:v>M5</x:v>
      </x:c>
      <x:c r="C74" s="17" t="str">
        <x:v>statements</x:v>
      </x:c>
      <x:c r="D74" s="17" t="str">
        <x:v>POST</x:v>
      </x:c>
      <x:c r="E74" s="17" t="str">
        <x:v>/v1/company/statements/{statementId}/offline-payments</x:v>
      </x:c>
      <x:c r="F74" s="17" t="str">
        <x:v>COMPANY_FINANCE</x:v>
      </x:c>
      <x:c r="G74" s="17" t="str">
        <x:v>OfflinePaymentRecordRequest</x:v>
      </x:c>
      <x:c r="H74" s="17" t="str">
        <x:v>OfflineSettlementResponse</x:v>
      </x:c>
      <x:c r="I74" s="17" t="str">
        <x:v>{success,data,error:{code,message,details?},requestId}</x:v>
      </x:c>
      <x:c r="J74" s="17" t="str">
        <x:v>SECOND_VERIFICATION_REQUIRED|BANK_REFERENCE_DUPLICATE|SAME_NATURAL_PERSON_REVIEW_FORBIDDEN</x:v>
      </x:c>
      <x:c r="K74" s="17" t="str">
        <x:v>Idempotency-Key</x:v>
      </x:c>
      <x:c r="L74" s="17" t="str">
        <x:v>ROLE_AND_SUPPLIER_SCOPE_WHITELIST; DTO白名单；对象归属校验先于查询结果返回</x:v>
      </x:c>
      <x:c r="M74" s="17" t="str">
        <x:v>金额字段整数分；服务端重算；禁止客户端提交供应价或结算快照</x:v>
      </x:c>
      <x:c r="N74" s="17" t="str">
        <x:v>P0-042,P0-043</x:v>
      </x:c>
      <x:c r="O74" s="17" t="str">
        <x:v>PLANNED</x:v>
      </x:c>
      <x:c r="P74" s="17" t="str">
        <x:v>PLANNED</x:v>
      </x:c>
      <x:c r="Q74" s="17" t="str">
        <x:v>PLANNED</x:v>
      </x:c>
      <x:c r="R74" s="17" t="str">
        <x:v>TO_BE_CREATED</x:v>
      </x:c>
      <x:c r="S74" s="17" t="str">
        <x:v>UNASSIGNED</x:v>
      </x:c>
      <x:c r="T74" s="17" t="str">
        <x:v>路径为执行初始契约；阶段M*-000冻结后方可编码</x:v>
      </x:c>
    </x:row>
    <x:row r="75" ht="23" customHeight="1">
      <x:c r="A75" s="17" t="str">
        <x:v>API-074</x:v>
      </x:c>
      <x:c r="B75" s="17" t="str">
        <x:v>M5</x:v>
      </x:c>
      <x:c r="C75" s="17" t="str">
        <x:v>statements</x:v>
      </x:c>
      <x:c r="D75" s="17" t="str">
        <x:v>POST</x:v>
      </x:c>
      <x:c r="E75" s="17" t="str">
        <x:v>/v1/supplier/statements/{statementId}/confirm-receipt</x:v>
      </x:c>
      <x:c r="F75" s="17" t="str">
        <x:v>SUPPLIER_FINANCE</x:v>
      </x:c>
      <x:c r="G75" s="17" t="str">
        <x:v>ReceiptConfirmationRequest</x:v>
      </x:c>
      <x:c r="H75" s="17" t="str">
        <x:v>SupplierStatementResponse</x:v>
      </x:c>
      <x:c r="I75" s="17" t="str">
        <x:v>{success,data,error:{code,message,details?},requestId}</x:v>
      </x:c>
      <x:c r="J75" s="17" t="str">
        <x:v>STATEMENT_SCOPE_FORBIDDEN</x:v>
      </x:c>
      <x:c r="K75" s="17" t="str">
        <x:v>Idempotency-Key</x:v>
      </x:c>
      <x:c r="L75" s="17" t="str">
        <x:v>ROLE_AND_SUPPLIER_SCOPE_WHITELIST; DTO白名单；对象归属校验先于查询结果返回</x:v>
      </x:c>
      <x:c r="M75" s="17" t="str">
        <x:v>金额字段整数分；服务端重算；禁止客户端提交供应价或结算快照</x:v>
      </x:c>
      <x:c r="N75" s="17" t="str">
        <x:v>P0-042</x:v>
      </x:c>
      <x:c r="O75" s="17" t="str">
        <x:v>PLANNED</x:v>
      </x:c>
      <x:c r="P75" s="17" t="str">
        <x:v>PLANNED</x:v>
      </x:c>
      <x:c r="Q75" s="17" t="str">
        <x:v>PLANNED</x:v>
      </x:c>
      <x:c r="R75" s="17" t="str">
        <x:v>TO_BE_CREATED</x:v>
      </x:c>
      <x:c r="S75" s="17" t="str">
        <x:v>UNASSIGNED</x:v>
      </x:c>
      <x:c r="T75" s="17" t="str">
        <x:v>路径为执行初始契约；阶段M*-000冻结后方可编码</x:v>
      </x:c>
    </x:row>
    <x:row r="76" ht="23" customHeight="1">
      <x:c r="A76" s="17" t="str">
        <x:v>API-075</x:v>
      </x:c>
      <x:c r="B76" s="17" t="str">
        <x:v>M5</x:v>
      </x:c>
      <x:c r="C76" s="17" t="str">
        <x:v>portal</x:v>
      </x:c>
      <x:c r="D76" s="17" t="str">
        <x:v>GET</x:v>
      </x:c>
      <x:c r="E76" s="17" t="str">
        <x:v>/v1/public/portal/content/{slug}</x:v>
      </x:c>
      <x:c r="F76" s="17" t="str">
        <x:v>PUBLIC</x:v>
      </x:c>
      <x:c r="G76" s="17" t="str">
        <x:v>PortalContentQuery</x:v>
      </x:c>
      <x:c r="H76" s="17" t="str">
        <x:v>PublishedPortalContentResponse</x:v>
      </x:c>
      <x:c r="I76" s="17" t="str">
        <x:v>{success,data,error:{code,message,details?},requestId}</x:v>
      </x:c>
      <x:c r="J76" s="17" t="str">
        <x:v>CONTENT_NOT_FOUND</x:v>
      </x:c>
      <x:c r="K76" s="17" t="str">
        <x:v>NONE</x:v>
      </x:c>
      <x:c r="L76" s="17" t="str">
        <x:v>NEVER_RETURN; DTO白名单；对象归属校验先于查询结果返回</x:v>
      </x:c>
      <x:c r="M76" s="17" t="str">
        <x:v>金额字段整数分；服务端重算；禁止客户端提交供应价或结算快照</x:v>
      </x:c>
      <x:c r="N76" s="17" t="str">
        <x:v>P0-027,P0-073,P0-075,P0-076,P0-082</x:v>
      </x:c>
      <x:c r="O76" s="17" t="str">
        <x:v>PLANNED</x:v>
      </x:c>
      <x:c r="P76" s="17" t="str">
        <x:v>PLANNED</x:v>
      </x:c>
      <x:c r="Q76" s="17" t="str">
        <x:v>PLANNED</x:v>
      </x:c>
      <x:c r="R76" s="17" t="str">
        <x:v>TO_BE_CREATED</x:v>
      </x:c>
      <x:c r="S76" s="17" t="str">
        <x:v>UNASSIGNED</x:v>
      </x:c>
      <x:c r="T76" s="17" t="str">
        <x:v>Next.js公开SSG/ISR数据源；仅返回PUBLISHED不可变revision；响应支持slug级失效且绝不含内部/供应价字段</x:v>
      </x:c>
    </x:row>
    <x:row r="77" ht="23" customHeight="1">
      <x:c r="A77" s="17" t="str">
        <x:v>API-076</x:v>
      </x:c>
      <x:c r="B77" s="17" t="str">
        <x:v>M5</x:v>
      </x:c>
      <x:c r="C77" s="17" t="str">
        <x:v>portal</x:v>
      </x:c>
      <x:c r="D77" s="17" t="str">
        <x:v>POST</x:v>
      </x:c>
      <x:c r="E77" s="17" t="str">
        <x:v>/v1/public/business-inquiries</x:v>
      </x:c>
      <x:c r="F77" s="17" t="str">
        <x:v>PUBLIC</x:v>
      </x:c>
      <x:c r="G77" s="17" t="str">
        <x:v>BusinessInquiryCreateRequest</x:v>
      </x:c>
      <x:c r="H77" s="17" t="str">
        <x:v>BusinessInquiryReceiptResponse</x:v>
      </x:c>
      <x:c r="I77" s="17" t="str">
        <x:v>{success,data,error:{code,message,details?},requestId}</x:v>
      </x:c>
      <x:c r="J77" s="17" t="str">
        <x:v>CONSENT_REQUIRED|RATE_LIMITED|VALIDATION_FAILED</x:v>
      </x:c>
      <x:c r="K77" s="17" t="str">
        <x:v>Idempotency-Key</x:v>
      </x:c>
      <x:c r="L77" s="17" t="str">
        <x:v>NEVER_RETURN; DTO白名单；对象归属校验先于查询结果返回</x:v>
      </x:c>
      <x:c r="M77" s="17" t="str">
        <x:v>金额字段整数分；服务端重算；禁止客户端提交供应价或结算快照</x:v>
      </x:c>
      <x:c r="N77" s="17" t="str">
        <x:v>P0-074,P0-076,P0-082</x:v>
      </x:c>
      <x:c r="O77" s="17" t="str">
        <x:v>PLANNED</x:v>
      </x:c>
      <x:c r="P77" s="17" t="str">
        <x:v>PLANNED</x:v>
      </x:c>
      <x:c r="Q77" s="17" t="str">
        <x:v>PLANNED</x:v>
      </x:c>
      <x:c r="R77" s="17" t="str">
        <x:v>TO_BE_CREATED</x:v>
      </x:c>
      <x:c r="S77" s="17" t="str">
        <x:v>UNASSIGNED</x:v>
      </x:c>
      <x:c r="T77" s="17" t="str">
        <x:v>路径为执行初始契约；阶段M*-000冻结后方可编码</x:v>
      </x:c>
    </x:row>
    <x:row r="78" ht="23" customHeight="1">
      <x:c r="A78" s="17" t="str">
        <x:v>API-077</x:v>
      </x:c>
      <x:c r="B78" s="17" t="str">
        <x:v>M5</x:v>
      </x:c>
      <x:c r="C78" s="17" t="str">
        <x:v>portal-content</x:v>
      </x:c>
      <x:c r="D78" s="17" t="str">
        <x:v>POST</x:v>
      </x:c>
      <x:c r="E78" s="17" t="str">
        <x:v>/v1/company/portal/content</x:v>
      </x:c>
      <x:c r="F78" s="17" t="str">
        <x:v>COMPANY_CONTENT</x:v>
      </x:c>
      <x:c r="G78" s="17" t="str">
        <x:v>PortalContentDraftRequest</x:v>
      </x:c>
      <x:c r="H78" s="17" t="str">
        <x:v>PortalContentResponse</x:v>
      </x:c>
      <x:c r="I78" s="17" t="str">
        <x:v>{success,data,error:{code,message,details?},requestId}</x:v>
      </x:c>
      <x:c r="J78" s="17" t="str">
        <x:v>SLUG_CONFLICT|CONTENT_SCHEMA_INVALID</x:v>
      </x:c>
      <x:c r="K78" s="17" t="str">
        <x:v>Idempotency-Key</x:v>
      </x:c>
      <x:c r="L78" s="17" t="str">
        <x:v>NEVER_RETURN; DTO白名单；对象归属校验先于查询结果返回</x:v>
      </x:c>
      <x:c r="M78" s="17" t="str">
        <x:v>金额字段整数分；服务端重算；禁止客户端提交供应价或结算快照</x:v>
      </x:c>
      <x:c r="N78" s="17" t="str">
        <x:v>P0-073,P0-082</x:v>
      </x:c>
      <x:c r="O78" s="17" t="str">
        <x:v>PLANNED</x:v>
      </x:c>
      <x:c r="P78" s="17" t="str">
        <x:v>PLANNED</x:v>
      </x:c>
      <x:c r="Q78" s="17" t="str">
        <x:v>PLANNED</x:v>
      </x:c>
      <x:c r="R78" s="17" t="str">
        <x:v>TO_BE_CREATED</x:v>
      </x:c>
      <x:c r="S78" s="17" t="str">
        <x:v>UNASSIGNED</x:v>
      </x:c>
      <x:c r="T78" s="17" t="str">
        <x:v>保存草稿不触发公开缓存；路径和DTO由生成契约类型约束</x:v>
      </x:c>
    </x:row>
    <x:row r="79" ht="23" customHeight="1">
      <x:c r="A79" s="17" t="str">
        <x:v>API-078</x:v>
      </x:c>
      <x:c r="B79" s="17" t="str">
        <x:v>M5</x:v>
      </x:c>
      <x:c r="C79" s="17" t="str">
        <x:v>portal-content</x:v>
      </x:c>
      <x:c r="D79" s="17" t="str">
        <x:v>POST</x:v>
      </x:c>
      <x:c r="E79" s="17" t="str">
        <x:v>/v1/company/portal/content/{contentId}/publish</x:v>
      </x:c>
      <x:c r="F79" s="17" t="str">
        <x:v>COMPANY_CONTENT</x:v>
      </x:c>
      <x:c r="G79" s="17" t="str">
        <x:v>PortalPublishRequest</x:v>
      </x:c>
      <x:c r="H79" s="17" t="str">
        <x:v>PortalContentResponse</x:v>
      </x:c>
      <x:c r="I79" s="17" t="str">
        <x:v>{success,data,error:{code,message,details?},requestId}</x:v>
      </x:c>
      <x:c r="J79" s="17" t="str">
        <x:v>CONTENT_NOT_APPROVED|SECOND_VERIFICATION_REQUIRED|CACHE_REVALIDATION_FAILED</x:v>
      </x:c>
      <x:c r="K79" s="17" t="str">
        <x:v>Idempotency-Key</x:v>
      </x:c>
      <x:c r="L79" s="17" t="str">
        <x:v>NEVER_RETURN; DTO白名单；对象归属校验先于查询结果返回</x:v>
      </x:c>
      <x:c r="M79" s="17" t="str">
        <x:v>金额字段整数分；服务端重算；禁止客户端提交供应价或结算快照</x:v>
      </x:c>
      <x:c r="N79" s="17" t="str">
        <x:v>P0-073,P0-082</x:v>
      </x:c>
      <x:c r="O79" s="17" t="str">
        <x:v>PLANNED</x:v>
      </x:c>
      <x:c r="P79" s="17" t="str">
        <x:v>PLANNED</x:v>
      </x:c>
      <x:c r="Q79" s="17" t="str">
        <x:v>PLANNED</x:v>
      </x:c>
      <x:c r="R79" s="17" t="str">
        <x:v>TO_BE_CREATED</x:v>
      </x:c>
      <x:c r="S79" s="17" t="str">
        <x:v>UNASSIGNED</x:v>
      </x:c>
      <x:c r="T79" s="17" t="str">
        <x:v>发布/下线成功后发出受鉴权slug失效事件；失败可重试且不覆盖已发布revision；同一自然人双审规则按配置执行</x:v>
      </x:c>
    </x:row>
    <x:row r="80" ht="23" customHeight="1">
      <x:c r="A80" s="17" t="str">
        <x:v>API-079</x:v>
      </x:c>
      <x:c r="B80" s="17" t="str">
        <x:v>M5</x:v>
      </x:c>
      <x:c r="C80" s="17" t="str">
        <x:v>exports</x:v>
      </x:c>
      <x:c r="D80" s="17" t="str">
        <x:v>POST</x:v>
      </x:c>
      <x:c r="E80" s="17" t="str">
        <x:v>/v1/exports</x:v>
      </x:c>
      <x:c r="F80" s="17" t="str">
        <x:v>AUTHORIZED_ACCOUNT</x:v>
      </x:c>
      <x:c r="G80" s="17" t="str">
        <x:v>ExportJobCreateRequest</x:v>
      </x:c>
      <x:c r="H80" s="17" t="str">
        <x:v>ExportJobResponse</x:v>
      </x:c>
      <x:c r="I80" s="17" t="str">
        <x:v>{success,data,error:{code,message,details?},requestId}</x:v>
      </x:c>
      <x:c r="J80" s="17" t="str">
        <x:v>FIELD_FORBIDDEN|EXPORT_REASON_REQUIRED|SAME_NATURAL_PERSON_REVIEW_FORBIDDEN</x:v>
      </x:c>
      <x:c r="K80" s="17" t="str">
        <x:v>Idempotency-Key</x:v>
      </x:c>
      <x:c r="L80" s="17" t="str">
        <x:v>NEVER_RETURN; DTO白名单；对象归属校验先于查询结果返回</x:v>
      </x:c>
      <x:c r="M80" s="17" t="str">
        <x:v>金额字段整数分；服务端重算；禁止客户端提交供应价或结算快照</x:v>
      </x:c>
      <x:c r="N80" s="17" t="str">
        <x:v>P0-045,P0-046,P0-072</x:v>
      </x:c>
      <x:c r="O80" s="17" t="str">
        <x:v>PLANNED</x:v>
      </x:c>
      <x:c r="P80" s="17" t="str">
        <x:v>PLANNED</x:v>
      </x:c>
      <x:c r="Q80" s="17" t="str">
        <x:v>PLANNED</x:v>
      </x:c>
      <x:c r="R80" s="17" t="str">
        <x:v>TO_BE_CREATED</x:v>
      </x:c>
      <x:c r="S80" s="17" t="str">
        <x:v>UNASSIGNED</x:v>
      </x:c>
      <x:c r="T80" s="17" t="str">
        <x:v>路径为执行初始契约；阶段M*-000冻结后方可编码</x:v>
      </x:c>
    </x:row>
    <x:row r="81" ht="23" customHeight="1">
      <x:c r="A81" s="18" t="str">
        <x:v>API-080</x:v>
      </x:c>
      <x:c r="B81" s="18" t="str">
        <x:v>M5</x:v>
      </x:c>
      <x:c r="C81" s="18" t="str">
        <x:v>exports</x:v>
      </x:c>
      <x:c r="D81" s="18" t="str">
        <x:v>GET</x:v>
      </x:c>
      <x:c r="E81" s="18" t="str">
        <x:v>/v1/exports/{exportJobId}</x:v>
      </x:c>
      <x:c r="F81" s="18" t="str">
        <x:v>EXPORT_OWNER_OR_APPROVER</x:v>
      </x:c>
      <x:c r="G81" s="18" t="str">
        <x:v>None</x:v>
      </x:c>
      <x:c r="H81" s="18" t="str">
        <x:v>ExportJobResponse</x:v>
      </x:c>
      <x:c r="I81" s="18" t="str">
        <x:v>{success,data,error:{code,message,details?},requestId}</x:v>
      </x:c>
      <x:c r="J81" s="18" t="str">
        <x:v>EXPORT_SCOPE_FORBIDDEN|EXPORT_EXPIRED</x:v>
      </x:c>
      <x:c r="K81" s="18" t="str">
        <x:v>NONE</x:v>
      </x:c>
      <x:c r="L81" s="18" t="str">
        <x:v>NEVER_RETURN; DTO白名单；对象归属校验先于查询结果返回</x:v>
      </x:c>
      <x:c r="M81" s="18" t="str">
        <x:v>金额字段整数分；服务端重算；禁止客户端提交供应价或结算快照</x:v>
      </x:c>
      <x:c r="N81" s="18" t="str">
        <x:v>P0-045,P0-046</x:v>
      </x:c>
      <x:c r="O81" s="18" t="str">
        <x:v>PLANNED</x:v>
      </x:c>
      <x:c r="P81" s="18" t="str">
        <x:v>PLANNED</x:v>
      </x:c>
      <x:c r="Q81" s="18" t="str">
        <x:v>PLANNED</x:v>
      </x:c>
      <x:c r="R81" s="18" t="str">
        <x:v>TO_BE_CREATED</x:v>
      </x:c>
      <x:c r="S81" s="18" t="str">
        <x:v>UNASSIGNED</x:v>
      </x:c>
      <x:c r="T81" s="18" t="str">
        <x:v>路径为执行初始契约；阶段M*-000冻结后方可编码</x:v>
      </x:c>
    </x:row>
    <x:row r="82">
      <x:c r="A82" s="189" t="str">
        <x:v>API-081</x:v>
      </x:c>
      <x:c r="B82" s="189" t="str">
        <x:v>M1</x:v>
      </x:c>
      <x:c r="C82" s="189" t="str">
        <x:v>public-merchant</x:v>
      </x:c>
      <x:c r="D82" s="189" t="str">
        <x:v>GET</x:v>
      </x:c>
      <x:c r="E82" s="189" t="str">
        <x:v>/v1/public/merchant-profile</x:v>
      </x:c>
      <x:c r="F82" s="189" t="str">
        <x:v>PUBLIC</x:v>
      </x:c>
      <x:c r="G82" s="189" t="str">
        <x:v>PublicMerchantProfileQuery</x:v>
      </x:c>
      <x:c r="H82" s="189" t="str">
        <x:v>PublicMerchantProfileResponse</x:v>
      </x:c>
      <x:c r="I82" s="189" t="str">
        <x:v>PublicMerchantProfileResponse；错误={statusCode,code,message,details?,requestId}</x:v>
      </x:c>
      <x:c r="J82" s="189" t="str">
        <x:v>FORBIDDEN_CAPABILITY|SELLER_IDENTITY_FORBIDDEN|PAYEE_FORBIDDEN|SINGLE_MERCHANT_VIOLATION</x:v>
      </x:c>
      <x:c r="K82" s="189" t="str">
        <x:v>NONE</x:v>
      </x:c>
      <x:c r="L82" s="189" t="str">
        <x:v>NEVER_RETURN；DTO白名单；wechatPayConfigRef/companyId/supplierId/status及供应商店铺/收款/店铺购物车字段不返回；禁止客户端覆盖交易主体</x:v>
      </x:c>
      <x:c r="M82" s="189" t="str">
        <x:v>N/A</x:v>
      </x:c>
      <x:c r="N82" s="189" t="str">
        <x:v>P0-001,P0-009</x:v>
      </x:c>
      <x:c r="O82" s="189" t="str">
        <x:v>GENERATED</x:v>
      </x:c>
      <x:c r="P82" s="189" t="str">
        <x:v>IMPLEMENTED</x:v>
      </x:c>
      <x:c r="Q82" s="189" t="str">
        <x:v>IMPLEMENTED</x:v>
      </x:c>
      <x:c r="R82" s="189" t="str">
        <x:v>apps/api/test/supertest/single-merchant-api.test.mjs；tests/contracts/m1-p001-single-merchant.contract.test.mjs；tests/contracts/m2-p009-no-supplier-storefront.contract.test.mjs</x:v>
      </x:c>
      <x:c r="S82" s="189" t="str">
        <x:v>CODEX</x:v>
      </x:c>
      <x:c r="T82" s="189" t="str">
        <x:v>M1-P001任务内契约细化；M2-P009追加禁止能力语义，公开主体白名单递归拒绝供应商店铺、直接支付和店铺购物车字段，不增加交易入口。</x:v>
      </x:c>
    </x:row>
    <x:row r="83">
      <x:c r="A83" t="str">
        <x:v>API-082</x:v>
      </x:c>
      <x:c r="B83" t="str">
        <x:v>M1</x:v>
      </x:c>
      <x:c r="C83" t="str">
        <x:v>company-auth</x:v>
      </x:c>
      <x:c r="D83" t="str">
        <x:v>GET</x:v>
      </x:c>
      <x:c r="E83" t="str">
        <x:v>/v1/company-auth/workspace/current</x:v>
      </x:c>
      <x:c r="F83" t="str">
        <x:v>COMPANY_FUNCTIONAL_ACCOUNT</x:v>
      </x:c>
      <x:c r="G83" t="str">
        <x:v>CompanyWorkspaceQueryDto</x:v>
      </x:c>
      <x:c r="H83" t="str">
        <x:v>CompanyWorkspaceResponseDto</x:v>
      </x:c>
      <x:c r="I83" t="str">
        <x:v>CompanyWorkspaceResponseDto；错误={statusCode,code,message,requestId}</x:v>
      </x:c>
      <x:c r="J83" t="str">
        <x:v>AUTHENTICATION_REQUIRED|AUTH_SESSION_REVOKED|WORKSPACE_FORBIDDEN|VALIDATION_FAILED</x:v>
      </x:c>
      <x:c r="K83" t="str">
        <x:v>NONE</x:v>
      </x:c>
      <x:c r="L83" t="str">
        <x:v>NEVER_RETURN；DTO仅返回当前职能code/name/pageId/workspaceRoute和单一menuItems；不返回companyId/identityId/token/supplyPrice</x:v>
      </x:c>
      <x:c r="M83" t="str">
        <x:v>N/A</x:v>
      </x:c>
      <x:c r="N83" t="str">
        <x:v>P0-067</x:v>
      </x:c>
      <x:c r="O83" t="str">
        <x:v>GENERATED</x:v>
      </x:c>
      <x:c r="P83" t="str">
        <x:v>IMPLEMENTED</x:v>
      </x:c>
      <x:c r="Q83" t="str">
        <x:v>IMPLEMENTED</x:v>
      </x:c>
      <x:c r="R83" t="str">
        <x:v>apps/api/test/supertest/company-workspace-api.test.mjs；tests/openapi/m1-p067-company-workspace-contract.test.mjs</x:v>
      </x:c>
      <x:c r="S83" t="str">
        <x:v>CODEX</x:v>
      </x:c>
      <x:c r="T83" t="str">
        <x:v>M1-P067任务内契约细化；Secure HttpOnly Cookie服务端解析；目标路由必须等于会话固定路由；切换后旧会话返回AUTH_SESSION_REVOKED</x:v>
      </x:c>
    </x:row>
    <x:row r="84">
      <x:c r="A84" t="str">
        <x:v>API-083</x:v>
      </x:c>
      <x:c r="B84" t="str">
        <x:v>M1</x:v>
      </x:c>
      <x:c r="C84" t="str">
        <x:v>company-auth</x:v>
      </x:c>
      <x:c r="D84" t="str">
        <x:v>GET</x:v>
      </x:c>
      <x:c r="E84" t="str">
        <x:v>/v1/company-auth/workspace/page</x:v>
      </x:c>
      <x:c r="F84" t="str">
        <x:v>COMPANY_FUNCTIONAL_ACCOUNT</x:v>
      </x:c>
      <x:c r="G84" t="str">
        <x:v>CompanyWorkspacePageQueryDto</x:v>
      </x:c>
      <x:c r="H84" t="str">
        <x:v>CompanyWorkspacePageResponseDto</x:v>
      </x:c>
      <x:c r="I84" t="str">
        <x:v>CompanyWorkspacePageResponseDto；错误={statusCode,code,message,requestId}</x:v>
      </x:c>
      <x:c r="J84" t="str">
        <x:v>AUTHENTICATION_REQUIRED|AUTH_SESSION_REVOKED|WORKSPACE_FORBIDDEN|DATA_SCOPE_FORBIDDEN|WORKSPACE_MODULE_NOT_FOUND|VALIDATION_FAILED</x:v>
      </x:c>
      <x:c r="K84" t="str">
        <x:v>NONE</x:v>
      </x:c>
      <x:c r="L84" t="str">
        <x:v>NEVER_RETURN；DTO仅返回服务端当前职能页面、筛选、模块目录、选中详情和交付时间线；禁止companyId/functionalAccountId/identityId/token/supplyPrice/supplierPayable/grossMargin/bankAccount</x:v>
      </x:c>
      <x:c r="M84" t="str">
        <x:v>N/A</x:v>
      </x:c>
      <x:c r="N84" t="str">
        <x:v>P0-068</x:v>
      </x:c>
      <x:c r="O84" t="str">
        <x:v>GENERATED</x:v>
      </x:c>
      <x:c r="P84" t="str">
        <x:v>IMPLEMENTED</x:v>
      </x:c>
      <x:c r="Q84" t="str">
        <x:v>IMPLEMENTED</x:v>
      </x:c>
      <x:c r="R84" t="str">
        <x:v>apps/api/test/supertest/company-workspace-page-api.test.mjs；tests/openapi/m1-p068-company-workspace-page-contract.test.mjs；tests/e2e/p0/p0-068-company-workspace-completeness.spec.ts</x:v>
      </x:c>
      <x:c r="S84" t="str">
        <x:v>CODEX</x:v>
      </x:c>
      <x:c r="T84" t="str">
        <x:v>M1-P068任务内契约细化；Secure HttpOnly Cookie服务端解析；route必须等于会话固定路由；客户端上下文覆盖字段先拒绝；十类职能目录互不泄露；M2-M5业务模块标记DEFERRED且不伪造记录</x:v>
      </x:c>
    </x:row>
    <x:row r="85">
      <x:c r="A85" t="str">
        <x:v>API-084</x:v>
      </x:c>
      <x:c r="B85" t="str">
        <x:v>M1</x:v>
      </x:c>
      <x:c r="C85" t="str">
        <x:v>supplier-auth</x:v>
      </x:c>
      <x:c r="D85" t="str">
        <x:v>GET</x:v>
      </x:c>
      <x:c r="E85" t="str">
        <x:v>/v1/supplier-auth/workspace/current</x:v>
      </x:c>
      <x:c r="F85" t="str">
        <x:v>SUPPLIER_FUNCTIONAL_ACCOUNT</x:v>
      </x:c>
      <x:c r="G85" t="str">
        <x:v>SupplierWorkspaceQueryDto</x:v>
      </x:c>
      <x:c r="H85" t="str">
        <x:v>SupplierWorkspaceResponseDto</x:v>
      </x:c>
      <x:c r="I85" t="str">
        <x:v>SupplierWorkspaceResponseDto；错误={statusCode,code,message,requestId}</x:v>
      </x:c>
      <x:c r="J85" t="str">
        <x:v>AUTHENTICATION_REQUIRED|AUTH_SESSION_REVOKED|WORKSPACE_FORBIDDEN|DATA_SCOPE_FORBIDDEN|VALIDATION_FAILED</x:v>
      </x:c>
      <x:c r="K85" t="str">
        <x:v>NONE</x:v>
      </x:c>
      <x:c r="L85" t="str">
        <x:v>NEVER_RETURN；DTO仅返回当前职能code/name/pageId/workspaceRoute和单一menuItems；禁止supplierId/functionalAccountId/identityId/token/supplyPrice/supplierPayable/bankAccount</x:v>
      </x:c>
      <x:c r="M85" t="str">
        <x:v>N/A</x:v>
      </x:c>
      <x:c r="N85" t="str">
        <x:v>P0-070</x:v>
      </x:c>
      <x:c r="O85" t="str">
        <x:v>GENERATED</x:v>
      </x:c>
      <x:c r="P85" t="str">
        <x:v>IMPLEMENTED</x:v>
      </x:c>
      <x:c r="Q85" t="str">
        <x:v>IMPLEMENTED</x:v>
      </x:c>
      <x:c r="R85" t="str">
        <x:v>apps/api/test/supertest/supplier-workspace-api.test.mjs；tests/openapi/m1-p070-supplier-workspace-contract.test.mjs；tests/e2e/p0/p0-070-supplier-workspaces.spec.ts</x:v>
      </x:c>
      <x:c r="S85" t="str">
        <x:v>CODEX</x:v>
      </x:c>
      <x:c r="T85" t="str">
        <x:v>M1-P070任务内契约细化；Secure HttpOnly供应商会话解析；目标route必须等于服务端固定路由；客户端归属覆盖字段先拒绝；切换后旧会话返回AUTH_SESSION_REVOKED</x:v>
      </x:c>
    </x:row>
    <x:row r="86">
      <x:c r="A86" t="str">
        <x:v>API-085</x:v>
      </x:c>
      <x:c r="B86" t="str">
        <x:v>M1</x:v>
      </x:c>
      <x:c r="C86" t="str">
        <x:v>supplier-auth</x:v>
      </x:c>
      <x:c r="D86" t="str">
        <x:v>GET</x:v>
      </x:c>
      <x:c r="E86" t="str">
        <x:v>/v1/supplier-auth/workspace/page</x:v>
      </x:c>
      <x:c r="F86" t="str">
        <x:v>SUPPLIER_FUNCTIONAL_ACCOUNT</x:v>
      </x:c>
      <x:c r="G86" t="str">
        <x:v>SupplierWorkspacePageQueryDto</x:v>
      </x:c>
      <x:c r="H86" t="str">
        <x:v>SupplierWorkspacePageResponseDto</x:v>
      </x:c>
      <x:c r="I86" t="str">
        <x:v>SupplierWorkspacePageResponseDto；错误={statusCode,code,message,requestId}</x:v>
      </x:c>
      <x:c r="J86" t="str">
        <x:v>AUTHENTICATION_REQUIRED|AUTH_SESSION_REVOKED|WORKSPACE_FORBIDDEN|DATA_SCOPE_FORBIDDEN|WORKSPACE_MODULE_NOT_FOUND|VALIDATION_FAILED</x:v>
      </x:c>
      <x:c r="K86" t="str">
        <x:v>NONE</x:v>
      </x:c>
      <x:c r="L86" t="str">
        <x:v>NEVER_RETURN；DTO仅返回当前供应商职能页面、筛选、模块目录、选中详情和交付时间线；禁止supplierId/functionalAccountId/identityId/token/supplyPrice/supplierPayable/grossMargin/bankAccount</x:v>
      </x:c>
      <x:c r="M86" t="str">
        <x:v>N/A</x:v>
      </x:c>
      <x:c r="N86" t="str">
        <x:v>P0-070</x:v>
      </x:c>
      <x:c r="O86" t="str">
        <x:v>GENERATED</x:v>
      </x:c>
      <x:c r="P86" t="str">
        <x:v>IMPLEMENTED</x:v>
      </x:c>
      <x:c r="Q86" t="str">
        <x:v>IMPLEMENTED</x:v>
      </x:c>
      <x:c r="R86" t="str">
        <x:v>apps/api/test/supertest/supplier-workspace-api.test.mjs；tests/openapi/m1-p070-supplier-workspace-contract.test.mjs；tests/e2e/p0/p0-070-supplier-workspaces.spec.ts</x:v>
      </x:c>
      <x:c r="S86" t="str">
        <x:v>CODEX</x:v>
      </x:c>
      <x:c r="T86" t="str">
        <x:v>M1-P070任务内契约细化；八类职能目录互不泄露；route必须等于会话固定路由；未知本职能模块404；M2-M5业务模块标记DEFERRED且不伪造记录</x:v>
      </x:c>
    </x:row>
    <x:row r="87">
      <x:c r="A87" t="str">
        <x:v>API-086</x:v>
      </x:c>
      <x:c r="B87" t="str">
        <x:v>M1</x:v>
      </x:c>
      <x:c r="C87" t="str">
        <x:v>sensitive-approval</x:v>
      </x:c>
      <x:c r="D87" t="str">
        <x:v>POST</x:v>
      </x:c>
      <x:c r="E87" t="str">
        <x:v>/v1/audit/sensitive-export-approvals</x:v>
      </x:c>
      <x:c r="F87" t="str">
        <x:v>COMPANY_OR_SUPPLIER_AUDIT</x:v>
      </x:c>
      <x:c r="G87" t="str">
        <x:v>CreateSensitiveApprovalRequestDto</x:v>
      </x:c>
      <x:c r="H87" t="str">
        <x:v>SensitiveApprovalTaskResponseDto</x:v>
      </x:c>
      <x:c r="I87" t="str">
        <x:v>显式白名单DTO</x:v>
      </x:c>
      <x:c r="J87" t="str">
        <x:v>IDEMPOTENCY_KEY_REQUIRED|IDEMPOTENCY_KEY_CONFLICT|AUDIT_REQUIRED</x:v>
      </x:c>
      <x:c r="K87" t="str">
        <x:v>Idempotency-Key</x:v>
      </x:c>
      <x:c r="L87" t="str">
        <x:v>会话派生归属；不返回applicant/reviewer/functionalAccount/supplier/company内部键</x:v>
      </x:c>
      <x:c r="M87" t="str">
        <x:v>N/A</x:v>
      </x:c>
      <x:c r="N87" t="str">
        <x:v>P0-072</x:v>
      </x:c>
      <x:c r="O87" t="str">
        <x:v>GENERATED</x:v>
      </x:c>
      <x:c r="P87" t="str">
        <x:v>IMPLEMENTED</x:v>
      </x:c>
      <x:c r="Q87" t="str">
        <x:v>IMPLEMENTED</x:v>
      </x:c>
      <x:c r="R87" t="str">
        <x:v>apps/api/test/supertest/sensitive-approval-api.test.mjs;tests/openapi/m1-p072-sensitive-approval-contract.test.mjs</x:v>
      </x:c>
      <x:c r="S87" t="str">
        <x:v>CODEX</x:v>
      </x:c>
      <x:c r="T87" t="str">
        <x:v>M1-P072任务内契约细化；只创建审批任务与追加审计；不生成实际导出文件</x:v>
      </x:c>
    </x:row>
    <x:row r="88">
      <x:c r="A88" t="str">
        <x:v>API-087</x:v>
      </x:c>
      <x:c r="B88" t="str">
        <x:v>M1</x:v>
      </x:c>
      <x:c r="C88" t="str">
        <x:v>sensitive-approval</x:v>
      </x:c>
      <x:c r="D88" t="str">
        <x:v>GET</x:v>
      </x:c>
      <x:c r="E88" t="str">
        <x:v>/v1/audit/sensitive-export-approvals</x:v>
      </x:c>
      <x:c r="F88" t="str">
        <x:v>COMPANY_OR_SUPPLIER_AUDIT</x:v>
      </x:c>
      <x:c r="G88" t="str">
        <x:v>None</x:v>
      </x:c>
      <x:c r="H88" t="str">
        <x:v>SensitiveApprovalPageResponseDto</x:v>
      </x:c>
      <x:c r="I88" t="str">
        <x:v>显式白名单DTO</x:v>
      </x:c>
      <x:c r="J88" t="str">
        <x:v>WORKSPACE_FORBIDDEN</x:v>
      </x:c>
      <x:c r="K88" t="str">
        <x:v>NONE</x:v>
      </x:c>
      <x:c r="L88" t="str">
        <x:v>供应商按会话supplierId查询前过滤；公司审计可见待办</x:v>
      </x:c>
      <x:c r="M88" t="str">
        <x:v>N/A</x:v>
      </x:c>
      <x:c r="N88" t="str">
        <x:v>P0-072</x:v>
      </x:c>
      <x:c r="O88" t="str">
        <x:v>GENERATED</x:v>
      </x:c>
      <x:c r="P88" t="str">
        <x:v>IMPLEMENTED</x:v>
      </x:c>
      <x:c r="Q88" t="str">
        <x:v>IMPLEMENTED</x:v>
      </x:c>
      <x:c r="R88" t="str">
        <x:v>apps/api/test/supertest/sensitive-approval-api.test.mjs;tests/e2e/p0/p0-072-sensitive-operations-audit.spec.ts</x:v>
      </x:c>
      <x:c r="S88" t="str">
        <x:v>CODEX</x:v>
      </x:c>
      <x:c r="T88" t="str">
        <x:v>M1-P072任务内契约细化；供应商不可查看其他供应商申请</x:v>
      </x:c>
    </x:row>
    <x:row r="89">
      <x:c r="A89" t="str">
        <x:v>API-088</x:v>
      </x:c>
      <x:c r="B89" t="str">
        <x:v>M1</x:v>
      </x:c>
      <x:c r="C89" t="str">
        <x:v>sensitive-approval</x:v>
      </x:c>
      <x:c r="D89" t="str">
        <x:v>POST</x:v>
      </x:c>
      <x:c r="E89" t="str">
        <x:v>/v1/audit/sensitive-export-approvals/{taskId}/claim</x:v>
      </x:c>
      <x:c r="F89" t="str">
        <x:v>COMPANY_AUDIT</x:v>
      </x:c>
      <x:c r="G89" t="str">
        <x:v>ClaimSensitiveApprovalRequestDto</x:v>
      </x:c>
      <x:c r="H89" t="str">
        <x:v>SensitiveApprovalTaskResponseDto</x:v>
      </x:c>
      <x:c r="I89" t="str">
        <x:v>显式白名单DTO</x:v>
      </x:c>
      <x:c r="J89" t="str">
        <x:v>SAME_NATURAL_PERSON_REVIEW|SECOND_REVIEW_REQUIRED|APPROVAL_VERSION_CONFLICT</x:v>
      </x:c>
      <x:c r="K89" t="str">
        <x:v>Idempotency-Key</x:v>
      </x:c>
      <x:c r="L89" t="str">
        <x:v>只允许公司审计；自然人身份复合键隔离；超级管理员无旁路</x:v>
      </x:c>
      <x:c r="M89" t="str">
        <x:v>N/A</x:v>
      </x:c>
      <x:c r="N89" t="str">
        <x:v>P0-072</x:v>
      </x:c>
      <x:c r="O89" t="str">
        <x:v>GENERATED</x:v>
      </x:c>
      <x:c r="P89" t="str">
        <x:v>IMPLEMENTED</x:v>
      </x:c>
      <x:c r="Q89" t="str">
        <x:v>IMPLEMENTED</x:v>
      </x:c>
      <x:c r="R89" t="str">
        <x:v>apps/api/test/supertest/sensitive-approval-api.test.mjs</x:v>
      </x:c>
      <x:c r="S89" t="str">
        <x:v>CODEX</x:v>
      </x:c>
      <x:c r="T89" t="str">
        <x:v>M1-P072任务内契约细化；PENDING到IN_REVIEW使用version乐观锁并追加历史与审计</x:v>
      </x:c>
    </x:row>
    <x:row r="90">
      <x:c r="A90" t="str">
        <x:v>API-089</x:v>
      </x:c>
      <x:c r="B90" t="str">
        <x:v>M1</x:v>
      </x:c>
      <x:c r="C90" t="str">
        <x:v>sensitive-approval</x:v>
      </x:c>
      <x:c r="D90" t="str">
        <x:v>POST</x:v>
      </x:c>
      <x:c r="E90" t="str">
        <x:v>/v1/audit/sensitive-export-approvals/{taskId}/decision</x:v>
      </x:c>
      <x:c r="F90" t="str">
        <x:v>COMPANY_AUDIT</x:v>
      </x:c>
      <x:c r="G90" t="str">
        <x:v>DecideSensitiveApprovalRequestDto</x:v>
      </x:c>
      <x:c r="H90" t="str">
        <x:v>SensitiveApprovalTaskResponseDto</x:v>
      </x:c>
      <x:c r="I90" t="str">
        <x:v>显式白名单DTO</x:v>
      </x:c>
      <x:c r="J90" t="str">
        <x:v>SECOND_VERIFICATION_REQUIRED|APPROVAL_VERSION_CONFLICT|APPROVAL_STATE_INVALID</x:v>
      </x:c>
      <x:c r="K90" t="str">
        <x:v>Idempotency-Key</x:v>
      </x:c>
      <x:c r="L90" t="str">
        <x:v>仅已认领的独立公司审计自然人可决定；二次验证必需</x:v>
      </x:c>
      <x:c r="M90" t="str">
        <x:v>N/A</x:v>
      </x:c>
      <x:c r="N90" t="str">
        <x:v>P0-072</x:v>
      </x:c>
      <x:c r="O90" t="str">
        <x:v>GENERATED</x:v>
      </x:c>
      <x:c r="P90" t="str">
        <x:v>IMPLEMENTED</x:v>
      </x:c>
      <x:c r="Q90" t="str">
        <x:v>IMPLEMENTED</x:v>
      </x:c>
      <x:c r="R90" t="str">
        <x:v>apps/api/test/supertest/sensitive-approval-api.test.mjs</x:v>
      </x:c>
      <x:c r="S90" t="str">
        <x:v>CODEX</x:v>
      </x:c>
      <x:c r="T90" t="str">
        <x:v>M1-P072任务内契约细化；并发同版本恰好一个成功；状态历史与审计同事务</x:v>
      </x:c>
    </x:row>
    <x:row r="91">
      <x:c r="A91" t="str">
        <x:v>API-090</x:v>
      </x:c>
      <x:c r="B91" t="str">
        <x:v>M2</x:v>
      </x:c>
      <x:c r="C91" t="str">
        <x:v>supplier-pricing</x:v>
      </x:c>
      <x:c r="D91" t="str">
        <x:v>GET</x:v>
      </x:c>
      <x:c r="E91" t="str">
        <x:v>/v1/supplier/pricing/products</x:v>
      </x:c>
      <x:c r="F91" t="str">
        <x:v>SUPPLIER_PRICING</x:v>
      </x:c>
      <x:c r="G91" t="str">
        <x:v>None</x:v>
      </x:c>
      <x:c r="H91" t="str">
        <x:v>SupplierInitialPricingPageDto</x:v>
      </x:c>
      <x:c r="I91" t="str">
        <x:v>{success,data,error:{code,message,details?},requestId}</x:v>
      </x:c>
      <x:c r="J91" t="str">
        <x:v>AUTHENTICATION_REQUIRED|WORKSPACE_FORBIDDEN|SUPPLIER_SCOPE_FORBIDDEN</x:v>
      </x:c>
      <x:c r="K91" t="str">
        <x:v>NONE</x:v>
      </x:c>
      <x:c r="L91" t="str">
        <x:v>ROLE_AND_SUPPLIER_SCOPE_WHITELIST; 仅本供应商价格职能可见三价；不返回归属或审核人私有字段</x:v>
      </x:c>
      <x:c r="M91" t="str">
        <x:v>只读返回本供应商初始三价整数分及审核状态；private,no-store</x:v>
      </x:c>
      <x:c r="N91" t="str">
        <x:v>P0-008</x:v>
      </x:c>
      <x:c r="O91" t="str">
        <x:v>GENERATED</x:v>
      </x:c>
      <x:c r="P91" t="str">
        <x:v>IMPLEMENTED</x:v>
      </x:c>
      <x:c r="Q91" t="str">
        <x:v>IMPLEMENTED</x:v>
      </x:c>
      <x:c r="R91" t="str">
        <x:v>apps/api/test/supertest/supplier-pricing-api.test.mjs|tests/e2e/p0/p0-008-supplier-pricing.spec.ts|packages/contracts/openapi.json</x:v>
      </x:c>
      <x:c r="S91" t="str">
        <x:v>CODEX</x:v>
      </x:c>
      <x:c r="T91" t="str">
        <x:v>M2-P008任务内契约细化：PAGE-018专用读取接口；归属由固定会话派生，跨供应商不可见，响应private/no-store；pnpm verify 17/17 LOCAL_PASS。</x:v>
      </x:c>
    </x:row>
    <x:row r="92">
      <x:c r="A92"/>
      <x:c r="B92"/>
      <x:c r="C92"/>
      <x:c r="D92"/>
      <x:c r="E92"/>
      <x:c r="F92"/>
      <x:c r="G92"/>
      <x:c r="H92"/>
      <x:c r="I92"/>
      <x:c r="J92"/>
      <x:c r="K92"/>
      <x:c r="L92"/>
      <x:c r="M92"/>
      <x:c r="N92"/>
      <x:c r="O92"/>
      <x:c r="P92"/>
      <x:c r="Q92"/>
      <x:c r="R92"/>
      <x:c r="S92"/>
      <x:c r="T92"/>
    </x:row>
  </x:sheetData>
  <x:conditionalFormatting sqref="O2:O81">
    <x:cfRule type="cellIs" dxfId="195" priority="1" operator="equal">
      <x:formula>"READY"</x:formula>
    </x:cfRule>
    <x:cfRule type="cellIs" dxfId="196" priority="2" operator="equal">
      <x:formula>"DONE"</x:formula>
    </x:cfRule>
    <x:cfRule type="cellIs" dxfId="197" priority="3" operator="equal">
      <x:formula>"LOCAL_PASS"</x:formula>
    </x:cfRule>
    <x:cfRule type="cellIs" dxfId="198" priority="4" operator="equal">
      <x:formula>"CI_PASS"</x:formula>
    </x:cfRule>
    <x:cfRule type="cellIs" dxfId="199" priority="5" operator="equal">
      <x:formula>"STAGING_PASS"</x:formula>
    </x:cfRule>
    <x:cfRule type="cellIs" dxfId="200" priority="6" operator="equal">
      <x:formula>"DEVICE_PASS"</x:formula>
    </x:cfRule>
    <x:cfRule type="cellIs" dxfId="201" priority="7" operator="equal">
      <x:formula>"PRODUCTION_PASS"</x:formula>
    </x:cfRule>
    <x:cfRule type="cellIs" dxfId="202" priority="8" operator="equal">
      <x:formula>"FAIL"</x:formula>
    </x:cfRule>
    <x:cfRule type="cellIs" dxfId="203" priority="9" operator="equal">
      <x:formula>"BLOCKED_EXTERNAL"</x:formula>
    </x:cfRule>
    <x:cfRule type="cellIs" dxfId="204" priority="10" operator="equal">
      <x:formula>"NOT_PROVIDED"</x:formula>
    </x:cfRule>
    <x:cfRule type="cellIs" dxfId="205" priority="11" operator="equal">
      <x:formula>"LOCKED"</x:formula>
    </x:cfRule>
    <x:cfRule type="cellIs" dxfId="206" priority="12" operator="equal">
      <x:formula>"NOT_STARTED"</x:formula>
    </x:cfRule>
    <x:cfRule type="cellIs" dxfId="207" priority="13" operator="equal">
      <x:formula>"NOT_EXECUTED"</x:formula>
    </x:cfRule>
    <x:cfRule type="cellIs" dxfId="208" priority="14" operator="equal">
      <x:formula>"IN_PROGRESS"</x:formula>
    </x:cfRule>
    <x:cfRule type="cellIs" dxfId="209" priority="15" operator="equal">
      <x:formula>"PLANNED"</x:formula>
    </x:cfRule>
  </x:conditionalFormatting>
  <x:dataValidations count="1">
    <x:dataValidation type="list" sqref="O2:O81">
      <x:formula1>"NOT_STARTED,READY,IN_PROGRESS,DONE,LOCKED,PLANNED,NOT_EXECUTED,LOCAL_PASS,CI_PASS,STAGING_PASS,DEVICE_PASS,PRODUCTION_PASS,BLOCKED_EXTERNAL,FAIL,NOT_PROVIDED"</x:formula1>
    </x:dataValidation>
  </x:dataValidations>
  <x:pageMargins left="0.7" right="0.7" top="0.75" bottom="0.75" header="0.3" footer="0.3"/>
  <x:tableParts count="1">
    <x:tablePart xmlns:r="http://schemas.openxmlformats.org/officeDocument/2006/relationships" r:id="R987532237155466f"/>
  </x:tableParts>
</x:worksheet>
</file>