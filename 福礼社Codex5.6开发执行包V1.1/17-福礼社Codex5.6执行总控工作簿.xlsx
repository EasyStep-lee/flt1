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2ca0cc9569c4079" /></Relationships>
</file>

<file path=xl/workbook.xml><?xml version="1.0" encoding="utf-8"?>
<x:workbook xmlns:x="http://schemas.openxmlformats.org/spreadsheetml/2006/main">
  <x:sheets>
    <x:sheet xmlns:r="http://schemas.openxmlformats.org/officeDocument/2006/relationships" name="总控看板" sheetId="1" r:id="R17aa60a13ccc4a2e"/>
    <x:sheet xmlns:r="http://schemas.openxmlformats.org/officeDocument/2006/relationships" name="阶段门禁" sheetId="2" r:id="R8fc879f587d9438a"/>
    <x:sheet xmlns:r="http://schemas.openxmlformats.org/officeDocument/2006/relationships" name="任务台账" sheetId="3" r:id="R18626cdb42d54182"/>
    <x:sheet xmlns:r="http://schemas.openxmlformats.org/officeDocument/2006/relationships" name="P0验收矩阵" sheetId="4" r:id="R4c5605f5397a4307"/>
    <x:sheet xmlns:r="http://schemas.openxmlformats.org/officeDocument/2006/relationships" name="字段字典" sheetId="5" r:id="Re163a57112894fb9"/>
    <x:sheet xmlns:r="http://schemas.openxmlformats.org/officeDocument/2006/relationships" name="状态机" sheetId="6" r:id="Rb29dd407f0a3440a"/>
    <x:sheet xmlns:r="http://schemas.openxmlformats.org/officeDocument/2006/relationships" name="权限矩阵" sheetId="7" r:id="Rc833a12d4270456b"/>
    <x:sheet xmlns:r="http://schemas.openxmlformats.org/officeDocument/2006/relationships" name="页面映射" sheetId="8" r:id="R3fb8e9d794f94eb5"/>
    <x:sheet xmlns:r="http://schemas.openxmlformats.org/officeDocument/2006/relationships" name="外部依赖" sheetId="9" r:id="Rb9e9ec10607b48c1"/>
    <x:sheet xmlns:r="http://schemas.openxmlformats.org/officeDocument/2006/relationships" name="测试证据" sheetId="10" r:id="R756b4c6c70994889"/>
    <x:sheet xmlns:r="http://schemas.openxmlformats.org/officeDocument/2006/relationships" name="迁移台账" sheetId="11" r:id="R24cb24f684334b3d"/>
    <x:sheet xmlns:r="http://schemas.openxmlformats.org/officeDocument/2006/relationships" name="API台账" sheetId="12" r:id="R3877323458da414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42e3c7b45ca4764" /><Relationship Type="http://schemas.openxmlformats.org/officeDocument/2006/relationships/theme" Target="/xl/theme/theme1.xml" Id="Rfe2132effd1c44dc" /><Relationship Type="http://schemas.openxmlformats.org/officeDocument/2006/relationships/sharedStrings" Target="/xl/sharedStrings.xml" Id="R44875c8319284605" /><Relationship Type="http://schemas.openxmlformats.org/officeDocument/2006/relationships/worksheet" Target="/xl/worksheets/sheet1.xml" Id="R17aa60a13ccc4a2e" /><Relationship Type="http://schemas.openxmlformats.org/officeDocument/2006/relationships/worksheet" Target="/xl/worksheets/sheet2.xml" Id="R8fc879f587d9438a" /><Relationship Type="http://schemas.openxmlformats.org/officeDocument/2006/relationships/worksheet" Target="/xl/worksheets/sheet3.xml" Id="R18626cdb42d54182" /><Relationship Type="http://schemas.openxmlformats.org/officeDocument/2006/relationships/worksheet" Target="/xl/worksheets/sheet4.xml" Id="R4c5605f5397a4307" /><Relationship Type="http://schemas.openxmlformats.org/officeDocument/2006/relationships/worksheet" Target="/xl/worksheets/sheet5.xml" Id="Re163a57112894fb9" /><Relationship Type="http://schemas.openxmlformats.org/officeDocument/2006/relationships/worksheet" Target="/xl/worksheets/sheet6.xml" Id="Rb29dd407f0a3440a" /><Relationship Type="http://schemas.openxmlformats.org/officeDocument/2006/relationships/worksheet" Target="/xl/worksheets/sheet7.xml" Id="Rc833a12d4270456b" /><Relationship Type="http://schemas.openxmlformats.org/officeDocument/2006/relationships/worksheet" Target="/xl/worksheets/sheet8.xml" Id="R3fb8e9d794f94eb5" /><Relationship Type="http://schemas.openxmlformats.org/officeDocument/2006/relationships/worksheet" Target="/xl/worksheets/sheet9.xml" Id="Rb9e9ec10607b48c1" /><Relationship Type="http://schemas.openxmlformats.org/officeDocument/2006/relationships/worksheet" Target="/xl/worksheets/sheet10.xml" Id="R756b4c6c70994889" /><Relationship Type="http://schemas.openxmlformats.org/officeDocument/2006/relationships/worksheet" Target="/xl/worksheets/sheet11.xml" Id="R24cb24f684334b3d" /><Relationship Type="http://schemas.openxmlformats.org/officeDocument/2006/relationships/worksheet" Target="/xl/worksheets/sheet12.xml" Id="R3877323458da414e"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46d29ec644d413e" /></Relationships>
</file>

<file path=xl/worksheets/_rels/sheet3.xml.rels>&#65279;<?xml version="1.0" encoding="utf-8"?><Relationships xmlns="http://schemas.openxmlformats.org/package/2006/relationships"><Relationship Type="http://schemas.openxmlformats.org/officeDocument/2006/relationships/table" Target="/xl/tables/table2.xml" Id="Raa7f02d5e52a4eee" /></Relationships>
</file>

<file path=xl/worksheets/_rels/sheet4.xml.rels>&#65279;<?xml version="1.0" encoding="utf-8"?><Relationships xmlns="http://schemas.openxmlformats.org/package/2006/relationships"><Relationship Type="http://schemas.openxmlformats.org/officeDocument/2006/relationships/table" Target="/xl/tables/table3.xml" Id="Rec8327f6478f4bc3" /></Relationships>
</file>

<file path=xl/worksheets/_rels/sheet5.xml.rels>&#65279;<?xml version="1.0" encoding="utf-8"?><Relationships xmlns="http://schemas.openxmlformats.org/package/2006/relationships"><Relationship Type="http://schemas.openxmlformats.org/officeDocument/2006/relationships/table" Target="/xl/tables/table4.xml" Id="Rc6a8d55d443e439e" /></Relationships>
</file>

<file path=xl/worksheets/_rels/sheet6.xml.rels>&#65279;<?xml version="1.0" encoding="utf-8"?><Relationships xmlns="http://schemas.openxmlformats.org/package/2006/relationships"><Relationship Type="http://schemas.openxmlformats.org/officeDocument/2006/relationships/table" Target="/xl/tables/table5.xml" Id="R62a7f5e0ca1b4b02" /></Relationships>
</file>

<file path=xl/worksheets/_rels/sheet7.xml.rels>&#65279;<?xml version="1.0" encoding="utf-8"?><Relationships xmlns="http://schemas.openxmlformats.org/package/2006/relationships"><Relationship Type="http://schemas.openxmlformats.org/officeDocument/2006/relationships/table" Target="/xl/tables/table6.xml" Id="R6d9f8ed3e7ec4525" /></Relationships>
</file>

<file path=xl/worksheets/_rels/sheet8.xml.rels>&#65279;<?xml version="1.0" encoding="utf-8"?><Relationships xmlns="http://schemas.openxmlformats.org/package/2006/relationships"><Relationship Type="http://schemas.openxmlformats.org/officeDocument/2006/relationships/table" Target="/xl/tables/table7.xml" Id="R7f3bff2733564a5f" /></Relationships>
</file>

<file path=xl/worksheets/_rels/sheet9.xml.rels>&#65279;<?xml version="1.0" encoding="utf-8"?><Relationships xmlns="http://schemas.openxmlformats.org/package/2006/relationships"><Relationship Type="http://schemas.openxmlformats.org/officeDocument/2006/relationships/table" Target="/xl/tables/table8.xml" Id="R64b04246c86446ee" /></Relationships>
</file>

<file path=xl/worksheets/_rels/sheet10.xml.rels>&#65279;<?xml version="1.0" encoding="utf-8"?><Relationships xmlns="http://schemas.openxmlformats.org/package/2006/relationships"><Relationship Type="http://schemas.openxmlformats.org/officeDocument/2006/relationships/table" Target="/xl/tables/table9.xml" Id="R118074131b2340b9" /></Relationships>
</file>

<file path=xl/worksheets/_rels/sheet11.xml.rels>&#65279;<?xml version="1.0" encoding="utf-8"?><Relationships xmlns="http://schemas.openxmlformats.org/package/2006/relationships"><Relationship Type="http://schemas.openxmlformats.org/officeDocument/2006/relationships/table" Target="/xl/tables/table10.xml" Id="R46ad85f6ebb84894" /></Relationships>
</file>

<file path=xl/worksheets/_rels/sheet12.xml.rels>&#65279;<?xml version="1.0" encoding="utf-8"?><Relationships xmlns="http://schemas.openxmlformats.org/package/2006/relationships"><Relationship Type="http://schemas.openxmlformats.org/officeDocument/2006/relationships/table" Target="/xl/tables/table11.xml" Id="R3bad469aa8144a51"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当前：READY_FOR_M0_LOCAL · M0-001至M0-004已完成 · 唯一允许任务 M0-005 · 方案/提示词/执行包三线同源</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4</x:v>
      </x:c>
      <x:c r="E11" s="152" t="n">
        <x:f>COUNTIF('P0验收矩阵'!$C$2:$C$120,A11)</x:f>
        <x:v>0</x:v>
      </x:c>
      <x:c r="F11" s="152" t="n">
        <x:f>COUNTIFS('P0验收矩阵'!$C$2:$C$120,A11,'P0验收矩阵'!$I$2:$I$120,"*PASS")</x:f>
        <x:v>0</x:v>
      </x:c>
      <x:c r="G11" s="152" t="str">
        <x:f>INDEX('任务台账'!$M$2:$M$150,MATCH(A11&amp;"-GATE",'任务台账'!$A$2:$A$150,0))</x:f>
        <x:v>NOT_STARTED</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V1.1新增：福利卡无个人充值、自然人双人复核、公开ISR/交易no-store、OpenAPI确定生成分端适配；每次只推进一个IN_PROGRESS任务。</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46d29ec644d413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DONE</x:v>
      </x:c>
      <x:c r="N5" s="4" t="str">
        <x:v>LOCAL_PASS</x:v>
      </x:c>
      <x:c r="O5" s="4" t="str">
        <x:v>CODEX</x:v>
      </x:c>
      <x:c r="P5" s="4" t="str"/>
      <x:c r="Q5" s="17" t="str">
        <x:v>codex/m0-pnpm-workspace-turborepo</x:v>
      </x:c>
      <x:c r="R5" s="4" t="str">
        <x:v>codex/m0-pnpm-workspace-turborepo</x:v>
      </x:c>
      <x:c r="S5" s="4" t="str">
        <x:v>9067c36c87949693bc53432a57b149314b592cc2</x:v>
      </x:c>
      <x:c r="T5" s="4" t="str"/>
      <x:c r="U5" s="4" t="str">
        <x:v>BLOCKED_EXTERNAL</x:v>
      </x:c>
      <x:c r="V5" s="4" t="str">
        <x:v>NO</x:v>
      </x:c>
      <x:c r="W5" s="17" t="str">
        <x:v>按原子提交回退；迁移仅向前修复</x:v>
      </x:c>
      <x:c r="X5" s="4" t="n">
        <x:v>46236.41232638889</x:v>
      </x:c>
      <x:c r="Y5" s="17" t="str">
        <x:v>Node22.23.1/pnpm10.12.1/Turbo2.10.8已锁定；临时干净目录冻结安装与工作区契约通过；真实质量命令保留至后续任务。</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READY</x:v>
      </x:c>
      <x:c r="N6" s="4" t="str">
        <x:v>NOT_EXECUTED</x:v>
      </x:c>
      <x:c r="O6" s="4" t="str">
        <x:v>UNASSIGNED</x:v>
      </x:c>
      <x:c r="P6" s="4" t="str"/>
      <x:c r="Q6" s="17" t="str">
        <x:v>codex/m0-nestjs-prisma-mysql-redis-bullmq</x:v>
      </x:c>
      <x:c r="R6" s="4" t="str"/>
      <x:c r="S6" s="4" t="str"/>
      <x:c r="T6" s="4" t="str"/>
      <x:c r="U6" s="4" t="str"/>
      <x:c r="V6" s="4" t="str">
        <x:v>NO</x:v>
      </x:c>
      <x:c r="W6" s="17" t="str">
        <x:v>按原子提交回退；迁移仅向前修复</x:v>
      </x:c>
      <x:c r="X6" s="4" t="n">
        <x:v>46236.41232638889</x:v>
      </x:c>
      <x:c r="Y6" s="17" t="str">
        <x:v>M0-004本地工作区与锁文件已满足；只允许建立API和基础服务，不得实现业务闭环。</x:v>
      </x:c>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NOT_STARTED</x:v>
      </x:c>
      <x:c r="N7" s="4" t="str">
        <x:v>NOT_EXECUTED</x:v>
      </x:c>
      <x:c r="O7" s="4" t="str">
        <x:v>UNASSIGNED</x:v>
      </x:c>
      <x:c r="P7" s="4" t="str"/>
      <x:c r="Q7" s="17" t="str">
        <x:v>codex/m0-m0-006</x:v>
      </x:c>
      <x:c r="R7" s="4" t="str"/>
      <x:c r="S7" s="4" t="str"/>
      <x:c r="T7" s="4" t="str"/>
      <x:c r="U7" s="4" t="str"/>
      <x:c r="V7" s="4" t="str">
        <x:v>NO</x:v>
      </x:c>
      <x:c r="W7" s="17" t="str">
        <x:v>按原子提交回退；迁移仅向前修复</x:v>
      </x:c>
      <x:c r="X7" s="4" t="str"/>
      <x:c r="Y7" s="17" t="str"/>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NOT_STARTED</x:v>
      </x:c>
      <x:c r="N8" s="4" t="str">
        <x:v>NOT_EXECUTED</x:v>
      </x:c>
      <x:c r="O8" s="4" t="str">
        <x:v>UNASSIGNED</x:v>
      </x:c>
      <x:c r="P8" s="4" t="str"/>
      <x:c r="Q8" s="17" t="str">
        <x:v>codex/m0-schema</x:v>
      </x:c>
      <x:c r="R8" s="4" t="str"/>
      <x:c r="S8" s="4" t="str"/>
      <x:c r="T8" s="4" t="str"/>
      <x:c r="U8" s="4" t="str"/>
      <x:c r="V8" s="4" t="str">
        <x:v>NO</x:v>
      </x:c>
      <x:c r="W8" s="17" t="str">
        <x:v>按原子提交回退；迁移仅向前修复</x:v>
      </x:c>
      <x:c r="X8" s="4" t="str"/>
      <x:c r="Y8" s="17" t="str"/>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NOT_STARTED</x:v>
      </x:c>
      <x:c r="N9" s="4" t="str">
        <x:v>NOT_EXECUTED</x:v>
      </x:c>
      <x:c r="O9" s="4" t="str">
        <x:v>UNASSIGNED</x:v>
      </x:c>
      <x:c r="P9" s="4" t="str"/>
      <x:c r="Q9" s="17" t="str">
        <x:v>codex/m0-openapi-dto</x:v>
      </x:c>
      <x:c r="R9" s="4" t="str"/>
      <x:c r="S9" s="4" t="str"/>
      <x:c r="T9" s="4" t="str"/>
      <x:c r="U9" s="4" t="str"/>
      <x:c r="V9" s="4" t="str">
        <x:v>NO</x:v>
      </x:c>
      <x:c r="W9" s="17" t="str">
        <x:v>按原子提交回退；迁移仅向前修复</x:v>
      </x:c>
      <x:c r="X9" s="4" t="str"/>
      <x:c r="Y9" s="17" t="str"/>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NOT_STARTED</x:v>
      </x:c>
      <x:c r="N10" s="4" t="str">
        <x:v>NOT_EXECUTED</x:v>
      </x:c>
      <x:c r="O10" s="4" t="str">
        <x:v>UNASSIGNED</x:v>
      </x:c>
      <x:c r="P10" s="4" t="str"/>
      <x:c r="Q10" s="17" t="str">
        <x:v>codex/m0-m0-009</x:v>
      </x:c>
      <x:c r="R10" s="4" t="str"/>
      <x:c r="S10" s="4" t="str"/>
      <x:c r="T10" s="4" t="str"/>
      <x:c r="U10" s="4" t="str"/>
      <x:c r="V10" s="4" t="str">
        <x:v>NO</x:v>
      </x:c>
      <x:c r="W10" s="17" t="str">
        <x:v>按原子提交回退；迁移仅向前修复</x:v>
      </x:c>
      <x:c r="X10" s="4" t="str"/>
      <x:c r="Y10" s="17" t="str"/>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NOT_STARTED</x:v>
      </x:c>
      <x:c r="N11" s="4" t="str">
        <x:v>NOT_EXECUTED</x:v>
      </x:c>
      <x:c r="O11" s="4" t="str">
        <x:v>UNASSIGNED</x:v>
      </x:c>
      <x:c r="P11" s="4" t="str"/>
      <x:c r="Q11" s="17" t="str">
        <x:v>codex/m0-prisma</x:v>
      </x:c>
      <x:c r="R11" s="4" t="str"/>
      <x:c r="S11" s="4" t="str"/>
      <x:c r="T11" s="4" t="str"/>
      <x:c r="U11" s="4" t="str"/>
      <x:c r="V11" s="4" t="str">
        <x:v>NO</x:v>
      </x:c>
      <x:c r="W11" s="17" t="str">
        <x:v>按原子提交回退；迁移仅向前修复</x:v>
      </x:c>
      <x:c r="X11" s="4" t="str"/>
      <x:c r="Y11" s="17" t="str"/>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NOT_STARTED</x:v>
      </x:c>
      <x:c r="N12" s="4" t="str">
        <x:v>NOT_EXECUTED</x:v>
      </x:c>
      <x:c r="O12" s="4" t="str">
        <x:v>UNASSIGNED</x:v>
      </x:c>
      <x:c r="P12" s="4" t="str"/>
      <x:c r="Q12" s="17" t="str">
        <x:v>codex/m0-pnpm-verify-github-ci</x:v>
      </x:c>
      <x:c r="R12" s="4" t="str"/>
      <x:c r="S12" s="4" t="str"/>
      <x:c r="T12" s="4" t="str"/>
      <x:c r="U12" s="4" t="str"/>
      <x:c r="V12" s="4" t="str">
        <x:v>NO</x:v>
      </x:c>
      <x:c r="W12" s="17" t="str">
        <x:v>按原子提交回退；迁移仅向前修复</x:v>
      </x:c>
      <x:c r="X12" s="4" t="str"/>
      <x:c r="Y12" s="17" t="str"/>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NOT_STARTED</x:v>
      </x:c>
      <x:c r="N13" s="4" t="str">
        <x:v>NOT_EXECUTED</x:v>
      </x:c>
      <x:c r="O13" s="4" t="str">
        <x:v>UNASSIGNED</x:v>
      </x:c>
      <x:c r="P13" s="4" t="str"/>
      <x:c r="Q13" s="17" t="str">
        <x:v>codex/m0-m0</x:v>
      </x:c>
      <x:c r="R13" s="4" t="str"/>
      <x:c r="S13" s="4" t="str"/>
      <x:c r="T13" s="4" t="str"/>
      <x:c r="U13" s="4" t="str"/>
      <x:c r="V13" s="4" t="str">
        <x:v>NO</x:v>
      </x:c>
      <x:c r="W13" s="17" t="str">
        <x:v>按原子提交回退；迁移仅向前修复</x:v>
      </x:c>
      <x:c r="X13" s="4" t="str"/>
      <x:c r="Y13" s="17" t="str"/>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NOT_STARTED</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str"/>
      <x:c r="Y14" s="17" t="str"/>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a7f02d5e52a4ee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c8327f6478f4bc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6a8d55d443e439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2a7f5e0ca1b4b0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d9f8ed3e7ec452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f3bff2733564a5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4b04246c86446e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18074131b2340b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c r="R2" s="17" t="str"/>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6ad85f6ebb8489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HealthResponse</x:v>
      </x:c>
      <x:c r="I2" s="17" t="str">
        <x:v>{success,data,error:{code,message,details?},requestId}</x:v>
      </x:c>
      <x:c r="J2" s="17" t="str">
        <x:v>COMMON_AUTH_VALIDATION_ERRORS</x:v>
      </x:c>
      <x:c r="K2" s="4" t="str">
        <x:v>NONE</x:v>
      </x:c>
      <x:c r="L2" s="17" t="str">
        <x:v>NEVER_RETURN; DTO白名单；对象归属校验先于查询结果返回</x:v>
      </x:c>
      <x:c r="M2" s="17" t="str">
        <x:v>N/A</x:v>
      </x:c>
      <x:c r="N2" s="17" t="str">
        <x:v>P0-048</x:v>
      </x:c>
      <x:c r="O2" s="4" t="str">
        <x:v>PLANNED</x:v>
      </x:c>
      <x:c r="P2" s="4" t="str">
        <x:v>PLANNED</x:v>
      </x:c>
      <x:c r="Q2" s="4" t="str">
        <x:v>PLANNED</x:v>
      </x:c>
      <x:c r="R2" s="4" t="str">
        <x:v>TO_BE_CREATED</x:v>
      </x:c>
      <x:c r="S2" s="4" t="str">
        <x:v>UNASSIGNED</x:v>
      </x:c>
      <x:c r="T2" s="17" t="str">
        <x:v>路径为执行初始契约；阶段M*-000冻结后方可编码</x:v>
      </x:c>
    </x:row>
    <x:row r="3" ht="23" customHeight="1">
      <x:c r="A3" s="4" t="str">
        <x:v>API-002</x:v>
      </x:c>
      <x:c r="B3" s="4" t="str">
        <x:v>M0</x:v>
      </x:c>
      <x:c r="C3" s="4" t="str">
        <x:v>system</x:v>
      </x:c>
      <x:c r="D3" s="4" t="str">
        <x:v>GET</x:v>
      </x:c>
      <x:c r="E3" s="17" t="str">
        <x:v>/health/ready</x:v>
      </x:c>
      <x:c r="F3" s="17" t="str">
        <x:v>INTERNAL</x:v>
      </x:c>
      <x:c r="G3" s="17" t="str">
        <x:v>None</x:v>
      </x:c>
      <x:c r="H3" s="17" t="str">
        <x:v>ReadinessResponse</x:v>
      </x:c>
      <x:c r="I3" s="17" t="str">
        <x:v>{success,data,error:{code,message,details?},requestId}</x:v>
      </x:c>
      <x:c r="J3" s="17" t="str">
        <x:v>DEPENDENCY_UNAVAILABLE</x:v>
      </x:c>
      <x:c r="K3" s="4" t="str">
        <x:v>NONE</x:v>
      </x:c>
      <x:c r="L3" s="17" t="str">
        <x:v>NEVER_RETURN; DTO白名单；对象归属校验先于查询结果返回</x:v>
      </x:c>
      <x:c r="M3" s="17" t="str">
        <x:v>N/A</x:v>
      </x:c>
      <x:c r="N3" s="17" t="str">
        <x:v>P0-048</x:v>
      </x:c>
      <x:c r="O3" s="4" t="str">
        <x:v>PLANNED</x:v>
      </x:c>
      <x:c r="P3" s="4" t="str">
        <x:v>PLANNED</x:v>
      </x:c>
      <x:c r="Q3" s="4" t="str">
        <x:v>PLANNED</x:v>
      </x:c>
      <x:c r="R3" s="4" t="str">
        <x:v>TO_BE_CREATED</x:v>
      </x:c>
      <x:c r="S3" s="4" t="str">
        <x:v>UNASSIGNED</x:v>
      </x:c>
      <x:c r="T3" s="17" t="str">
        <x:v>路径为执行初始契约；阶段M*-000冻结后方可编码</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bad469aa8144a51"/>
  </x:tableParts>
</x:worksheet>
</file>