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46df4b01b39453d" /></Relationships>
</file>

<file path=xl/workbook.xml><?xml version="1.0" encoding="utf-8"?>
<x:workbook xmlns:x="http://schemas.openxmlformats.org/spreadsheetml/2006/main">
  <x:sheets>
    <x:sheet xmlns:r="http://schemas.openxmlformats.org/officeDocument/2006/relationships" name="总控看板" sheetId="1" r:id="Re9548a6b980b4b0d"/>
    <x:sheet xmlns:r="http://schemas.openxmlformats.org/officeDocument/2006/relationships" name="阶段门禁" sheetId="2" r:id="R4d9c75057e064e64"/>
    <x:sheet xmlns:r="http://schemas.openxmlformats.org/officeDocument/2006/relationships" name="任务台账" sheetId="3" r:id="R0ef32774920345ce"/>
    <x:sheet xmlns:r="http://schemas.openxmlformats.org/officeDocument/2006/relationships" name="P0验收矩阵" sheetId="4" r:id="R56447b5a4fb1489f"/>
    <x:sheet xmlns:r="http://schemas.openxmlformats.org/officeDocument/2006/relationships" name="字段字典" sheetId="5" r:id="R413f02e305f94107"/>
    <x:sheet xmlns:r="http://schemas.openxmlformats.org/officeDocument/2006/relationships" name="状态机" sheetId="6" r:id="R6212194d17d14907"/>
    <x:sheet xmlns:r="http://schemas.openxmlformats.org/officeDocument/2006/relationships" name="权限矩阵" sheetId="7" r:id="R53c1be1c4a834fb8"/>
    <x:sheet xmlns:r="http://schemas.openxmlformats.org/officeDocument/2006/relationships" name="页面映射" sheetId="8" r:id="R4d2dbfda1317454a"/>
    <x:sheet xmlns:r="http://schemas.openxmlformats.org/officeDocument/2006/relationships" name="外部依赖" sheetId="9" r:id="R1aedb8419c984b50"/>
    <x:sheet xmlns:r="http://schemas.openxmlformats.org/officeDocument/2006/relationships" name="测试证据" sheetId="10" r:id="Re6cc60e478134318"/>
    <x:sheet xmlns:r="http://schemas.openxmlformats.org/officeDocument/2006/relationships" name="迁移台账" sheetId="11" r:id="R3de1659ab0234e9e"/>
    <x:sheet xmlns:r="http://schemas.openxmlformats.org/officeDocument/2006/relationships" name="API台账" sheetId="12" r:id="R9385d1e30685401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68c2bdecee4bd2" /><Relationship Type="http://schemas.openxmlformats.org/officeDocument/2006/relationships/theme" Target="/xl/theme/theme1.xml" Id="R42d23b163ddb4193" /><Relationship Type="http://schemas.openxmlformats.org/officeDocument/2006/relationships/sharedStrings" Target="/xl/sharedStrings.xml" Id="Rb5b4afd659904d77" /><Relationship Type="http://schemas.openxmlformats.org/officeDocument/2006/relationships/worksheet" Target="/xl/worksheets/sheet1.xml" Id="Re9548a6b980b4b0d" /><Relationship Type="http://schemas.openxmlformats.org/officeDocument/2006/relationships/worksheet" Target="/xl/worksheets/sheet2.xml" Id="R4d9c75057e064e64" /><Relationship Type="http://schemas.openxmlformats.org/officeDocument/2006/relationships/worksheet" Target="/xl/worksheets/sheet3.xml" Id="R0ef32774920345ce" /><Relationship Type="http://schemas.openxmlformats.org/officeDocument/2006/relationships/worksheet" Target="/xl/worksheets/sheet4.xml" Id="R56447b5a4fb1489f" /><Relationship Type="http://schemas.openxmlformats.org/officeDocument/2006/relationships/worksheet" Target="/xl/worksheets/sheet5.xml" Id="R413f02e305f94107" /><Relationship Type="http://schemas.openxmlformats.org/officeDocument/2006/relationships/worksheet" Target="/xl/worksheets/sheet6.xml" Id="R6212194d17d14907" /><Relationship Type="http://schemas.openxmlformats.org/officeDocument/2006/relationships/worksheet" Target="/xl/worksheets/sheet7.xml" Id="R53c1be1c4a834fb8" /><Relationship Type="http://schemas.openxmlformats.org/officeDocument/2006/relationships/worksheet" Target="/xl/worksheets/sheet8.xml" Id="R4d2dbfda1317454a" /><Relationship Type="http://schemas.openxmlformats.org/officeDocument/2006/relationships/worksheet" Target="/xl/worksheets/sheet9.xml" Id="R1aedb8419c984b50" /><Relationship Type="http://schemas.openxmlformats.org/officeDocument/2006/relationships/worksheet" Target="/xl/worksheets/sheet10.xml" Id="Re6cc60e478134318" /><Relationship Type="http://schemas.openxmlformats.org/officeDocument/2006/relationships/worksheet" Target="/xl/worksheets/sheet11.xml" Id="R3de1659ab0234e9e" /><Relationship Type="http://schemas.openxmlformats.org/officeDocument/2006/relationships/worksheet" Target="/xl/worksheets/sheet12.xml" Id="R9385d1e30685401f"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e5e72ba328f4949" /></Relationships>
</file>

<file path=xl/worksheets/_rels/sheet3.xml.rels>&#65279;<?xml version="1.0" encoding="utf-8"?><Relationships xmlns="http://schemas.openxmlformats.org/package/2006/relationships"><Relationship Type="http://schemas.openxmlformats.org/officeDocument/2006/relationships/table" Target="/xl/tables/table2.xml" Id="R578774ea23774de7" /></Relationships>
</file>

<file path=xl/worksheets/_rels/sheet4.xml.rels>&#65279;<?xml version="1.0" encoding="utf-8"?><Relationships xmlns="http://schemas.openxmlformats.org/package/2006/relationships"><Relationship Type="http://schemas.openxmlformats.org/officeDocument/2006/relationships/table" Target="/xl/tables/table3.xml" Id="R99a583e7c4c44f55" /></Relationships>
</file>

<file path=xl/worksheets/_rels/sheet5.xml.rels>&#65279;<?xml version="1.0" encoding="utf-8"?><Relationships xmlns="http://schemas.openxmlformats.org/package/2006/relationships"><Relationship Type="http://schemas.openxmlformats.org/officeDocument/2006/relationships/table" Target="/xl/tables/table4.xml" Id="R464c2944b38f415c" /></Relationships>
</file>

<file path=xl/worksheets/_rels/sheet6.xml.rels>&#65279;<?xml version="1.0" encoding="utf-8"?><Relationships xmlns="http://schemas.openxmlformats.org/package/2006/relationships"><Relationship Type="http://schemas.openxmlformats.org/officeDocument/2006/relationships/table" Target="/xl/tables/table5.xml" Id="Rbe24b53bae2a4384" /></Relationships>
</file>

<file path=xl/worksheets/_rels/sheet7.xml.rels>&#65279;<?xml version="1.0" encoding="utf-8"?><Relationships xmlns="http://schemas.openxmlformats.org/package/2006/relationships"><Relationship Type="http://schemas.openxmlformats.org/officeDocument/2006/relationships/table" Target="/xl/tables/table6.xml" Id="Rc707576b233b44c0" /></Relationships>
</file>

<file path=xl/worksheets/_rels/sheet8.xml.rels>&#65279;<?xml version="1.0" encoding="utf-8"?><Relationships xmlns="http://schemas.openxmlformats.org/package/2006/relationships"><Relationship Type="http://schemas.openxmlformats.org/officeDocument/2006/relationships/table" Target="/xl/tables/table7.xml" Id="R64f964fe1b3a4251" /></Relationships>
</file>

<file path=xl/worksheets/_rels/sheet9.xml.rels>&#65279;<?xml version="1.0" encoding="utf-8"?><Relationships xmlns="http://schemas.openxmlformats.org/package/2006/relationships"><Relationship Type="http://schemas.openxmlformats.org/officeDocument/2006/relationships/table" Target="/xl/tables/table8.xml" Id="R3af782518d814b09" /></Relationships>
</file>

<file path=xl/worksheets/_rels/sheet10.xml.rels>&#65279;<?xml version="1.0" encoding="utf-8"?><Relationships xmlns="http://schemas.openxmlformats.org/package/2006/relationships"><Relationship Type="http://schemas.openxmlformats.org/officeDocument/2006/relationships/table" Target="/xl/tables/table9.xml" Id="R28f8c14d195b429e" /></Relationships>
</file>

<file path=xl/worksheets/_rels/sheet11.xml.rels>&#65279;<?xml version="1.0" encoding="utf-8"?><Relationships xmlns="http://schemas.openxmlformats.org/package/2006/relationships"><Relationship Type="http://schemas.openxmlformats.org/officeDocument/2006/relationships/table" Target="/xl/tables/table10.xml" Id="R786741923a934cd7" /></Relationships>
</file>

<file path=xl/worksheets/_rels/sheet12.xml.rels>&#65279;<?xml version="1.0" encoding="utf-8"?><Relationships xmlns="http://schemas.openxmlformats.org/package/2006/relationships"><Relationship Type="http://schemas.openxmlformats.org/officeDocument/2006/relationships/table" Target="/xl/tables/table11.xml" Id="R7b6ffbe7fa584ab8"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当前：READY_FOR_M0_LOCAL · M0-001至M0-005已完成 · 唯一允许任务 M0-006 · 方案/提示词/执行包三线同源</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5</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5</x:v>
      </x:c>
      <x:c r="E11" s="152" t="n">
        <x:f>COUNTIF('P0验收矩阵'!$C$2:$C$120,A11)</x:f>
        <x:v>0</x:v>
      </x:c>
      <x:c r="F11" s="152" t="n">
        <x:f>COUNTIFS('P0验收矩阵'!$C$2:$C$120,A11,'P0验收矩阵'!$I$2:$I$120,"*PASS")</x:f>
        <x:v>0</x:v>
      </x:c>
      <x:c r="G11" s="152" t="str">
        <x:f>INDEX('任务台账'!$M$2:$M$150,MATCH(A11&amp;"-GATE",'任务台账'!$A$2:$A$150,0))</x:f>
        <x:v>NOT_STARTED</x:v>
      </x:c>
      <x:c r="H11" s="152" t="str">
        <x:f>INDEX('任务台账'!$N$2:$N$150,MATCH(A11&amp;"-GATE",'任务台账'!$A$2:$A$150,0))</x:f>
        <x:v>NOT_EXECUTED</x:v>
      </x:c>
      <x:c r="I11" s="152" t="str">
        <x:f>IF(COUNTIF('任务台账'!$M$2:$M$150,"IN_PROGRESS")&gt;1,"CONTROL_ERROR","READY")</x:f>
        <x:v>READY</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0</x:v>
      </x:c>
      <x:c r="E12" s="152" t="n">
        <x:f>COUNTIF('P0验收矩阵'!$C$2:$C$120,A12)</x:f>
        <x:v>14</x:v>
      </x:c>
      <x:c r="F12" s="152" t="n">
        <x:f>COUNTIFS('P0验收矩阵'!$C$2:$C$120,A12,'P0验收矩阵'!$I$2:$I$120,"*PASS")</x:f>
        <x:v>0</x:v>
      </x:c>
      <x:c r="G12" s="152" t="str">
        <x:f>INDEX('任务台账'!$M$2:$M$150,MATCH(A12&amp;"-GATE",'任务台账'!$A$2:$A$150,0))</x:f>
        <x:v>NOT_STARTED</x:v>
      </x:c>
      <x:c r="H12" s="152" t="str">
        <x:f>INDEX('任务台账'!$N$2:$N$150,MATCH(A12&amp;"-GATE",'任务台账'!$A$2:$A$150,0))</x:f>
        <x:v>NOT_EXECUTED</x:v>
      </x:c>
      <x:c r="I12" s="152" t="str">
        <x:f>IF(INDEX('任务台账'!$M$2:$M$150,MATCH("M0-GATE",'任务台账'!$A$2:$A$150,0))="DONE","READY","LOCKED")</x:f>
        <x:v>LOCKED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V1.1新增：福利卡无个人充值、自然人双人复核、公开ISR/交易no-store、OpenAPI确定生成分端适配；每次只推进一个IN_PROGRESS任务。</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READY</x:v>
      </x:c>
      <x:c r="O2" s="4" t="str">
        <x:v>NOT_EXECUTED</x:v>
      </x:c>
      <x:c r="P2" s="4" t="str"/>
      <x:c r="Q2" s="4" t="str"/>
      <x:c r="R2" s="4" t="str"/>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LOCKED</x:v>
      </x:c>
      <x:c r="O3" s="4" t="str">
        <x:v>NOT_EXECUTED</x:v>
      </x:c>
      <x:c r="P3" s="4" t="str"/>
      <x:c r="Q3" s="4" t="str"/>
      <x:c r="R3" s="4" t="str"/>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e5e72ba328f494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READY</x:v>
      </x:c>
      <x:c r="N7" s="4" t="str">
        <x:v>NOT_EXECUTED</x:v>
      </x:c>
      <x:c r="O7" s="4" t="str">
        <x:v>UNASSIGNED</x:v>
      </x:c>
      <x:c r="P7" s="4" t="str"/>
      <x:c r="Q7" s="17" t="str">
        <x:v>codex/m0-m0-006</x:v>
      </x:c>
      <x:c r="R7" s="4" t="str"/>
      <x:c r="S7" s="4" t="str"/>
      <x:c r="T7" s="4" t="str"/>
      <x:c r="U7" s="4" t="str"/>
      <x:c r="V7" s="4" t="str">
        <x:v>NO</x:v>
      </x:c>
      <x:c r="W7" s="17" t="str">
        <x:v>按原子提交回退；迁移仅向前修复</x:v>
      </x:c>
      <x:c r="X7" s="4" t="n">
        <x:v>46236.450011574074</x:v>
      </x:c>
      <x:c r="Y7" s="17" t="str">
        <x:v>唯一允许任务；只初始化五端独立可构建应用壳和既定路由/传输边界；不得实现业务页面或业务闭环。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NOT_STARTED</x:v>
      </x:c>
      <x:c r="N8" s="4" t="str">
        <x:v>NOT_EXECUTED</x:v>
      </x:c>
      <x:c r="O8" s="4" t="str">
        <x:v>UNASSIGNED</x:v>
      </x:c>
      <x:c r="P8" s="4" t="str"/>
      <x:c r="Q8" s="17" t="str">
        <x:v>codex/m0-schema</x:v>
      </x:c>
      <x:c r="R8" s="4" t="str"/>
      <x:c r="S8" s="4" t="str"/>
      <x:c r="T8" s="4" t="str"/>
      <x:c r="U8" s="4" t="str"/>
      <x:c r="V8" s="4" t="str">
        <x:v>NO</x:v>
      </x:c>
      <x:c r="W8" s="17" t="str">
        <x:v>按原子提交回退；迁移仅向前修复</x:v>
      </x:c>
      <x:c r="X8" s="4" t="str"/>
      <x:c r="Y8" s="17" t="str"/>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NOT_STARTED</x:v>
      </x:c>
      <x:c r="N9" s="4" t="str">
        <x:v>NOT_EXECUTED</x:v>
      </x:c>
      <x:c r="O9" s="4" t="str">
        <x:v>UNASSIGNED</x:v>
      </x:c>
      <x:c r="P9" s="4" t="str"/>
      <x:c r="Q9" s="17" t="str">
        <x:v>codex/m0-openapi-dto</x:v>
      </x:c>
      <x:c r="R9" s="4" t="str"/>
      <x:c r="S9" s="4" t="str"/>
      <x:c r="T9" s="4" t="str"/>
      <x:c r="U9" s="4" t="str"/>
      <x:c r="V9" s="4" t="str">
        <x:v>NO</x:v>
      </x:c>
      <x:c r="W9" s="17" t="str">
        <x:v>按原子提交回退；迁移仅向前修复</x:v>
      </x:c>
      <x:c r="X9" s="4" t="str"/>
      <x:c r="Y9" s="17" t="str"/>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NOT_STARTED</x:v>
      </x:c>
      <x:c r="N10" s="4" t="str">
        <x:v>NOT_EXECUTED</x:v>
      </x:c>
      <x:c r="O10" s="4" t="str">
        <x:v>UNASSIGNED</x:v>
      </x:c>
      <x:c r="P10" s="4" t="str"/>
      <x:c r="Q10" s="17" t="str">
        <x:v>codex/m0-m0-009</x:v>
      </x:c>
      <x:c r="R10" s="4" t="str"/>
      <x:c r="S10" s="4" t="str"/>
      <x:c r="T10" s="4" t="str"/>
      <x:c r="U10" s="4" t="str"/>
      <x:c r="V10" s="4" t="str">
        <x:v>NO</x:v>
      </x:c>
      <x:c r="W10" s="17" t="str">
        <x:v>按原子提交回退；迁移仅向前修复</x:v>
      </x:c>
      <x:c r="X10" s="4" t="str"/>
      <x:c r="Y10" s="17" t="str"/>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NOT_STARTED</x:v>
      </x:c>
      <x:c r="N11" s="4" t="str">
        <x:v>NOT_EXECUTED</x:v>
      </x:c>
      <x:c r="O11" s="4" t="str">
        <x:v>UNASSIGNED</x:v>
      </x:c>
      <x:c r="P11" s="4" t="str"/>
      <x:c r="Q11" s="17" t="str">
        <x:v>codex/m0-prisma</x:v>
      </x:c>
      <x:c r="R11" s="4" t="str"/>
      <x:c r="S11" s="4" t="str"/>
      <x:c r="T11" s="4" t="str"/>
      <x:c r="U11" s="4" t="str"/>
      <x:c r="V11" s="4" t="str">
        <x:v>NO</x:v>
      </x:c>
      <x:c r="W11" s="17" t="str">
        <x:v>按原子提交回退；迁移仅向前修复</x:v>
      </x:c>
      <x:c r="X11" s="4" t="str"/>
      <x:c r="Y11" s="17" t="str"/>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NOT_STARTED</x:v>
      </x:c>
      <x:c r="N12" s="4" t="str">
        <x:v>NOT_EXECUTED</x:v>
      </x:c>
      <x:c r="O12" s="4" t="str">
        <x:v>UNASSIGNED</x:v>
      </x:c>
      <x:c r="P12" s="4" t="str"/>
      <x:c r="Q12" s="17" t="str">
        <x:v>codex/m0-pnpm-verify-github-ci</x:v>
      </x:c>
      <x:c r="R12" s="4" t="str"/>
      <x:c r="S12" s="4" t="str"/>
      <x:c r="T12" s="4" t="str"/>
      <x:c r="U12" s="4" t="str"/>
      <x:c r="V12" s="4" t="str">
        <x:v>NO</x:v>
      </x:c>
      <x:c r="W12" s="17" t="str">
        <x:v>按原子提交回退；迁移仅向前修复</x:v>
      </x:c>
      <x:c r="X12" s="4" t="str"/>
      <x:c r="Y12" s="17" t="str"/>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NOT_STARTED</x:v>
      </x:c>
      <x:c r="N13" s="4" t="str">
        <x:v>NOT_EXECUTED</x:v>
      </x:c>
      <x:c r="O13" s="4" t="str">
        <x:v>UNASSIGNED</x:v>
      </x:c>
      <x:c r="P13" s="4" t="str"/>
      <x:c r="Q13" s="17" t="str">
        <x:v>codex/m0-m0</x:v>
      </x:c>
      <x:c r="R13" s="4" t="str"/>
      <x:c r="S13" s="4" t="str"/>
      <x:c r="T13" s="4" t="str"/>
      <x:c r="U13" s="4" t="str"/>
      <x:c r="V13" s="4" t="str">
        <x:v>NO</x:v>
      </x:c>
      <x:c r="W13" s="17" t="str">
        <x:v>按原子提交回退；迁移仅向前修复</x:v>
      </x:c>
      <x:c r="X13" s="4" t="str"/>
      <x:c r="Y13" s="17" t="str"/>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NOT_STARTED</x:v>
      </x:c>
      <x:c r="N14" s="4" t="str">
        <x:v>NOT_EXECUTED</x:v>
      </x:c>
      <x:c r="O14" s="4" t="str">
        <x:v>UNASSIGNED</x:v>
      </x:c>
      <x:c r="P14" s="4" t="str"/>
      <x:c r="Q14" s="17" t="str">
        <x:v>codex/m0-m0</x:v>
      </x:c>
      <x:c r="R14" s="4" t="str"/>
      <x:c r="S14" s="4" t="str"/>
      <x:c r="T14" s="4" t="str"/>
      <x:c r="U14" s="4" t="str"/>
      <x:c r="V14" s="4" t="str">
        <x:v>YES</x:v>
      </x:c>
      <x:c r="W14" s="17" t="str">
        <x:v>按原子提交回退；迁移仅向前修复</x:v>
      </x:c>
      <x:c r="X14" s="4" t="str"/>
      <x:c r="Y14" s="17" t="str"/>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NOT_STARTED</x:v>
      </x:c>
      <x:c r="N15" s="4" t="str">
        <x:v>NOT_EXECUTED</x:v>
      </x:c>
      <x:c r="O15" s="4" t="str">
        <x:v>UNASSIGNED</x:v>
      </x:c>
      <x:c r="P15" s="4" t="str"/>
      <x:c r="Q15" s="17" t="str">
        <x:v>codex/m1-m1</x:v>
      </x:c>
      <x:c r="R15" s="4" t="str"/>
      <x:c r="S15" s="4" t="str"/>
      <x:c r="T15" s="4" t="str"/>
      <x:c r="U15" s="4" t="str"/>
      <x:c r="V15" s="4" t="str">
        <x:v>NO</x:v>
      </x:c>
      <x:c r="W15" s="17" t="str">
        <x:v>按原子提交回退；迁移仅向前修复</x:v>
      </x:c>
      <x:c r="X15" s="4" t="str"/>
      <x:c r="Y15" s="17" t="str"/>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NOT_STARTED</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str"/>
      <x:c r="Y16" s="17" t="str"/>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78774ea23774de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TO_BE_CREATED</x:v>
      </x:c>
      <x:c r="K2" s="4" t="str">
        <x:v>N/A</x:v>
      </x:c>
      <x:c r="L2" s="17" t="str">
        <x:v>越权；重复请求；非法状态；敏感字段泄露；失败恢复（按适用性执行）</x:v>
      </x:c>
      <x:c r="M2" s="4" t="str"/>
      <x:c r="N2" s="4" t="str"/>
      <x:c r="O2" s="4" t="str"/>
      <x:c r="P2" s="4" t="str"/>
      <x:c r="Q2" s="4" t="str"/>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TO_BE_CREATED</x:v>
      </x:c>
      <x:c r="K3" s="4" t="str">
        <x:v>N/A</x:v>
      </x:c>
      <x:c r="L3" s="17" t="str">
        <x:v>越权；重复请求；非法状态；敏感字段泄露；失败恢复（按适用性执行）</x:v>
      </x:c>
      <x:c r="M3" s="4" t="str"/>
      <x:c r="N3" s="4" t="str"/>
      <x:c r="O3" s="4" t="str"/>
      <x:c r="P3" s="4" t="str"/>
      <x:c r="Q3" s="4" t="str"/>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TO_BE_CREATED</x:v>
      </x:c>
      <x:c r="K4" s="4" t="str">
        <x:v>N/A</x:v>
      </x:c>
      <x:c r="L4" s="17" t="str">
        <x:v>越权；重复请求；非法状态；敏感字段泄露；失败恢复（按适用性执行）</x:v>
      </x:c>
      <x:c r="M4" s="4" t="str"/>
      <x:c r="N4" s="4" t="str"/>
      <x:c r="O4" s="4" t="str"/>
      <x:c r="P4" s="4" t="str"/>
      <x:c r="Q4" s="4" t="str"/>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TO_BE_CREATED</x:v>
      </x:c>
      <x:c r="K5" s="4" t="str">
        <x:v>N/A</x:v>
      </x:c>
      <x:c r="L5" s="17" t="str">
        <x:v>越权；重复请求；非法状态；敏感字段泄露；失败恢复（按适用性执行）</x:v>
      </x:c>
      <x:c r="M5" s="4" t="str"/>
      <x:c r="N5" s="4" t="str"/>
      <x:c r="O5" s="4" t="str"/>
      <x:c r="P5" s="4" t="str"/>
      <x:c r="Q5" s="4" t="str"/>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TO_BE_CREATED</x:v>
      </x:c>
      <x:c r="K6" s="4" t="str">
        <x:v>N/A</x:v>
      </x:c>
      <x:c r="L6" s="17" t="str">
        <x:v>越权；重复请求；非法状态；敏感字段泄露；失败恢复（按适用性执行）</x:v>
      </x:c>
      <x:c r="M6" s="4" t="str"/>
      <x:c r="N6" s="4" t="str"/>
      <x:c r="O6" s="4" t="str"/>
      <x:c r="P6" s="4" t="str"/>
      <x:c r="Q6" s="4" t="str"/>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TO_BE_CREATED</x:v>
      </x:c>
      <x:c r="K46" s="4" t="str">
        <x:v>N/A</x:v>
      </x:c>
      <x:c r="L46" s="17" t="str">
        <x:v>越权；重复请求；非法状态；敏感字段泄露；失败恢复（按适用性执行）</x:v>
      </x:c>
      <x:c r="M46" s="4" t="str"/>
      <x:c r="N46" s="4" t="str"/>
      <x:c r="O46" s="4" t="str"/>
      <x:c r="P46" s="4" t="str"/>
      <x:c r="Q46" s="4" t="str"/>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TO_BE_CREATED</x:v>
      </x:c>
      <x:c r="K47" s="4" t="str">
        <x:v>N/A</x:v>
      </x:c>
      <x:c r="L47" s="17" t="str">
        <x:v>越权；重复请求；非法状态；敏感字段泄露；失败恢复（按适用性执行）</x:v>
      </x:c>
      <x:c r="M47" s="4" t="str"/>
      <x:c r="N47" s="4" t="str"/>
      <x:c r="O47" s="4" t="str"/>
      <x:c r="P47" s="4" t="str"/>
      <x:c r="Q47" s="4" t="str"/>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TO_BE_CREATED</x:v>
      </x:c>
      <x:c r="K48" s="4" t="str">
        <x:v>N/A</x:v>
      </x:c>
      <x:c r="L48" s="17" t="str">
        <x:v>spec或types存在未提交差异；生成非确定；oasdiff breaking；小程序绕过适配器；供应价字段泄露</x:v>
      </x:c>
      <x:c r="M48" s="4" t="str"/>
      <x:c r="N48" s="4" t="str"/>
      <x:c r="O48" s="4" t="str"/>
      <x:c r="P48" s="4" t="str"/>
      <x:c r="Q48" s="4" t="str"/>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TO_BE_CREATED</x:v>
      </x:c>
      <x:c r="K67" s="4" t="str">
        <x:v>N/A</x:v>
      </x:c>
      <x:c r="L67" s="17" t="str">
        <x:v>越权；重复请求；非法状态；敏感字段泄露；失败恢复（按适用性执行）</x:v>
      </x:c>
      <x:c r="M67" s="4" t="str"/>
      <x:c r="N67" s="4" t="str"/>
      <x:c r="O67" s="4" t="str"/>
      <x:c r="P67" s="4" t="str"/>
      <x:c r="Q67" s="4" t="str"/>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TO_BE_CREATED</x:v>
      </x:c>
      <x:c r="K68" s="4" t="str">
        <x:v>N/A</x:v>
      </x:c>
      <x:c r="L68" s="17" t="str">
        <x:v>越权；重复请求；非法状态；敏感字段泄露；失败恢复（按适用性执行）</x:v>
      </x:c>
      <x:c r="M68" s="4" t="str"/>
      <x:c r="N68" s="4" t="str"/>
      <x:c r="O68" s="4" t="str"/>
      <x:c r="P68" s="4" t="str"/>
      <x:c r="Q68" s="4" t="str"/>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TO_BE_CREATED</x:v>
      </x:c>
      <x:c r="K69" s="4" t="str">
        <x:v>N/A</x:v>
      </x:c>
      <x:c r="L69" s="17" t="str">
        <x:v>越权；重复请求；非法状态；敏感字段泄露；失败恢复（按适用性执行）</x:v>
      </x:c>
      <x:c r="M69" s="4" t="str"/>
      <x:c r="N69" s="4" t="str"/>
      <x:c r="O69" s="4" t="str"/>
      <x:c r="P69" s="4" t="str"/>
      <x:c r="Q69" s="4" t="str"/>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TO_BE_CREATED</x:v>
      </x:c>
      <x:c r="K70" s="4" t="str">
        <x:v>N/A</x:v>
      </x:c>
      <x:c r="L70" s="17" t="str">
        <x:v>越权；重复请求；非法状态；敏感字段泄露；失败恢复（按适用性执行）</x:v>
      </x:c>
      <x:c r="M70" s="4" t="str"/>
      <x:c r="N70" s="4" t="str"/>
      <x:c r="O70" s="4" t="str"/>
      <x:c r="P70" s="4" t="str"/>
      <x:c r="Q70" s="4" t="str"/>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TO_BE_CREATED</x:v>
      </x:c>
      <x:c r="K71" s="4" t="str">
        <x:v>N/A</x:v>
      </x:c>
      <x:c r="L71" s="17" t="str">
        <x:v>越权；重复请求；非法状态；敏感字段泄露；失败恢复（按适用性执行）</x:v>
      </x:c>
      <x:c r="M71" s="4" t="str"/>
      <x:c r="N71" s="4" t="str"/>
      <x:c r="O71" s="4" t="str"/>
      <x:c r="P71" s="4" t="str"/>
      <x:c r="Q71" s="4" t="str"/>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TO_BE_CREATED</x:v>
      </x:c>
      <x:c r="K73" s="4" t="str">
        <x:v>N/A</x:v>
      </x:c>
      <x:c r="L73" s="17" t="str">
        <x:v>同一identityId跨账号复核；超级管理员绕过；并发双审；审计缺失</x:v>
      </x:c>
      <x:c r="M73" s="4" t="str"/>
      <x:c r="N73" s="4" t="str"/>
      <x:c r="O73" s="4" t="str"/>
      <x:c r="P73" s="4" t="str"/>
      <x:c r="Q73" s="4" t="str"/>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9a583e7c4c44f5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String/UUID</x:v>
      </x:c>
      <x:c r="F2" s="4" t="str">
        <x:v>YES</x:v>
      </x:c>
      <x:c r="G2" s="4" t="str">
        <x:v>待M阶段冻结</x:v>
      </x:c>
      <x:c r="H2" s="17" t="str">
        <x:v>INTERNAL</x:v>
      </x:c>
      <x:c r="I2" s="17" t="str">
        <x:v>按资源权限与数据域访问；公开DTO另行白名单</x:v>
      </x:c>
      <x:c r="J2" s="17" t="str">
        <x:v>数据库实体不得直接序列化为响应</x:v>
      </x:c>
      <x:c r="K2" s="17" t="str">
        <x:v>DTO白名单；长度/枚举/归属/状态校验；禁止信任客户端派生值</x:v>
      </x:c>
      <x:c r="L2" s="17" t="str">
        <x:v>按实体version或审计日志保留变更证据</x:v>
      </x:c>
      <x:c r="M2" s="4" t="str">
        <x:v>M1</x:v>
      </x:c>
      <x:c r="N2" s="4" t="str">
        <x:v>待切片细化</x:v>
      </x:c>
      <x:c r="O2" s="4" t="str">
        <x:v>综合方案§13核心数据模型</x:v>
      </x:c>
      <x:c r="P2" s="4" t="str">
        <x:v>DRAFT_FROM_SCHEME</x:v>
      </x:c>
    </x:row>
    <x:row r="3" ht="23" customHeight="1">
      <x:c r="A3" s="4" t="str">
        <x:v>Company</x:v>
      </x:c>
      <x:c r="B3" s="4" t="str">
        <x:v>legalName</x:v>
      </x:c>
      <x:c r="C3" s="17" t="str">
        <x:v>legalName</x:v>
      </x:c>
      <x:c r="D3" s="4" t="str">
        <x:v>2</x:v>
      </x:c>
      <x:c r="E3" s="4" t="str">
        <x:v>String</x:v>
      </x:c>
      <x:c r="F3" s="4" t="str">
        <x:v>YES</x:v>
      </x:c>
      <x:c r="G3" s="4" t="str">
        <x:v>待M阶段冻结</x:v>
      </x:c>
      <x:c r="H3" s="17" t="str">
        <x:v>INTERNAL</x:v>
      </x:c>
      <x:c r="I3" s="17" t="str">
        <x:v>按资源权限与数据域访问；公开DTO另行白名单</x:v>
      </x:c>
      <x:c r="J3" s="17" t="str">
        <x:v>数据库实体不得直接序列化为响应</x:v>
      </x:c>
      <x:c r="K3" s="17" t="str">
        <x:v>DTO白名单；长度/枚举/归属/状态校验；禁止信任客户端派生值</x:v>
      </x:c>
      <x:c r="L3" s="17" t="str">
        <x:v>按实体version或审计日志保留变更证据</x:v>
      </x:c>
      <x:c r="M3" s="4" t="str">
        <x:v>M1</x:v>
      </x:c>
      <x:c r="N3" s="4" t="str">
        <x:v>待切片细化</x:v>
      </x:c>
      <x:c r="O3" s="4" t="str">
        <x:v>综合方案§13核心数据模型</x:v>
      </x:c>
      <x:c r="P3" s="4" t="str">
        <x:v>DRAFT_FROM_SCHEME</x:v>
      </x:c>
    </x:row>
    <x:row r="4" ht="23" customHeight="1">
      <x:c r="A4" s="4" t="str">
        <x:v>Company</x:v>
      </x:c>
      <x:c r="B4" s="4" t="str">
        <x:v>platformName</x:v>
      </x:c>
      <x:c r="C4" s="17" t="str">
        <x:v>platformName</x:v>
      </x:c>
      <x:c r="D4" s="4" t="str">
        <x:v>3</x:v>
      </x:c>
      <x:c r="E4" s="4" t="str">
        <x:v>String</x:v>
      </x:c>
      <x:c r="F4" s="4" t="str">
        <x:v>YES</x:v>
      </x:c>
      <x:c r="G4" s="4" t="str">
        <x:v>待M阶段冻结</x:v>
      </x:c>
      <x:c r="H4" s="17" t="str">
        <x:v>PERSONAL_OR_SENSITIVE</x:v>
      </x:c>
      <x:c r="I4" s="17" t="str">
        <x:v>按角色、对象归属及配送阶段脱敏/解密</x:v>
      </x:c>
      <x:c r="J4" s="17" t="str">
        <x:v>禁止跨供应商、越阶段或批量无审批导出</x:v>
      </x:c>
      <x:c r="K4" s="17" t="str">
        <x:v>DTO白名单；长度/枚举/归属/状态校验；禁止信任客户端派生值</x:v>
      </x:c>
      <x:c r="L4" s="17" t="str">
        <x:v>按实体version或审计日志保留变更证据</x:v>
      </x:c>
      <x:c r="M4" s="4" t="str">
        <x:v>M1</x:v>
      </x:c>
      <x:c r="N4" s="4" t="str">
        <x:v>待切片细化</x:v>
      </x:c>
      <x:c r="O4" s="4" t="str">
        <x:v>综合方案§13核心数据模型</x:v>
      </x:c>
      <x:c r="P4" s="4" t="str">
        <x:v>DRAFT_FROM_SCHEME</x:v>
      </x:c>
    </x:row>
    <x:row r="5" ht="23" customHeight="1">
      <x:c r="A5" s="4" t="str">
        <x:v>Company</x:v>
      </x:c>
      <x:c r="B5" s="4" t="str">
        <x:v>wechatPayConfigRef</x:v>
      </x:c>
      <x:c r="C5" s="17" t="str">
        <x:v>wechatPayConfigRef</x:v>
      </x:c>
      <x:c r="D5" s="4" t="str">
        <x:v>4</x:v>
      </x:c>
      <x:c r="E5" s="4" t="str">
        <x:v>String</x:v>
      </x:c>
      <x:c r="F5" s="4" t="str">
        <x:v>YES</x:v>
      </x:c>
      <x:c r="G5" s="4" t="str">
        <x:v>待M阶段冻结</x:v>
      </x:c>
      <x:c r="H5" s="17" t="str">
        <x:v>SECRET_OR_CREDENTIAL</x:v>
      </x:c>
      <x:c r="I5" s="17" t="str">
        <x:v>仅后端最小权限读取，响应永不返回</x:v>
      </x:c>
      <x:c r="J5" s="17" t="str">
        <x:v>禁止提交、日志、快照和前端下发</x:v>
      </x:c>
      <x:c r="K5" s="17" t="str">
        <x:v>DTO白名单；长度/枚举/归属/状态校验；禁止信任客户端派生值</x:v>
      </x:c>
      <x:c r="L5" s="17" t="str">
        <x:v>按实体version或审计日志保留变更证据</x:v>
      </x:c>
      <x:c r="M5" s="4" t="str">
        <x:v>M1</x:v>
      </x:c>
      <x:c r="N5" s="4" t="str">
        <x:v>待切片细化</x:v>
      </x:c>
      <x:c r="O5" s="4" t="str">
        <x:v>综合方案§13核心数据模型</x:v>
      </x:c>
      <x:c r="P5" s="4" t="str">
        <x:v>DRAFT_FROM_SCHEME</x:v>
      </x:c>
    </x:row>
    <x:row r="6" ht="23" customHeight="1">
      <x:c r="A6" s="4" t="str">
        <x:v>Company</x:v>
      </x:c>
      <x:c r="B6" s="4" t="str">
        <x:v>status</x:v>
      </x:c>
      <x:c r="C6" s="17" t="str">
        <x:v>status</x:v>
      </x:c>
      <x:c r="D6" s="4" t="str">
        <x:v>5</x:v>
      </x:c>
      <x:c r="E6" s="4" t="str">
        <x:v>Enum/String</x:v>
      </x:c>
      <x:c r="F6" s="4" t="str">
        <x:v>YES</x:v>
      </x:c>
      <x:c r="G6" s="4" t="str">
        <x:v>待M阶段冻结</x:v>
      </x:c>
      <x:c r="H6" s="17" t="str">
        <x:v>INTERNAL</x:v>
      </x:c>
      <x:c r="I6" s="17" t="str">
        <x:v>按资源权限与数据域访问；公开DTO另行白名单</x:v>
      </x:c>
      <x:c r="J6" s="17" t="str">
        <x:v>数据库实体不得直接序列化为响应</x:v>
      </x:c>
      <x:c r="K6" s="17" t="str">
        <x:v>DTO白名单；长度/枚举/归属/状态校验；禁止信任客户端派生值</x:v>
      </x:c>
      <x:c r="L6" s="17" t="str">
        <x:v>按实体version或审计日志保留变更证据</x:v>
      </x:c>
      <x:c r="M6" s="4" t="str">
        <x:v>M1</x:v>
      </x:c>
      <x:c r="N6" s="4" t="str">
        <x:v>待切片细化</x:v>
      </x:c>
      <x:c r="O6" s="4" t="str">
        <x:v>综合方案§13核心数据模型</x:v>
      </x:c>
      <x:c r="P6" s="4" t="str">
        <x:v>DRAFT_FROM_SCHEME</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String/UUID</x:v>
      </x:c>
      <x:c r="F113" s="4" t="str">
        <x:v>YES</x:v>
      </x:c>
      <x:c r="G113" s="4" t="str">
        <x:v>待M阶段冻结</x:v>
      </x:c>
      <x:c r="H113" s="17" t="str">
        <x:v>INTERNAL</x:v>
      </x:c>
      <x:c r="I113" s="17" t="str">
        <x:v>按资源权限与数据域访问；公开DTO另行白名单</x:v>
      </x:c>
      <x:c r="J113" s="17" t="str">
        <x:v>数据库实体不得直接序列化为响应</x:v>
      </x:c>
      <x:c r="K113" s="17" t="str">
        <x:v>DTO白名单；长度/枚举/归属/状态校验；禁止信任客户端派生值</x:v>
      </x:c>
      <x:c r="L113" s="17" t="str">
        <x:v>按实体version或审计日志保留变更证据</x:v>
      </x:c>
      <x:c r="M113" s="4" t="str">
        <x:v>M1</x:v>
      </x:c>
      <x:c r="N113" s="4" t="str">
        <x:v>待切片细化</x:v>
      </x:c>
      <x:c r="O113" s="4" t="str">
        <x:v>综合方案§13核心数据模型</x:v>
      </x:c>
      <x:c r="P113" s="4" t="str">
        <x:v>DRAFT_FROM_SCHEME</x:v>
      </x:c>
    </x:row>
    <x:row r="114" ht="23" customHeight="1">
      <x:c r="A114" s="4" t="str">
        <x:v>CompanyUser</x:v>
      </x:c>
      <x:c r="B114" s="4" t="str">
        <x:v>companyId</x:v>
      </x:c>
      <x:c r="C114" s="17" t="str">
        <x:v>companyId</x:v>
      </x:c>
      <x:c r="D114" s="4" t="str">
        <x:v>2</x:v>
      </x:c>
      <x:c r="E114" s="4" t="str">
        <x:v>String/UUID</x:v>
      </x:c>
      <x:c r="F114" s="4" t="str">
        <x:v>YES</x:v>
      </x:c>
      <x:c r="G114" s="4" t="str">
        <x:v>待M阶段冻结</x:v>
      </x:c>
      <x:c r="H114" s="17" t="str">
        <x:v>INTERNAL</x:v>
      </x:c>
      <x:c r="I114" s="17" t="str">
        <x:v>按资源权限与数据域访问；公开DTO另行白名单</x:v>
      </x:c>
      <x:c r="J114" s="17" t="str">
        <x:v>数据库实体不得直接序列化为响应</x:v>
      </x:c>
      <x:c r="K114" s="17" t="str">
        <x:v>DTO白名单；长度/枚举/归属/状态校验；禁止信任客户端派生值</x:v>
      </x:c>
      <x:c r="L114" s="17" t="str">
        <x:v>按实体version或审计日志保留变更证据</x:v>
      </x:c>
      <x:c r="M114" s="4" t="str">
        <x:v>M1</x:v>
      </x:c>
      <x:c r="N114" s="4" t="str">
        <x:v>待切片细化</x:v>
      </x:c>
      <x:c r="O114" s="4" t="str">
        <x:v>综合方案§13核心数据模型</x:v>
      </x:c>
      <x:c r="P114" s="4" t="str">
        <x:v>DRAFT_FROM_SCHEME</x:v>
      </x:c>
    </x:row>
    <x:row r="115" ht="23" customHeight="1">
      <x:c r="A115" s="4" t="str">
        <x:v>CompanyUser</x:v>
      </x:c>
      <x:c r="B115" s="4" t="str">
        <x:v>name</x:v>
      </x:c>
      <x:c r="C115" s="17" t="str">
        <x:v>name</x:v>
      </x:c>
      <x:c r="D115" s="4" t="str">
        <x:v>3</x:v>
      </x:c>
      <x:c r="E115" s="4" t="str">
        <x:v>String</x:v>
      </x:c>
      <x:c r="F115" s="4" t="str">
        <x:v>YES</x:v>
      </x:c>
      <x:c r="G115" s="4" t="str">
        <x:v>待M阶段冻结</x:v>
      </x:c>
      <x:c r="H115" s="17" t="str">
        <x:v>INTERNAL</x:v>
      </x:c>
      <x:c r="I115" s="17" t="str">
        <x:v>按资源权限与数据域访问；公开DTO另行白名单</x:v>
      </x:c>
      <x:c r="J115" s="17" t="str">
        <x:v>数据库实体不得直接序列化为响应</x:v>
      </x:c>
      <x:c r="K115" s="17" t="str">
        <x:v>DTO白名单；长度/枚举/归属/状态校验；禁止信任客户端派生值</x:v>
      </x:c>
      <x:c r="L115" s="17" t="str">
        <x:v>按实体version或审计日志保留变更证据</x:v>
      </x:c>
      <x:c r="M115" s="4" t="str">
        <x:v>M1</x:v>
      </x:c>
      <x:c r="N115" s="4" t="str">
        <x:v>待切片细化</x:v>
      </x:c>
      <x:c r="O115" s="4" t="str">
        <x:v>综合方案§13核心数据模型</x:v>
      </x:c>
      <x:c r="P115" s="4" t="str">
        <x:v>DRAFT_FROM_SCHEME</x:v>
      </x:c>
    </x:row>
    <x:row r="116" ht="23" customHeight="1">
      <x:c r="A116" s="4" t="str">
        <x:v>CompanyUser</x:v>
      </x:c>
      <x:c r="B116" s="4" t="str">
        <x:v>mobile</x:v>
      </x:c>
      <x:c r="C116" s="17" t="str">
        <x:v>mobile</x:v>
      </x:c>
      <x:c r="D116" s="4" t="str">
        <x:v>4</x:v>
      </x:c>
      <x:c r="E116" s="4" t="str">
        <x:v>String</x:v>
      </x:c>
      <x:c r="F116" s="4" t="str">
        <x:v>YES</x:v>
      </x:c>
      <x:c r="G116" s="4" t="str">
        <x:v>待M阶段冻结</x:v>
      </x:c>
      <x:c r="H116" s="17" t="str">
        <x:v>PERSONAL_OR_SENSITIVE</x:v>
      </x:c>
      <x:c r="I116" s="17" t="str">
        <x:v>按角色、对象归属及配送阶段脱敏/解密</x:v>
      </x:c>
      <x:c r="J116" s="17" t="str">
        <x:v>禁止跨供应商、越阶段或批量无审批导出</x:v>
      </x:c>
      <x:c r="K116" s="17" t="str">
        <x:v>DTO白名单；长度/枚举/归属/状态校验；禁止信任客户端派生值</x:v>
      </x:c>
      <x:c r="L116" s="17" t="str">
        <x:v>按实体version或审计日志保留变更证据</x:v>
      </x:c>
      <x:c r="M116" s="4" t="str">
        <x:v>M1</x:v>
      </x:c>
      <x:c r="N116" s="4" t="str">
        <x:v>待切片细化</x:v>
      </x:c>
      <x:c r="O116" s="4" t="str">
        <x:v>综合方案§13核心数据模型</x:v>
      </x:c>
      <x:c r="P116" s="4" t="str">
        <x:v>DRAFT_FROM_SCHEME</x:v>
      </x:c>
    </x:row>
    <x:row r="117" ht="23" customHeight="1">
      <x:c r="A117" s="4" t="str">
        <x:v>CompanyUser</x:v>
      </x:c>
      <x:c r="B117" s="4" t="str">
        <x:v>email</x:v>
      </x:c>
      <x:c r="C117" s="17" t="str">
        <x:v>email</x:v>
      </x:c>
      <x:c r="D117" s="4" t="str">
        <x:v>5</x:v>
      </x:c>
      <x:c r="E117" s="4" t="str">
        <x:v>String</x:v>
      </x:c>
      <x:c r="F117" s="4" t="str">
        <x:v>YES</x:v>
      </x:c>
      <x:c r="G117" s="4" t="str">
        <x:v>待M阶段冻结</x:v>
      </x:c>
      <x:c r="H117" s="17" t="str">
        <x:v>PERSONAL_OR_SENSITIVE</x:v>
      </x:c>
      <x:c r="I117" s="17" t="str">
        <x:v>按角色、对象归属及配送阶段脱敏/解密</x:v>
      </x:c>
      <x:c r="J117" s="17" t="str">
        <x:v>禁止跨供应商、越阶段或批量无审批导出</x:v>
      </x:c>
      <x:c r="K117" s="17" t="str">
        <x:v>DTO白名单；长度/枚举/归属/状态校验；禁止信任客户端派生值</x:v>
      </x:c>
      <x:c r="L117" s="17" t="str">
        <x:v>按实体version或审计日志保留变更证据</x:v>
      </x:c>
      <x:c r="M117" s="4" t="str">
        <x:v>M1</x:v>
      </x:c>
      <x:c r="N117" s="4" t="str">
        <x:v>待切片细化</x:v>
      </x:c>
      <x:c r="O117" s="4" t="str">
        <x:v>综合方案§13核心数据模型</x:v>
      </x:c>
      <x:c r="P117" s="4" t="str">
        <x:v>DRAFT_FROM_SCHEME</x:v>
      </x:c>
    </x:row>
    <x:row r="118" ht="23" customHeight="1">
      <x:c r="A118" s="4" t="str">
        <x:v>CompanyUser</x:v>
      </x:c>
      <x:c r="B118" s="4" t="str">
        <x:v>status</x:v>
      </x:c>
      <x:c r="C118" s="17" t="str">
        <x:v>status</x:v>
      </x:c>
      <x:c r="D118" s="4" t="str">
        <x:v>6</x:v>
      </x:c>
      <x:c r="E118" s="4" t="str">
        <x:v>Enum/String</x:v>
      </x:c>
      <x:c r="F118" s="4" t="str">
        <x:v>YES</x:v>
      </x:c>
      <x:c r="G118" s="4" t="str">
        <x:v>待M阶段冻结</x:v>
      </x:c>
      <x:c r="H118" s="17" t="str">
        <x:v>INTERNAL</x:v>
      </x:c>
      <x:c r="I118" s="17" t="str">
        <x:v>按资源权限与数据域访问；公开DTO另行白名单</x:v>
      </x:c>
      <x:c r="J118" s="17" t="str">
        <x:v>数据库实体不得直接序列化为响应</x:v>
      </x:c>
      <x:c r="K118" s="17" t="str">
        <x:v>DTO白名单；长度/枚举/归属/状态校验；禁止信任客户端派生值</x:v>
      </x:c>
      <x:c r="L118" s="17" t="str">
        <x:v>按实体version或审计日志保留变更证据</x:v>
      </x:c>
      <x:c r="M118" s="4" t="str">
        <x:v>M1</x:v>
      </x:c>
      <x:c r="N118" s="4" t="str">
        <x:v>待切片细化</x:v>
      </x:c>
      <x:c r="O118" s="4" t="str">
        <x:v>综合方案§13核心数据模型</x:v>
      </x:c>
      <x:c r="P118" s="4" t="str">
        <x:v>DRAFT_FROM_SCHEME</x:v>
      </x:c>
    </x:row>
    <x:row r="119" ht="23" customHeight="1">
      <x:c r="A119" s="4" t="str">
        <x:v>CompanyUser</x:v>
      </x:c>
      <x:c r="B119" s="4" t="str">
        <x:v>lastLoginAt</x:v>
      </x:c>
      <x:c r="C119" s="17" t="str">
        <x:v>lastLoginAt</x:v>
      </x:c>
      <x:c r="D119" s="4" t="str">
        <x:v>7</x:v>
      </x:c>
      <x:c r="E119" s="4" t="str">
        <x:v>DateTime</x:v>
      </x:c>
      <x:c r="F119" s="4" t="str">
        <x:v>YES</x:v>
      </x:c>
      <x:c r="G119" s="4" t="str">
        <x:v>ISO-8601+明确时区</x:v>
      </x:c>
      <x:c r="H119" s="17" t="str">
        <x:v>INTERNAL</x:v>
      </x:c>
      <x:c r="I119" s="17" t="str">
        <x:v>按资源权限与数据域访问；公开DTO另行白名单</x:v>
      </x:c>
      <x:c r="J119" s="17" t="str">
        <x:v>数据库实体不得直接序列化为响应</x:v>
      </x:c>
      <x:c r="K119" s="17" t="str">
        <x:v>DTO白名单；长度/枚举/归属/状态校验；禁止信任客户端派生值</x:v>
      </x:c>
      <x:c r="L119" s="17" t="str">
        <x:v>按实体version或审计日志保留变更证据</x:v>
      </x:c>
      <x:c r="M119" s="4" t="str">
        <x:v>M1</x:v>
      </x:c>
      <x:c r="N119" s="4" t="str">
        <x:v>待切片细化</x:v>
      </x:c>
      <x:c r="O119" s="4" t="str">
        <x:v>综合方案§13核心数据模型</x:v>
      </x:c>
      <x:c r="P119" s="4" t="str">
        <x:v>DRAFT_FROM_SCHEME</x:v>
      </x:c>
    </x:row>
    <x:row r="120" ht="23" customHeight="1">
      <x:c r="A120" s="4" t="str">
        <x:v>CompanyUser</x:v>
      </x:c>
      <x:c r="B120" s="4" t="str">
        <x:v>version</x:v>
      </x:c>
      <x:c r="C120" s="17" t="str">
        <x:v>version</x:v>
      </x:c>
      <x:c r="D120" s="4" t="str">
        <x:v>8</x:v>
      </x:c>
      <x:c r="E120" s="4" t="str">
        <x:v>Int</x:v>
      </x:c>
      <x:c r="F120" s="4" t="str">
        <x:v>YES</x:v>
      </x:c>
      <x:c r="G120" s="4" t="str">
        <x:v>待M阶段冻结</x:v>
      </x:c>
      <x:c r="H120" s="17" t="str">
        <x:v>INTERNAL</x:v>
      </x:c>
      <x:c r="I120" s="17" t="str">
        <x:v>按资源权限与数据域访问；公开DTO另行白名单</x:v>
      </x:c>
      <x:c r="J120" s="17" t="str">
        <x:v>数据库实体不得直接序列化为响应</x:v>
      </x:c>
      <x:c r="K120" s="17" t="str">
        <x:v>DTO白名单；长度/枚举/归属/状态校验；禁止信任客户端派生值</x:v>
      </x:c>
      <x:c r="L120" s="17" t="str">
        <x:v>按实体version或审计日志保留变更证据</x:v>
      </x:c>
      <x:c r="M120" s="4" t="str">
        <x:v>M1</x:v>
      </x:c>
      <x:c r="N120" s="4" t="str">
        <x:v>待切片细化</x:v>
      </x:c>
      <x:c r="O120" s="4" t="str">
        <x:v>综合方案§13核心数据模型</x:v>
      </x:c>
      <x:c r="P120" s="4" t="str">
        <x:v>DRAFT_FROM_SCHEME</x:v>
      </x:c>
    </x:row>
    <x:row r="121" ht="23" customHeight="1">
      <x:c r="A121" s="4" t="str">
        <x:v>FunctionalAccountType</x:v>
      </x:c>
      <x:c r="B121" s="4" t="str">
        <x:v>id</x:v>
      </x:c>
      <x:c r="C121" s="17" t="str">
        <x:v>id</x:v>
      </x:c>
      <x:c r="D121" s="4" t="str">
        <x:v>1</x:v>
      </x:c>
      <x:c r="E121" s="4" t="str">
        <x:v>String/UUID</x:v>
      </x:c>
      <x:c r="F121" s="4" t="str">
        <x:v>YES</x:v>
      </x:c>
      <x:c r="G121" s="4" t="str">
        <x:v>待M阶段冻结</x:v>
      </x:c>
      <x:c r="H121" s="17" t="str">
        <x:v>INTERNAL</x:v>
      </x:c>
      <x:c r="I121" s="17" t="str">
        <x:v>按资源权限与数据域访问；公开DTO另行白名单</x:v>
      </x:c>
      <x:c r="J121" s="17" t="str">
        <x:v>数据库实体不得直接序列化为响应</x:v>
      </x:c>
      <x:c r="K121" s="17" t="str">
        <x:v>DTO白名单；长度/枚举/归属/状态校验；禁止信任客户端派生值</x:v>
      </x:c>
      <x:c r="L121" s="17" t="str">
        <x:v>按实体version或审计日志保留变更证据</x:v>
      </x:c>
      <x:c r="M121" s="4" t="str">
        <x:v>M1</x:v>
      </x:c>
      <x:c r="N121" s="4" t="str">
        <x:v>待切片细化</x:v>
      </x:c>
      <x:c r="O121" s="4" t="str">
        <x:v>综合方案§13核心数据模型</x:v>
      </x:c>
      <x:c r="P121" s="4" t="str">
        <x:v>DRAFT_FROM_SCHEME</x:v>
      </x:c>
    </x:row>
    <x:row r="122" ht="23" customHeight="1">
      <x:c r="A122" s="4" t="str">
        <x:v>FunctionalAccountType</x:v>
      </x:c>
      <x:c r="B122" s="4" t="str">
        <x:v>ownerType</x:v>
      </x:c>
      <x:c r="C122" s="17" t="str">
        <x:v>ownerType</x:v>
      </x:c>
      <x:c r="D122" s="4" t="str">
        <x:v>2</x:v>
      </x:c>
      <x:c r="E122" s="4" t="str">
        <x:v>Enum/String</x:v>
      </x:c>
      <x:c r="F122" s="4" t="str">
        <x:v>YES</x:v>
      </x:c>
      <x:c r="G122" s="4" t="str">
        <x:v>待M阶段冻结</x:v>
      </x:c>
      <x:c r="H122" s="17" t="str">
        <x:v>INTERNAL</x:v>
      </x:c>
      <x:c r="I122" s="17" t="str">
        <x:v>按资源权限与数据域访问；公开DTO另行白名单</x:v>
      </x:c>
      <x:c r="J122" s="17" t="str">
        <x:v>数据库实体不得直接序列化为响应</x:v>
      </x:c>
      <x:c r="K122" s="17" t="str">
        <x:v>DTO白名单；长度/枚举/归属/状态校验；禁止信任客户端派生值</x:v>
      </x:c>
      <x:c r="L122" s="17" t="str">
        <x:v>按实体version或审计日志保留变更证据</x:v>
      </x:c>
      <x:c r="M122" s="4" t="str">
        <x:v>M1</x:v>
      </x:c>
      <x:c r="N122" s="4" t="str">
        <x:v>待切片细化</x:v>
      </x:c>
      <x:c r="O122" s="4" t="str">
        <x:v>综合方案§13核心数据模型</x:v>
      </x:c>
      <x:c r="P122" s="4" t="str">
        <x:v>DRAFT_FROM_SCHEME</x:v>
      </x:c>
    </x:row>
    <x:row r="123" ht="23" customHeight="1">
      <x:c r="A123" s="4" t="str">
        <x:v>FunctionalAccountType</x:v>
      </x:c>
      <x:c r="B123" s="4" t="str">
        <x:v>code</x:v>
      </x:c>
      <x:c r="C123" s="17" t="str">
        <x:v>code</x:v>
      </x:c>
      <x:c r="D123" s="4" t="str">
        <x:v>3</x:v>
      </x:c>
      <x:c r="E123" s="4" t="str">
        <x:v>String</x:v>
      </x:c>
      <x:c r="F123" s="4" t="str">
        <x:v>YES</x:v>
      </x:c>
      <x:c r="G123" s="4" t="str">
        <x:v>待M阶段冻结</x:v>
      </x:c>
      <x:c r="H123" s="17" t="str">
        <x:v>INTERNAL</x:v>
      </x:c>
      <x:c r="I123" s="17" t="str">
        <x:v>按资源权限与数据域访问；公开DTO另行白名单</x:v>
      </x:c>
      <x:c r="J123" s="17" t="str">
        <x:v>数据库实体不得直接序列化为响应</x:v>
      </x:c>
      <x:c r="K123" s="17" t="str">
        <x:v>DTO白名单；长度/枚举/归属/状态校验；禁止信任客户端派生值</x:v>
      </x:c>
      <x:c r="L123" s="17" t="str">
        <x:v>按实体version或审计日志保留变更证据</x:v>
      </x:c>
      <x:c r="M123" s="4" t="str">
        <x:v>M1</x:v>
      </x:c>
      <x:c r="N123" s="4" t="str">
        <x:v>待切片细化</x:v>
      </x:c>
      <x:c r="O123" s="4" t="str">
        <x:v>综合方案§13核心数据模型</x:v>
      </x:c>
      <x:c r="P123" s="4" t="str">
        <x:v>DRAFT_FROM_SCHEME</x:v>
      </x:c>
    </x:row>
    <x:row r="124" ht="23" customHeight="1">
      <x:c r="A124" s="4" t="str">
        <x:v>FunctionalAccountType</x:v>
      </x:c>
      <x:c r="B124" s="4" t="str">
        <x:v>name</x:v>
      </x:c>
      <x:c r="C124" s="17" t="str">
        <x:v>name</x:v>
      </x:c>
      <x:c r="D124" s="4" t="str">
        <x:v>4</x:v>
      </x:c>
      <x:c r="E124" s="4" t="str">
        <x:v>String</x:v>
      </x:c>
      <x:c r="F124" s="4" t="str">
        <x:v>YES</x:v>
      </x:c>
      <x:c r="G124" s="4" t="str">
        <x:v>待M阶段冻结</x:v>
      </x:c>
      <x:c r="H124" s="17" t="str">
        <x:v>INTERNAL</x:v>
      </x:c>
      <x:c r="I124" s="17" t="str">
        <x:v>按资源权限与数据域访问；公开DTO另行白名单</x:v>
      </x:c>
      <x:c r="J124" s="17" t="str">
        <x:v>数据库实体不得直接序列化为响应</x:v>
      </x:c>
      <x:c r="K124" s="17" t="str">
        <x:v>DTO白名单；长度/枚举/归属/状态校验；禁止信任客户端派生值</x:v>
      </x:c>
      <x:c r="L124" s="17" t="str">
        <x:v>按实体version或审计日志保留变更证据</x:v>
      </x:c>
      <x:c r="M124" s="4" t="str">
        <x:v>M1</x:v>
      </x:c>
      <x:c r="N124" s="4" t="str">
        <x:v>待切片细化</x:v>
      </x:c>
      <x:c r="O124" s="4" t="str">
        <x:v>综合方案§13核心数据模型</x:v>
      </x:c>
      <x:c r="P124" s="4" t="str">
        <x:v>DRAFT_FROM_SCHEME</x:v>
      </x:c>
    </x:row>
    <x:row r="125" ht="23" customHeight="1">
      <x:c r="A125" s="4" t="str">
        <x:v>FunctionalAccountType</x:v>
      </x:c>
      <x:c r="B125" s="4" t="str">
        <x:v>workspaceRoute</x:v>
      </x:c>
      <x:c r="C125" s="17" t="str">
        <x:v>workspaceRoute</x:v>
      </x:c>
      <x:c r="D125" s="4" t="str">
        <x:v>5</x:v>
      </x:c>
      <x:c r="E125" s="4" t="str">
        <x:v>String</x:v>
      </x:c>
      <x:c r="F125" s="4" t="str">
        <x:v>YES</x:v>
      </x:c>
      <x:c r="G125" s="4" t="str">
        <x:v>待M阶段冻结</x:v>
      </x:c>
      <x:c r="H125" s="17" t="str">
        <x:v>INTERNAL</x:v>
      </x:c>
      <x:c r="I125" s="17" t="str">
        <x:v>按资源权限与数据域访问；公开DTO另行白名单</x:v>
      </x:c>
      <x:c r="J125" s="17" t="str">
        <x:v>数据库实体不得直接序列化为响应</x:v>
      </x:c>
      <x:c r="K125" s="17" t="str">
        <x:v>DTO白名单；长度/枚举/归属/状态校验；禁止信任客户端派生值</x:v>
      </x:c>
      <x:c r="L125" s="17" t="str">
        <x:v>按实体version或审计日志保留变更证据</x:v>
      </x:c>
      <x:c r="M125" s="4" t="str">
        <x:v>M1</x:v>
      </x:c>
      <x:c r="N125" s="4" t="str">
        <x:v>待切片细化</x:v>
      </x:c>
      <x:c r="O125" s="4" t="str">
        <x:v>综合方案§13核心数据模型</x:v>
      </x:c>
      <x:c r="P125" s="4" t="str">
        <x:v>DRAFT_FROM_SCHEME</x:v>
      </x:c>
    </x:row>
    <x:row r="126" ht="23" customHeight="1">
      <x:c r="A126" s="4" t="str">
        <x:v>FunctionalAccountType</x:v>
      </x:c>
      <x:c r="B126" s="4" t="str">
        <x:v>internalMenuSchema</x:v>
      </x:c>
      <x:c r="C126" s="17" t="str">
        <x:v>internalMenuSchema</x:v>
      </x:c>
      <x:c r="D126" s="4" t="str">
        <x:v>6</x:v>
      </x:c>
      <x:c r="E126" s="4" t="str">
        <x:v>Json</x:v>
      </x:c>
      <x:c r="F126" s="4" t="str">
        <x:v>YES</x:v>
      </x:c>
      <x:c r="G126" s="4" t="str">
        <x:v>待M阶段冻结</x:v>
      </x:c>
      <x:c r="H126" s="17" t="str">
        <x:v>INTERNAL</x:v>
      </x:c>
      <x:c r="I126" s="17" t="str">
        <x:v>按资源权限与数据域访问；公开DTO另行白名单</x:v>
      </x:c>
      <x:c r="J126" s="17" t="str">
        <x:v>数据库实体不得直接序列化为响应</x:v>
      </x:c>
      <x:c r="K126" s="17" t="str">
        <x:v>DTO白名单；长度/枚举/归属/状态校验；禁止信任客户端派生值</x:v>
      </x:c>
      <x:c r="L126" s="17" t="str">
        <x:v>按实体version或审计日志保留变更证据</x:v>
      </x:c>
      <x:c r="M126" s="4" t="str">
        <x:v>M1</x:v>
      </x:c>
      <x:c r="N126" s="4" t="str">
        <x:v>待切片细化</x:v>
      </x:c>
      <x:c r="O126" s="4" t="str">
        <x:v>综合方案§13核心数据模型</x:v>
      </x:c>
      <x:c r="P126" s="4" t="str">
        <x:v>DRAFT_FROM_SCHEME</x:v>
      </x:c>
    </x:row>
    <x:row r="127" ht="23" customHeight="1">
      <x:c r="A127" s="4" t="str">
        <x:v>FunctionalAccountType</x:v>
      </x:c>
      <x:c r="B127" s="4" t="str">
        <x:v>status</x:v>
      </x:c>
      <x:c r="C127" s="17" t="str">
        <x:v>status</x:v>
      </x:c>
      <x:c r="D127" s="4" t="str">
        <x:v>7</x:v>
      </x:c>
      <x:c r="E127" s="4" t="str">
        <x:v>Enum/String</x:v>
      </x:c>
      <x:c r="F127" s="4" t="str">
        <x:v>YES</x:v>
      </x:c>
      <x:c r="G127" s="4" t="str">
        <x:v>待M阶段冻结</x:v>
      </x:c>
      <x:c r="H127" s="17" t="str">
        <x:v>INTERNAL</x:v>
      </x:c>
      <x:c r="I127" s="17" t="str">
        <x:v>按资源权限与数据域访问；公开DTO另行白名单</x:v>
      </x:c>
      <x:c r="J127" s="17" t="str">
        <x:v>数据库实体不得直接序列化为响应</x:v>
      </x:c>
      <x:c r="K127" s="17" t="str">
        <x:v>DTO白名单；长度/枚举/归属/状态校验；禁止信任客户端派生值</x:v>
      </x:c>
      <x:c r="L127" s="17" t="str">
        <x:v>按实体version或审计日志保留变更证据</x:v>
      </x:c>
      <x:c r="M127" s="4" t="str">
        <x:v>M1</x:v>
      </x:c>
      <x:c r="N127" s="4" t="str">
        <x:v>待切片细化</x:v>
      </x:c>
      <x:c r="O127" s="4" t="str">
        <x:v>综合方案§13核心数据模型</x:v>
      </x:c>
      <x:c r="P127" s="4" t="str">
        <x:v>DRAFT_FROM_SCHEME</x:v>
      </x:c>
    </x:row>
    <x:row r="128" ht="23" customHeight="1">
      <x:c r="A128" s="4" t="str">
        <x:v>FunctionalAccount</x:v>
      </x:c>
      <x:c r="B128" s="4" t="str">
        <x:v>id</x:v>
      </x:c>
      <x:c r="C128" s="17" t="str">
        <x:v>id</x:v>
      </x:c>
      <x:c r="D128" s="4" t="str">
        <x:v>1</x:v>
      </x:c>
      <x:c r="E128" s="4" t="str">
        <x:v>String/UUID</x:v>
      </x:c>
      <x:c r="F128" s="4" t="str">
        <x:v>YES</x:v>
      </x:c>
      <x:c r="G128" s="4" t="str">
        <x:v>待M阶段冻结</x:v>
      </x:c>
      <x:c r="H128" s="17" t="str">
        <x:v>INTERNAL</x:v>
      </x:c>
      <x:c r="I128" s="17" t="str">
        <x:v>按资源权限与数据域访问；公开DTO另行白名单</x:v>
      </x:c>
      <x:c r="J128" s="17" t="str">
        <x:v>数据库实体不得直接序列化为响应</x:v>
      </x:c>
      <x:c r="K128" s="17" t="str">
        <x:v>DTO白名单；长度/枚举/归属/状态校验；禁止信任客户端派生值</x:v>
      </x:c>
      <x:c r="L128" s="17" t="str">
        <x:v>按实体version或审计日志保留变更证据</x:v>
      </x:c>
      <x:c r="M128" s="4" t="str">
        <x:v>M1</x:v>
      </x:c>
      <x:c r="N128" s="4" t="str">
        <x:v>P0-005,P0-067,P0-070</x:v>
      </x:c>
      <x:c r="O128" s="4" t="str">
        <x:v>综合方案§13核心数据模型</x:v>
      </x:c>
      <x:c r="P128" s="4" t="str">
        <x:v>DRAFT_FROM_SCHEME</x:v>
      </x:c>
    </x:row>
    <x:row r="129" ht="23" customHeight="1">
      <x:c r="A129" s="4" t="str">
        <x:v>FunctionalAccount</x:v>
      </x:c>
      <x:c r="B129" s="4" t="str">
        <x:v>identityType</x:v>
      </x:c>
      <x:c r="C129" s="17" t="str">
        <x:v>identityType</x:v>
      </x:c>
      <x:c r="D129" s="4" t="str">
        <x:v>2</x:v>
      </x:c>
      <x:c r="E129" s="4" t="str">
        <x:v>Enum/String</x:v>
      </x:c>
      <x:c r="F129" s="4" t="str">
        <x:v>YES</x:v>
      </x:c>
      <x:c r="G129" s="4" t="str">
        <x:v>待M阶段冻结</x:v>
      </x:c>
      <x:c r="H129" s="17" t="str">
        <x:v>INTERNAL</x:v>
      </x:c>
      <x:c r="I129" s="17" t="str">
        <x:v>按资源权限与数据域访问；公开DTO另行白名单</x:v>
      </x:c>
      <x:c r="J129" s="17" t="str">
        <x:v>数据库实体不得直接序列化为响应</x:v>
      </x:c>
      <x:c r="K129" s="17" t="str">
        <x:v>DTO白名单；长度/枚举/归属/状态校验；禁止信任客户端派生值</x:v>
      </x:c>
      <x:c r="L129" s="17" t="str">
        <x:v>按实体version或审计日志保留变更证据</x:v>
      </x:c>
      <x:c r="M129" s="4" t="str">
        <x:v>M1</x:v>
      </x:c>
      <x:c r="N129" s="4" t="str">
        <x:v>P0-005,P0-067,P0-070</x:v>
      </x:c>
      <x:c r="O129" s="4" t="str">
        <x:v>综合方案§13核心数据模型</x:v>
      </x:c>
      <x:c r="P129" s="4" t="str">
        <x:v>DRAFT_FROM_SCHEME</x:v>
      </x:c>
    </x:row>
    <x:row r="130" ht="23" customHeight="1">
      <x:c r="A130" s="4" t="str">
        <x:v>FunctionalAccount</x:v>
      </x:c>
      <x:c r="B130" s="4" t="str">
        <x:v>identityId</x:v>
      </x:c>
      <x:c r="C130" s="17" t="str">
        <x:v>identityId</x:v>
      </x:c>
      <x:c r="D130" s="4" t="str">
        <x:v>3</x:v>
      </x:c>
      <x:c r="E130" s="4" t="str">
        <x:v>String/UUID</x:v>
      </x:c>
      <x:c r="F130" s="4" t="str">
        <x:v>YES</x:v>
      </x:c>
      <x:c r="G130" s="4" t="str">
        <x:v>待M阶段冻结</x:v>
      </x:c>
      <x:c r="H130" s="17" t="str">
        <x:v>INTERNAL</x:v>
      </x:c>
      <x:c r="I130" s="17" t="str">
        <x:v>按资源权限与数据域访问；公开DTO另行白名单</x:v>
      </x:c>
      <x:c r="J130" s="17" t="str">
        <x:v>数据库实体不得直接序列化为响应</x:v>
      </x:c>
      <x:c r="K130" s="17" t="str">
        <x:v>DTO白名单；长度/枚举/归属/状态校验；禁止信任客户端派生值</x:v>
      </x:c>
      <x:c r="L130" s="17" t="str">
        <x:v>按实体version或审计日志保留变更证据</x:v>
      </x:c>
      <x:c r="M130" s="4" t="str">
        <x:v>M1</x:v>
      </x:c>
      <x:c r="N130" s="4" t="str">
        <x:v>P0-005,P0-067,P0-070</x:v>
      </x:c>
      <x:c r="O130" s="4" t="str">
        <x:v>综合方案§13核心数据模型</x:v>
      </x:c>
      <x:c r="P130" s="4" t="str">
        <x:v>DRAFT_FROM_SCHEME</x:v>
      </x:c>
    </x:row>
    <x:row r="131" ht="23" customHeight="1">
      <x:c r="A131" s="4" t="str">
        <x:v>FunctionalAccount</x:v>
      </x:c>
      <x:c r="B131" s="4" t="str">
        <x:v>ownerType</x:v>
      </x:c>
      <x:c r="C131" s="17" t="str">
        <x:v>ownerType</x:v>
      </x:c>
      <x:c r="D131" s="4" t="str">
        <x:v>4</x:v>
      </x:c>
      <x:c r="E131" s="4" t="str">
        <x:v>Enum/String</x:v>
      </x:c>
      <x:c r="F131" s="4" t="str">
        <x:v>YES</x:v>
      </x:c>
      <x:c r="G131" s="4" t="str">
        <x:v>待M阶段冻结</x:v>
      </x:c>
      <x:c r="H131" s="17" t="str">
        <x:v>INTERNAL</x:v>
      </x:c>
      <x:c r="I131" s="17" t="str">
        <x:v>按资源权限与数据域访问；公开DTO另行白名单</x:v>
      </x:c>
      <x:c r="J131" s="17" t="str">
        <x:v>数据库实体不得直接序列化为响应</x:v>
      </x:c>
      <x:c r="K131" s="17" t="str">
        <x:v>DTO白名单；长度/枚举/归属/状态校验；禁止信任客户端派生值</x:v>
      </x:c>
      <x:c r="L131" s="17" t="str">
        <x:v>按实体version或审计日志保留变更证据</x:v>
      </x:c>
      <x:c r="M131" s="4" t="str">
        <x:v>M1</x:v>
      </x:c>
      <x:c r="N131" s="4" t="str">
        <x:v>P0-005,P0-067,P0-070</x:v>
      </x:c>
      <x:c r="O131" s="4" t="str">
        <x:v>综合方案§13核心数据模型</x:v>
      </x:c>
      <x:c r="P131" s="4" t="str">
        <x:v>DRAFT_FROM_SCHEME</x:v>
      </x:c>
    </x:row>
    <x:row r="132" ht="23" customHeight="1">
      <x:c r="A132" s="4" t="str">
        <x:v>FunctionalAccount</x:v>
      </x:c>
      <x:c r="B132" s="4" t="str">
        <x:v>companyId</x:v>
      </x:c>
      <x:c r="C132" s="17" t="str">
        <x:v>companyId?</x:v>
      </x:c>
      <x:c r="D132" s="4" t="str">
        <x:v>5</x:v>
      </x:c>
      <x:c r="E132" s="4" t="str">
        <x:v>String/UUID</x:v>
      </x:c>
      <x:c r="F132" s="4" t="str">
        <x:v>NO</x:v>
      </x:c>
      <x:c r="G132" s="4" t="str">
        <x:v>待M阶段冻结</x:v>
      </x:c>
      <x:c r="H132" s="17" t="str">
        <x:v>INTERNAL</x:v>
      </x:c>
      <x:c r="I132" s="17" t="str">
        <x:v>按资源权限与数据域访问；公开DTO另行白名单</x:v>
      </x:c>
      <x:c r="J132" s="17" t="str">
        <x:v>数据库实体不得直接序列化为响应</x:v>
      </x:c>
      <x:c r="K132" s="17" t="str">
        <x:v>DTO白名单；长度/枚举/归属/状态校验；禁止信任客户端派生值</x:v>
      </x:c>
      <x:c r="L132" s="17" t="str">
        <x:v>按实体version或审计日志保留变更证据</x:v>
      </x:c>
      <x:c r="M132" s="4" t="str">
        <x:v>M1</x:v>
      </x:c>
      <x:c r="N132" s="4" t="str">
        <x:v>P0-005,P0-067,P0-070</x:v>
      </x:c>
      <x:c r="O132" s="4" t="str">
        <x:v>综合方案§13核心数据模型</x:v>
      </x:c>
      <x:c r="P132" s="4" t="str">
        <x:v>DRAFT_FROM_SCHEME</x:v>
      </x:c>
    </x:row>
    <x:row r="133" ht="23" customHeight="1">
      <x:c r="A133" s="4" t="str">
        <x:v>FunctionalAccount</x:v>
      </x:c>
      <x:c r="B133" s="4" t="str">
        <x:v>supplierId</x:v>
      </x:c>
      <x:c r="C133" s="17" t="str">
        <x:v>supplierId?</x:v>
      </x:c>
      <x:c r="D133" s="4" t="str">
        <x:v>6</x:v>
      </x:c>
      <x:c r="E133" s="4" t="str">
        <x:v>String/UUID</x:v>
      </x:c>
      <x:c r="F133" s="4" t="str">
        <x:v>NO</x:v>
      </x:c>
      <x:c r="G133" s="4" t="str">
        <x:v>待M阶段冻结</x:v>
      </x:c>
      <x:c r="H133" s="17" t="str">
        <x:v>INTERNAL</x:v>
      </x:c>
      <x:c r="I133" s="17" t="str">
        <x:v>按资源权限与数据域访问；公开DTO另行白名单</x:v>
      </x:c>
      <x:c r="J133" s="17" t="str">
        <x:v>数据库实体不得直接序列化为响应</x:v>
      </x:c>
      <x:c r="K133" s="17" t="str">
        <x:v>DTO白名单；长度/枚举/归属/状态校验；禁止信任客户端派生值</x:v>
      </x:c>
      <x:c r="L133" s="17" t="str">
        <x:v>按实体version或审计日志保留变更证据</x:v>
      </x:c>
      <x:c r="M133" s="4" t="str">
        <x:v>M1</x:v>
      </x:c>
      <x:c r="N133" s="4" t="str">
        <x:v>P0-005,P0-067,P0-070</x:v>
      </x:c>
      <x:c r="O133" s="4" t="str">
        <x:v>综合方案§13核心数据模型</x:v>
      </x:c>
      <x:c r="P133" s="4" t="str">
        <x:v>DRAFT_FROM_SCHEME</x:v>
      </x:c>
    </x:row>
    <x:row r="134" ht="23" customHeight="1">
      <x:c r="A134" s="4" t="str">
        <x:v>FunctionalAccount</x:v>
      </x:c>
      <x:c r="B134" s="4" t="str">
        <x:v>accountTypeId</x:v>
      </x:c>
      <x:c r="C134" s="17" t="str">
        <x:v>accountTypeId</x:v>
      </x:c>
      <x:c r="D134" s="4" t="str">
        <x:v>7</x:v>
      </x:c>
      <x:c r="E134" s="4" t="str">
        <x:v>String/UUID</x:v>
      </x:c>
      <x:c r="F134" s="4" t="str">
        <x:v>YES</x:v>
      </x:c>
      <x:c r="G134" s="4" t="str">
        <x:v>待M阶段冻结</x:v>
      </x:c>
      <x:c r="H134" s="17" t="str">
        <x:v>INTERNAL</x:v>
      </x:c>
      <x:c r="I134" s="17" t="str">
        <x:v>按资源权限与数据域访问；公开DTO另行白名单</x:v>
      </x:c>
      <x:c r="J134" s="17" t="str">
        <x:v>数据库实体不得直接序列化为响应</x:v>
      </x:c>
      <x:c r="K134" s="17" t="str">
        <x:v>DTO白名单；长度/枚举/归属/状态校验；禁止信任客户端派生值</x:v>
      </x:c>
      <x:c r="L134" s="17" t="str">
        <x:v>按实体version或审计日志保留变更证据</x:v>
      </x:c>
      <x:c r="M134" s="4" t="str">
        <x:v>M1</x:v>
      </x:c>
      <x:c r="N134" s="4" t="str">
        <x:v>P0-005,P0-067,P0-070</x:v>
      </x:c>
      <x:c r="O134" s="4" t="str">
        <x:v>综合方案§13核心数据模型</x:v>
      </x:c>
      <x:c r="P134" s="4" t="str">
        <x:v>DRAFT_FROM_SCHEME</x:v>
      </x:c>
    </x:row>
    <x:row r="135" ht="23" customHeight="1">
      <x:c r="A135" s="4" t="str">
        <x:v>FunctionalAccount</x:v>
      </x:c>
      <x:c r="B135" s="4" t="str">
        <x:v>displayName</x:v>
      </x:c>
      <x:c r="C135" s="17" t="str">
        <x:v>displayName</x:v>
      </x:c>
      <x:c r="D135" s="4" t="str">
        <x:v>8</x:v>
      </x:c>
      <x:c r="E135" s="4" t="str">
        <x:v>String</x:v>
      </x:c>
      <x:c r="F135" s="4" t="str">
        <x:v>YES</x:v>
      </x:c>
      <x:c r="G135" s="4" t="str">
        <x:v>待M阶段冻结</x:v>
      </x:c>
      <x:c r="H135" s="17" t="str">
        <x:v>INTERNAL</x:v>
      </x:c>
      <x:c r="I135" s="17" t="str">
        <x:v>按资源权限与数据域访问；公开DTO另行白名单</x:v>
      </x:c>
      <x:c r="J135" s="17" t="str">
        <x:v>数据库实体不得直接序列化为响应</x:v>
      </x:c>
      <x:c r="K135" s="17" t="str">
        <x:v>DTO白名单；长度/枚举/归属/状态校验；禁止信任客户端派生值</x:v>
      </x:c>
      <x:c r="L135" s="17" t="str">
        <x:v>按实体version或审计日志保留变更证据</x:v>
      </x:c>
      <x:c r="M135" s="4" t="str">
        <x:v>M1</x:v>
      </x:c>
      <x:c r="N135" s="4" t="str">
        <x:v>P0-005,P0-067,P0-070</x:v>
      </x:c>
      <x:c r="O135" s="4" t="str">
        <x:v>综合方案§13核心数据模型</x:v>
      </x:c>
      <x:c r="P135" s="4" t="str">
        <x:v>DRAFT_FROM_SCHEME</x:v>
      </x:c>
    </x:row>
    <x:row r="136" ht="23" customHeight="1">
      <x:c r="A136" s="4" t="str">
        <x:v>FunctionalAccount</x:v>
      </x:c>
      <x:c r="B136" s="4" t="str">
        <x:v>status</x:v>
      </x:c>
      <x:c r="C136" s="17" t="str">
        <x:v>status</x:v>
      </x:c>
      <x:c r="D136" s="4" t="str">
        <x:v>9</x:v>
      </x:c>
      <x:c r="E136" s="4" t="str">
        <x:v>Enum/String</x:v>
      </x:c>
      <x:c r="F136" s="4" t="str">
        <x:v>YES</x:v>
      </x:c>
      <x:c r="G136" s="4" t="str">
        <x:v>待M阶段冻结</x:v>
      </x:c>
      <x:c r="H136" s="17" t="str">
        <x:v>INTERNAL</x:v>
      </x:c>
      <x:c r="I136" s="17" t="str">
        <x:v>按资源权限与数据域访问；公开DTO另行白名单</x:v>
      </x:c>
      <x:c r="J136" s="17" t="str">
        <x:v>数据库实体不得直接序列化为响应</x:v>
      </x:c>
      <x:c r="K136" s="17" t="str">
        <x:v>DTO白名单；长度/枚举/归属/状态校验；禁止信任客户端派生值</x:v>
      </x:c>
      <x:c r="L136" s="17" t="str">
        <x:v>按实体version或审计日志保留变更证据</x:v>
      </x:c>
      <x:c r="M136" s="4" t="str">
        <x:v>M1</x:v>
      </x:c>
      <x:c r="N136" s="4" t="str">
        <x:v>P0-005,P0-067,P0-070</x:v>
      </x:c>
      <x:c r="O136" s="4" t="str">
        <x:v>综合方案§13核心数据模型</x:v>
      </x:c>
      <x:c r="P136" s="4" t="str">
        <x:v>DRAFT_FROM_SCHEME</x:v>
      </x:c>
    </x:row>
    <x:row r="137" ht="23" customHeight="1">
      <x:c r="A137" s="4" t="str">
        <x:v>FunctionalAccount</x:v>
      </x:c>
      <x:c r="B137" s="4" t="str">
        <x:v>expiresAt</x:v>
      </x:c>
      <x:c r="C137" s="17" t="str">
        <x:v>expiresAt?</x:v>
      </x:c>
      <x:c r="D137" s="4" t="str">
        <x:v>10</x:v>
      </x:c>
      <x:c r="E137" s="4" t="str">
        <x:v>DateTime</x:v>
      </x:c>
      <x:c r="F137" s="4" t="str">
        <x:v>NO</x:v>
      </x:c>
      <x:c r="G137" s="4" t="str">
        <x:v>ISO-8601+明确时区</x:v>
      </x:c>
      <x:c r="H137" s="17" t="str">
        <x:v>INTERNAL</x:v>
      </x:c>
      <x:c r="I137" s="17" t="str">
        <x:v>按资源权限与数据域访问；公开DTO另行白名单</x:v>
      </x:c>
      <x:c r="J137" s="17" t="str">
        <x:v>数据库实体不得直接序列化为响应</x:v>
      </x:c>
      <x:c r="K137" s="17" t="str">
        <x:v>DTO白名单；长度/枚举/归属/状态校验；禁止信任客户端派生值</x:v>
      </x:c>
      <x:c r="L137" s="17" t="str">
        <x:v>按实体version或审计日志保留变更证据</x:v>
      </x:c>
      <x:c r="M137" s="4" t="str">
        <x:v>M1</x:v>
      </x:c>
      <x:c r="N137" s="4" t="str">
        <x:v>P0-005,P0-067,P0-070</x:v>
      </x:c>
      <x:c r="O137" s="4" t="str">
        <x:v>综合方案§13核心数据模型</x:v>
      </x:c>
      <x:c r="P137" s="4" t="str">
        <x:v>DRAFT_FROM_SCHEME</x:v>
      </x:c>
    </x:row>
    <x:row r="138" ht="23" customHeight="1">
      <x:c r="A138" s="4" t="str">
        <x:v>Permission</x:v>
      </x:c>
      <x:c r="B138" s="4" t="str">
        <x:v>id</x:v>
      </x:c>
      <x:c r="C138" s="17" t="str">
        <x:v>id</x:v>
      </x:c>
      <x:c r="D138" s="4" t="str">
        <x:v>1</x:v>
      </x:c>
      <x:c r="E138" s="4" t="str">
        <x:v>String/UUID</x:v>
      </x:c>
      <x:c r="F138" s="4" t="str">
        <x:v>YES</x:v>
      </x:c>
      <x:c r="G138" s="4" t="str">
        <x:v>待M阶段冻结</x:v>
      </x:c>
      <x:c r="H138" s="17" t="str">
        <x:v>INTERNAL</x:v>
      </x:c>
      <x:c r="I138" s="17" t="str">
        <x:v>按资源权限与数据域访问；公开DTO另行白名单</x:v>
      </x:c>
      <x:c r="J138" s="17" t="str">
        <x:v>数据库实体不得直接序列化为响应</x:v>
      </x:c>
      <x:c r="K138" s="17" t="str">
        <x:v>DTO白名单；长度/枚举/归属/状态校验；禁止信任客户端派生值</x:v>
      </x:c>
      <x:c r="L138" s="17" t="str">
        <x:v>按实体version或审计日志保留变更证据</x:v>
      </x:c>
      <x:c r="M138" s="4" t="str">
        <x:v>M1</x:v>
      </x:c>
      <x:c r="N138" s="4" t="str">
        <x:v>待切片细化</x:v>
      </x:c>
      <x:c r="O138" s="4" t="str">
        <x:v>综合方案§13核心数据模型</x:v>
      </x:c>
      <x:c r="P138" s="4" t="str">
        <x:v>DRAFT_FROM_SCHEME</x:v>
      </x:c>
    </x:row>
    <x:row r="139" ht="23" customHeight="1">
      <x:c r="A139" s="4" t="str">
        <x:v>Permission</x:v>
      </x:c>
      <x:c r="B139" s="4" t="str">
        <x:v>code</x:v>
      </x:c>
      <x:c r="C139" s="17" t="str">
        <x:v>code</x:v>
      </x:c>
      <x:c r="D139" s="4" t="str">
        <x:v>2</x:v>
      </x:c>
      <x:c r="E139" s="4" t="str">
        <x:v>String</x:v>
      </x:c>
      <x:c r="F139" s="4" t="str">
        <x:v>YES</x:v>
      </x:c>
      <x:c r="G139" s="4" t="str">
        <x:v>待M阶段冻结</x:v>
      </x:c>
      <x:c r="H139" s="17" t="str">
        <x:v>INTERNAL</x:v>
      </x:c>
      <x:c r="I139" s="17" t="str">
        <x:v>按资源权限与数据域访问；公开DTO另行白名单</x:v>
      </x:c>
      <x:c r="J139" s="17" t="str">
        <x:v>数据库实体不得直接序列化为响应</x:v>
      </x:c>
      <x:c r="K139" s="17" t="str">
        <x:v>DTO白名单；长度/枚举/归属/状态校验；禁止信任客户端派生值</x:v>
      </x:c>
      <x:c r="L139" s="17" t="str">
        <x:v>按实体version或审计日志保留变更证据</x:v>
      </x:c>
      <x:c r="M139" s="4" t="str">
        <x:v>M1</x:v>
      </x:c>
      <x:c r="N139" s="4" t="str">
        <x:v>待切片细化</x:v>
      </x:c>
      <x:c r="O139" s="4" t="str">
        <x:v>综合方案§13核心数据模型</x:v>
      </x:c>
      <x:c r="P139" s="4" t="str">
        <x:v>DRAFT_FROM_SCHEME</x:v>
      </x:c>
    </x:row>
    <x:row r="140" ht="23" customHeight="1">
      <x:c r="A140" s="4" t="str">
        <x:v>Permission</x:v>
      </x:c>
      <x:c r="B140" s="4" t="str">
        <x:v>resource</x:v>
      </x:c>
      <x:c r="C140" s="17" t="str">
        <x:v>resource</x:v>
      </x:c>
      <x:c r="D140" s="4" t="str">
        <x:v>3</x:v>
      </x:c>
      <x:c r="E140" s="4" t="str">
        <x:v>String</x:v>
      </x:c>
      <x:c r="F140" s="4" t="str">
        <x:v>YES</x:v>
      </x:c>
      <x:c r="G140" s="4" t="str">
        <x:v>待M阶段冻结</x:v>
      </x:c>
      <x:c r="H140" s="17" t="str">
        <x:v>INTERNAL</x:v>
      </x:c>
      <x:c r="I140" s="17" t="str">
        <x:v>按资源权限与数据域访问；公开DTO另行白名单</x:v>
      </x:c>
      <x:c r="J140" s="17" t="str">
        <x:v>数据库实体不得直接序列化为响应</x:v>
      </x:c>
      <x:c r="K140" s="17" t="str">
        <x:v>DTO白名单；长度/枚举/归属/状态校验；禁止信任客户端派生值</x:v>
      </x:c>
      <x:c r="L140" s="17" t="str">
        <x:v>按实体version或审计日志保留变更证据</x:v>
      </x:c>
      <x:c r="M140" s="4" t="str">
        <x:v>M1</x:v>
      </x:c>
      <x:c r="N140" s="4" t="str">
        <x:v>待切片细化</x:v>
      </x:c>
      <x:c r="O140" s="4" t="str">
        <x:v>综合方案§13核心数据模型</x:v>
      </x:c>
      <x:c r="P140" s="4" t="str">
        <x:v>DRAFT_FROM_SCHEME</x:v>
      </x:c>
    </x:row>
    <x:row r="141" ht="23" customHeight="1">
      <x:c r="A141" s="4" t="str">
        <x:v>Permission</x:v>
      </x:c>
      <x:c r="B141" s="4" t="str">
        <x:v>action</x:v>
      </x:c>
      <x:c r="C141" s="17" t="str">
        <x:v>action</x:v>
      </x:c>
      <x:c r="D141" s="4" t="str">
        <x:v>4</x:v>
      </x:c>
      <x:c r="E141" s="4" t="str">
        <x:v>Enum/String</x:v>
      </x:c>
      <x:c r="F141" s="4" t="str">
        <x:v>YES</x:v>
      </x:c>
      <x:c r="G141" s="4" t="str">
        <x:v>待M阶段冻结</x:v>
      </x:c>
      <x:c r="H141" s="17" t="str">
        <x:v>INTERNAL</x:v>
      </x:c>
      <x:c r="I141" s="17" t="str">
        <x:v>按资源权限与数据域访问；公开DTO另行白名单</x:v>
      </x:c>
      <x:c r="J141" s="17" t="str">
        <x:v>数据库实体不得直接序列化为响应</x:v>
      </x:c>
      <x:c r="K141" s="17" t="str">
        <x:v>DTO白名单；长度/枚举/归属/状态校验；禁止信任客户端派生值</x:v>
      </x:c>
      <x:c r="L141" s="17" t="str">
        <x:v>按实体version或审计日志保留变更证据</x:v>
      </x:c>
      <x:c r="M141" s="4" t="str">
        <x:v>M1</x:v>
      </x:c>
      <x:c r="N141" s="4" t="str">
        <x:v>待切片细化</x:v>
      </x:c>
      <x:c r="O141" s="4" t="str">
        <x:v>综合方案§13核心数据模型</x:v>
      </x:c>
      <x:c r="P141" s="4" t="str">
        <x:v>DRAFT_FROM_SCHEME</x:v>
      </x:c>
    </x:row>
    <x:row r="142" ht="23" customHeight="1">
      <x:c r="A142" s="4" t="str">
        <x:v>Permission</x:v>
      </x:c>
      <x:c r="B142" s="4" t="str">
        <x:v>fieldGroup</x:v>
      </x:c>
      <x:c r="C142" s="17" t="str">
        <x:v>fieldGroup?</x:v>
      </x:c>
      <x:c r="D142" s="4" t="str">
        <x:v>5</x:v>
      </x:c>
      <x:c r="E142" s="4" t="str">
        <x:v>String</x:v>
      </x:c>
      <x:c r="F142" s="4" t="str">
        <x:v>NO</x:v>
      </x:c>
      <x:c r="G142" s="4" t="str">
        <x:v>待M阶段冻结</x:v>
      </x:c>
      <x:c r="H142" s="17" t="str">
        <x:v>INTERNAL</x:v>
      </x:c>
      <x:c r="I142" s="17" t="str">
        <x:v>按资源权限与数据域访问；公开DTO另行白名单</x:v>
      </x:c>
      <x:c r="J142" s="17" t="str">
        <x:v>数据库实体不得直接序列化为响应</x:v>
      </x:c>
      <x:c r="K142" s="17" t="str">
        <x:v>DTO白名单；长度/枚举/归属/状态校验；禁止信任客户端派生值</x:v>
      </x:c>
      <x:c r="L142" s="17" t="str">
        <x:v>按实体version或审计日志保留变更证据</x:v>
      </x:c>
      <x:c r="M142" s="4" t="str">
        <x:v>M1</x:v>
      </x:c>
      <x:c r="N142" s="4" t="str">
        <x:v>待切片细化</x:v>
      </x:c>
      <x:c r="O142" s="4" t="str">
        <x:v>综合方案§13核心数据模型</x:v>
      </x:c>
      <x:c r="P142" s="4" t="str">
        <x:v>DRAFT_FROM_SCHEME</x:v>
      </x:c>
    </x:row>
    <x:row r="143" ht="23" customHeight="1">
      <x:c r="A143" s="4" t="str">
        <x:v>Permission</x:v>
      </x:c>
      <x:c r="B143" s="4" t="str">
        <x:v>riskLevel</x:v>
      </x:c>
      <x:c r="C143" s="17" t="str">
        <x:v>riskLevel</x:v>
      </x:c>
      <x:c r="D143" s="4" t="str">
        <x:v>6</x:v>
      </x:c>
      <x:c r="E143" s="4" t="str">
        <x:v>Int</x:v>
      </x:c>
      <x:c r="F143" s="4" t="str">
        <x:v>YES</x:v>
      </x:c>
      <x:c r="G143" s="4" t="str">
        <x:v>待M阶段冻结</x:v>
      </x:c>
      <x:c r="H143" s="17" t="str">
        <x:v>INTERNAL</x:v>
      </x:c>
      <x:c r="I143" s="17" t="str">
        <x:v>按资源权限与数据域访问；公开DTO另行白名单</x:v>
      </x:c>
      <x:c r="J143" s="17" t="str">
        <x:v>数据库实体不得直接序列化为响应</x:v>
      </x:c>
      <x:c r="K143" s="17" t="str">
        <x:v>DTO白名单；长度/枚举/归属/状态校验；禁止信任客户端派生值</x:v>
      </x:c>
      <x:c r="L143" s="17" t="str">
        <x:v>按实体version或审计日志保留变更证据</x:v>
      </x:c>
      <x:c r="M143" s="4" t="str">
        <x:v>M1</x:v>
      </x:c>
      <x:c r="N143" s="4" t="str">
        <x:v>待切片细化</x:v>
      </x:c>
      <x:c r="O143" s="4" t="str">
        <x:v>综合方案§13核心数据模型</x:v>
      </x:c>
      <x:c r="P143" s="4" t="str">
        <x:v>DRAFT_FROM_SCHEME</x:v>
      </x:c>
    </x:row>
    <x:row r="144" ht="23" customHeight="1">
      <x:c r="A144" s="4" t="str">
        <x:v>FunctionalAccountPermission</x:v>
      </x:c>
      <x:c r="B144" s="4" t="str">
        <x:v>id</x:v>
      </x:c>
      <x:c r="C144" s="17" t="str">
        <x:v>id</x:v>
      </x:c>
      <x:c r="D144" s="4" t="str">
        <x:v>1</x:v>
      </x:c>
      <x:c r="E144" s="4" t="str">
        <x:v>String/UUID</x:v>
      </x:c>
      <x:c r="F144" s="4" t="str">
        <x:v>YES</x:v>
      </x:c>
      <x:c r="G144" s="4" t="str">
        <x:v>待M阶段冻结</x:v>
      </x:c>
      <x:c r="H144" s="17" t="str">
        <x:v>INTERNAL</x:v>
      </x:c>
      <x:c r="I144" s="17" t="str">
        <x:v>按资源权限与数据域访问；公开DTO另行白名单</x:v>
      </x:c>
      <x:c r="J144" s="17" t="str">
        <x:v>数据库实体不得直接序列化为响应</x:v>
      </x:c>
      <x:c r="K144" s="17" t="str">
        <x:v>DTO白名单；长度/枚举/归属/状态校验；禁止信任客户端派生值</x:v>
      </x:c>
      <x:c r="L144" s="17" t="str">
        <x:v>按实体version或审计日志保留变更证据</x:v>
      </x:c>
      <x:c r="M144" s="4" t="str">
        <x:v>M1</x:v>
      </x:c>
      <x:c r="N144" s="4" t="str">
        <x:v>待切片细化</x:v>
      </x:c>
      <x:c r="O144" s="4" t="str">
        <x:v>综合方案§13核心数据模型</x:v>
      </x:c>
      <x:c r="P144" s="4" t="str">
        <x:v>DRAFT_FROM_SCHEME</x:v>
      </x:c>
    </x:row>
    <x:row r="145" ht="23" customHeight="1">
      <x:c r="A145" s="4" t="str">
        <x:v>FunctionalAccountPermission</x:v>
      </x:c>
      <x:c r="B145" s="4" t="str">
        <x:v>functionalAccountId</x:v>
      </x:c>
      <x:c r="C145" s="17" t="str">
        <x:v>functionalAccountId</x:v>
      </x:c>
      <x:c r="D145" s="4" t="str">
        <x:v>2</x:v>
      </x:c>
      <x:c r="E145" s="4" t="str">
        <x:v>String/UUID</x:v>
      </x:c>
      <x:c r="F145" s="4" t="str">
        <x:v>YES</x:v>
      </x:c>
      <x:c r="G145" s="4" t="str">
        <x:v>待M阶段冻结</x:v>
      </x:c>
      <x:c r="H145" s="17" t="str">
        <x:v>INTERNAL</x:v>
      </x:c>
      <x:c r="I145" s="17" t="str">
        <x:v>按资源权限与数据域访问；公开DTO另行白名单</x:v>
      </x:c>
      <x:c r="J145" s="17" t="str">
        <x:v>数据库实体不得直接序列化为响应</x:v>
      </x:c>
      <x:c r="K145" s="17" t="str">
        <x:v>DTO白名单；长度/枚举/归属/状态校验；禁止信任客户端派生值</x:v>
      </x:c>
      <x:c r="L145" s="17" t="str">
        <x:v>按实体version或审计日志保留变更证据</x:v>
      </x:c>
      <x:c r="M145" s="4" t="str">
        <x:v>M1</x:v>
      </x:c>
      <x:c r="N145" s="4" t="str">
        <x:v>待切片细化</x:v>
      </x:c>
      <x:c r="O145" s="4" t="str">
        <x:v>综合方案§13核心数据模型</x:v>
      </x:c>
      <x:c r="P145" s="4" t="str">
        <x:v>DRAFT_FROM_SCHEME</x:v>
      </x:c>
    </x:row>
    <x:row r="146" ht="23" customHeight="1">
      <x:c r="A146" s="4" t="str">
        <x:v>FunctionalAccountPermission</x:v>
      </x:c>
      <x:c r="B146" s="4" t="str">
        <x:v>permissionId</x:v>
      </x:c>
      <x:c r="C146" s="17" t="str">
        <x:v>permissionId</x:v>
      </x:c>
      <x:c r="D146" s="4" t="str">
        <x:v>3</x:v>
      </x:c>
      <x:c r="E146" s="4" t="str">
        <x:v>String/UUID</x:v>
      </x:c>
      <x:c r="F146" s="4" t="str">
        <x:v>YES</x:v>
      </x:c>
      <x:c r="G146" s="4" t="str">
        <x:v>待M阶段冻结</x:v>
      </x:c>
      <x:c r="H146" s="17" t="str">
        <x:v>INTERNAL</x:v>
      </x:c>
      <x:c r="I146" s="17" t="str">
        <x:v>按资源权限与数据域访问；公开DTO另行白名单</x:v>
      </x:c>
      <x:c r="J146" s="17" t="str">
        <x:v>数据库实体不得直接序列化为响应</x:v>
      </x:c>
      <x:c r="K146" s="17" t="str">
        <x:v>DTO白名单；长度/枚举/归属/状态校验；禁止信任客户端派生值</x:v>
      </x:c>
      <x:c r="L146" s="17" t="str">
        <x:v>按实体version或审计日志保留变更证据</x:v>
      </x:c>
      <x:c r="M146" s="4" t="str">
        <x:v>M1</x:v>
      </x:c>
      <x:c r="N146" s="4" t="str">
        <x:v>待切片细化</x:v>
      </x:c>
      <x:c r="O146" s="4" t="str">
        <x:v>综合方案§13核心数据模型</x:v>
      </x:c>
      <x:c r="P146" s="4" t="str">
        <x:v>DRAFT_FROM_SCHEME</x:v>
      </x:c>
    </x:row>
    <x:row r="147" ht="23" customHeight="1">
      <x:c r="A147" s="4" t="str">
        <x:v>FunctionalAccountPermission</x:v>
      </x:c>
      <x:c r="B147" s="4" t="str">
        <x:v>effect</x:v>
      </x:c>
      <x:c r="C147" s="17" t="str">
        <x:v>effect</x:v>
      </x:c>
      <x:c r="D147" s="4" t="str">
        <x:v>4</x:v>
      </x:c>
      <x:c r="E147" s="4" t="str">
        <x:v>String</x:v>
      </x:c>
      <x:c r="F147" s="4" t="str">
        <x:v>YES</x:v>
      </x:c>
      <x:c r="G147" s="4" t="str">
        <x:v>待M阶段冻结</x:v>
      </x:c>
      <x:c r="H147" s="17" t="str">
        <x:v>INTERNAL</x:v>
      </x:c>
      <x:c r="I147" s="17" t="str">
        <x:v>按资源权限与数据域访问；公开DTO另行白名单</x:v>
      </x:c>
      <x:c r="J147" s="17" t="str">
        <x:v>数据库实体不得直接序列化为响应</x:v>
      </x:c>
      <x:c r="K147" s="17" t="str">
        <x:v>DTO白名单；长度/枚举/归属/状态校验；禁止信任客户端派生值</x:v>
      </x:c>
      <x:c r="L147" s="17" t="str">
        <x:v>按实体version或审计日志保留变更证据</x:v>
      </x:c>
      <x:c r="M147" s="4" t="str">
        <x:v>M1</x:v>
      </x:c>
      <x:c r="N147" s="4" t="str">
        <x:v>待切片细化</x:v>
      </x:c>
      <x:c r="O147" s="4" t="str">
        <x:v>综合方案§13核心数据模型</x:v>
      </x:c>
      <x:c r="P147" s="4" t="str">
        <x:v>DRAFT_FROM_SCHEME</x:v>
      </x:c>
    </x:row>
    <x:row r="148" ht="23" customHeight="1">
      <x:c r="A148" s="4" t="str">
        <x:v>DataScopePolicy</x:v>
      </x:c>
      <x:c r="B148" s="4" t="str">
        <x:v>id</x:v>
      </x:c>
      <x:c r="C148" s="17" t="str">
        <x:v>id</x:v>
      </x:c>
      <x:c r="D148" s="4" t="str">
        <x:v>1</x:v>
      </x:c>
      <x:c r="E148" s="4" t="str">
        <x:v>String/UUID</x:v>
      </x:c>
      <x:c r="F148" s="4" t="str">
        <x:v>YES</x:v>
      </x:c>
      <x:c r="G148" s="4" t="str">
        <x:v>待M阶段冻结</x:v>
      </x:c>
      <x:c r="H148" s="17" t="str">
        <x:v>INTERNAL</x:v>
      </x:c>
      <x:c r="I148" s="17" t="str">
        <x:v>按资源权限与数据域访问；公开DTO另行白名单</x:v>
      </x:c>
      <x:c r="J148" s="17" t="str">
        <x:v>数据库实体不得直接序列化为响应</x:v>
      </x:c>
      <x:c r="K148" s="17" t="str">
        <x:v>DTO白名单；长度/枚举/归属/状态校验；禁止信任客户端派生值</x:v>
      </x:c>
      <x:c r="L148" s="17" t="str">
        <x:v>按实体version或审计日志保留变更证据</x:v>
      </x:c>
      <x:c r="M148" s="4" t="str">
        <x:v>M1</x:v>
      </x:c>
      <x:c r="N148" s="4" t="str">
        <x:v>待切片细化</x:v>
      </x:c>
      <x:c r="O148" s="4" t="str">
        <x:v>综合方案§13核心数据模型</x:v>
      </x:c>
      <x:c r="P148" s="4" t="str">
        <x:v>DRAFT_FROM_SCHEME</x:v>
      </x:c>
    </x:row>
    <x:row r="149" ht="23" customHeight="1">
      <x:c r="A149" s="4" t="str">
        <x:v>DataScopePolicy</x:v>
      </x:c>
      <x:c r="B149" s="4" t="str">
        <x:v>functionalAccountId</x:v>
      </x:c>
      <x:c r="C149" s="17" t="str">
        <x:v>functionalAccountId</x:v>
      </x:c>
      <x:c r="D149" s="4" t="str">
        <x:v>2</x:v>
      </x:c>
      <x:c r="E149" s="4" t="str">
        <x:v>String/UUID</x:v>
      </x:c>
      <x:c r="F149" s="4" t="str">
        <x:v>YES</x:v>
      </x:c>
      <x:c r="G149" s="4" t="str">
        <x:v>待M阶段冻结</x:v>
      </x:c>
      <x:c r="H149" s="17" t="str">
        <x:v>INTERNAL</x:v>
      </x:c>
      <x:c r="I149" s="17" t="str">
        <x:v>按资源权限与数据域访问；公开DTO另行白名单</x:v>
      </x:c>
      <x:c r="J149" s="17" t="str">
        <x:v>数据库实体不得直接序列化为响应</x:v>
      </x:c>
      <x:c r="K149" s="17" t="str">
        <x:v>DTO白名单；长度/枚举/归属/状态校验；禁止信任客户端派生值</x:v>
      </x:c>
      <x:c r="L149" s="17" t="str">
        <x:v>按实体version或审计日志保留变更证据</x:v>
      </x:c>
      <x:c r="M149" s="4" t="str">
        <x:v>M1</x:v>
      </x:c>
      <x:c r="N149" s="4" t="str">
        <x:v>待切片细化</x:v>
      </x:c>
      <x:c r="O149" s="4" t="str">
        <x:v>综合方案§13核心数据模型</x:v>
      </x:c>
      <x:c r="P149" s="4" t="str">
        <x:v>DRAFT_FROM_SCHEME</x:v>
      </x:c>
    </x:row>
    <x:row r="150" ht="23" customHeight="1">
      <x:c r="A150" s="4" t="str">
        <x:v>DataScopePolicy</x:v>
      </x:c>
      <x:c r="B150" s="4" t="str">
        <x:v>scopeType</x:v>
      </x:c>
      <x:c r="C150" s="17" t="str">
        <x:v>scopeType</x:v>
      </x:c>
      <x:c r="D150" s="4" t="str">
        <x:v>3</x:v>
      </x:c>
      <x:c r="E150" s="4" t="str">
        <x:v>Enum/String</x:v>
      </x:c>
      <x:c r="F150" s="4" t="str">
        <x:v>YES</x:v>
      </x:c>
      <x:c r="G150" s="4" t="str">
        <x:v>待M阶段冻结</x:v>
      </x:c>
      <x:c r="H150" s="17" t="str">
        <x:v>INTERNAL</x:v>
      </x:c>
      <x:c r="I150" s="17" t="str">
        <x:v>按资源权限与数据域访问；公开DTO另行白名单</x:v>
      </x:c>
      <x:c r="J150" s="17" t="str">
        <x:v>数据库实体不得直接序列化为响应</x:v>
      </x:c>
      <x:c r="K150" s="17" t="str">
        <x:v>DTO白名单；长度/枚举/归属/状态校验；禁止信任客户端派生值</x:v>
      </x:c>
      <x:c r="L150" s="17" t="str">
        <x:v>按实体version或审计日志保留变更证据</x:v>
      </x:c>
      <x:c r="M150" s="4" t="str">
        <x:v>M1</x:v>
      </x:c>
      <x:c r="N150" s="4" t="str">
        <x:v>待切片细化</x:v>
      </x:c>
      <x:c r="O150" s="4" t="str">
        <x:v>综合方案§13核心数据模型</x:v>
      </x:c>
      <x:c r="P150" s="4" t="str">
        <x:v>DRAFT_FROM_SCHEME</x:v>
      </x:c>
    </x:row>
    <x:row r="151" ht="23" customHeight="1">
      <x:c r="A151" s="4" t="str">
        <x:v>DataScopePolicy</x:v>
      </x:c>
      <x:c r="B151" s="4" t="str">
        <x:v>scopeRules</x:v>
      </x:c>
      <x:c r="C151" s="17" t="str">
        <x:v>scopeRules</x:v>
      </x:c>
      <x:c r="D151" s="4" t="str">
        <x:v>4</x:v>
      </x:c>
      <x:c r="E151" s="4" t="str">
        <x:v>Json</x:v>
      </x:c>
      <x:c r="F151" s="4" t="str">
        <x:v>YES</x:v>
      </x:c>
      <x:c r="G151" s="4" t="str">
        <x:v>待M阶段冻结</x:v>
      </x:c>
      <x:c r="H151" s="17" t="str">
        <x:v>INTERNAL</x:v>
      </x:c>
      <x:c r="I151" s="17" t="str">
        <x:v>按资源权限与数据域访问；公开DTO另行白名单</x:v>
      </x:c>
      <x:c r="J151" s="17" t="str">
        <x:v>数据库实体不得直接序列化为响应</x:v>
      </x:c>
      <x:c r="K151" s="17" t="str">
        <x:v>DTO白名单；长度/枚举/归属/状态校验；禁止信任客户端派生值</x:v>
      </x:c>
      <x:c r="L151" s="17" t="str">
        <x:v>按实体version或审计日志保留变更证据</x:v>
      </x:c>
      <x:c r="M151" s="4" t="str">
        <x:v>M1</x:v>
      </x:c>
      <x:c r="N151" s="4" t="str">
        <x:v>待切片细化</x:v>
      </x:c>
      <x:c r="O151" s="4" t="str">
        <x:v>综合方案§13核心数据模型</x:v>
      </x:c>
      <x:c r="P151" s="4" t="str">
        <x:v>DRAFT_FROM_SCHEME</x:v>
      </x:c>
    </x:row>
    <x:row r="152" ht="23" customHeight="1">
      <x:c r="A152" s="4" t="str">
        <x:v>FieldAccessPolicy</x:v>
      </x:c>
      <x:c r="B152" s="4" t="str">
        <x:v>id</x:v>
      </x:c>
      <x:c r="C152" s="17" t="str">
        <x:v>id</x:v>
      </x:c>
      <x:c r="D152" s="4" t="str">
        <x:v>1</x:v>
      </x:c>
      <x:c r="E152" s="4" t="str">
        <x:v>String/UUID</x:v>
      </x:c>
      <x:c r="F152" s="4" t="str">
        <x:v>YES</x:v>
      </x:c>
      <x:c r="G152" s="4" t="str">
        <x:v>待M阶段冻结</x:v>
      </x:c>
      <x:c r="H152" s="17" t="str">
        <x:v>INTERNAL</x:v>
      </x:c>
      <x:c r="I152" s="17" t="str">
        <x:v>按资源权限与数据域访问；公开DTO另行白名单</x:v>
      </x:c>
      <x:c r="J152" s="17" t="str">
        <x:v>数据库实体不得直接序列化为响应</x:v>
      </x:c>
      <x:c r="K152" s="17" t="str">
        <x:v>DTO白名单；长度/枚举/归属/状态校验；禁止信任客户端派生值</x:v>
      </x:c>
      <x:c r="L152" s="17" t="str">
        <x:v>按实体version或审计日志保留变更证据</x:v>
      </x:c>
      <x:c r="M152" s="4" t="str">
        <x:v>M1</x:v>
      </x:c>
      <x:c r="N152" s="4" t="str">
        <x:v>P0-046,P0-047</x:v>
      </x:c>
      <x:c r="O152" s="4" t="str">
        <x:v>综合方案§13核心数据模型</x:v>
      </x:c>
      <x:c r="P152" s="4" t="str">
        <x:v>DRAFT_FROM_SCHEME</x:v>
      </x:c>
    </x:row>
    <x:row r="153" ht="23" customHeight="1">
      <x:c r="A153" s="4" t="str">
        <x:v>FieldAccessPolicy</x:v>
      </x:c>
      <x:c r="B153" s="4" t="str">
        <x:v>functionalAccountId</x:v>
      </x:c>
      <x:c r="C153" s="17" t="str">
        <x:v>functionalAccountId</x:v>
      </x:c>
      <x:c r="D153" s="4" t="str">
        <x:v>2</x:v>
      </x:c>
      <x:c r="E153" s="4" t="str">
        <x:v>String/UUID</x:v>
      </x:c>
      <x:c r="F153" s="4" t="str">
        <x:v>YES</x:v>
      </x:c>
      <x:c r="G153" s="4" t="str">
        <x:v>待M阶段冻结</x:v>
      </x:c>
      <x:c r="H153" s="17" t="str">
        <x:v>INTERNAL</x:v>
      </x:c>
      <x:c r="I153" s="17" t="str">
        <x:v>按资源权限与数据域访问；公开DTO另行白名单</x:v>
      </x:c>
      <x:c r="J153" s="17" t="str">
        <x:v>数据库实体不得直接序列化为响应</x:v>
      </x:c>
      <x:c r="K153" s="17" t="str">
        <x:v>DTO白名单；长度/枚举/归属/状态校验；禁止信任客户端派生值</x:v>
      </x:c>
      <x:c r="L153" s="17" t="str">
        <x:v>按实体version或审计日志保留变更证据</x:v>
      </x:c>
      <x:c r="M153" s="4" t="str">
        <x:v>M1</x:v>
      </x:c>
      <x:c r="N153" s="4" t="str">
        <x:v>P0-046,P0-047</x:v>
      </x:c>
      <x:c r="O153" s="4" t="str">
        <x:v>综合方案§13核心数据模型</x:v>
      </x:c>
      <x:c r="P153" s="4" t="str">
        <x:v>DRAFT_FROM_SCHEME</x:v>
      </x:c>
    </x:row>
    <x:row r="154" ht="23" customHeight="1">
      <x:c r="A154" s="4" t="str">
        <x:v>FieldAccessPolicy</x:v>
      </x:c>
      <x:c r="B154" s="4" t="str">
        <x:v>resource</x:v>
      </x:c>
      <x:c r="C154" s="17" t="str">
        <x:v>resource</x:v>
      </x:c>
      <x:c r="D154" s="4" t="str">
        <x:v>3</x:v>
      </x:c>
      <x:c r="E154" s="4" t="str">
        <x:v>String</x:v>
      </x:c>
      <x:c r="F154" s="4" t="str">
        <x:v>YES</x:v>
      </x:c>
      <x:c r="G154" s="4" t="str">
        <x:v>待M阶段冻结</x:v>
      </x:c>
      <x:c r="H154" s="17" t="str">
        <x:v>INTERNAL</x:v>
      </x:c>
      <x:c r="I154" s="17" t="str">
        <x:v>按资源权限与数据域访问；公开DTO另行白名单</x:v>
      </x:c>
      <x:c r="J154" s="17" t="str">
        <x:v>数据库实体不得直接序列化为响应</x:v>
      </x:c>
      <x:c r="K154" s="17" t="str">
        <x:v>DTO白名单；长度/枚举/归属/状态校验；禁止信任客户端派生值</x:v>
      </x:c>
      <x:c r="L154" s="17" t="str">
        <x:v>按实体version或审计日志保留变更证据</x:v>
      </x:c>
      <x:c r="M154" s="4" t="str">
        <x:v>M1</x:v>
      </x:c>
      <x:c r="N154" s="4" t="str">
        <x:v>P0-046,P0-047</x:v>
      </x:c>
      <x:c r="O154" s="4" t="str">
        <x:v>综合方案§13核心数据模型</x:v>
      </x:c>
      <x:c r="P154" s="4" t="str">
        <x:v>DRAFT_FROM_SCHEME</x:v>
      </x:c>
    </x:row>
    <x:row r="155" ht="23" customHeight="1">
      <x:c r="A155" s="4" t="str">
        <x:v>FieldAccessPolicy</x:v>
      </x:c>
      <x:c r="B155" s="4" t="str">
        <x:v>fieldGroup</x:v>
      </x:c>
      <x:c r="C155" s="17" t="str">
        <x:v>fieldGroup</x:v>
      </x:c>
      <x:c r="D155" s="4" t="str">
        <x:v>4</x:v>
      </x:c>
      <x:c r="E155" s="4" t="str">
        <x:v>String</x:v>
      </x:c>
      <x:c r="F155" s="4" t="str">
        <x:v>YES</x:v>
      </x:c>
      <x:c r="G155" s="4" t="str">
        <x:v>待M阶段冻结</x:v>
      </x:c>
      <x:c r="H155" s="17" t="str">
        <x:v>INTERNAL</x:v>
      </x:c>
      <x:c r="I155" s="17" t="str">
        <x:v>按资源权限与数据域访问；公开DTO另行白名单</x:v>
      </x:c>
      <x:c r="J155" s="17" t="str">
        <x:v>数据库实体不得直接序列化为响应</x:v>
      </x:c>
      <x:c r="K155" s="17" t="str">
        <x:v>DTO白名单；长度/枚举/归属/状态校验；禁止信任客户端派生值</x:v>
      </x:c>
      <x:c r="L155" s="17" t="str">
        <x:v>按实体version或审计日志保留变更证据</x:v>
      </x:c>
      <x:c r="M155" s="4" t="str">
        <x:v>M1</x:v>
      </x:c>
      <x:c r="N155" s="4" t="str">
        <x:v>P0-046,P0-047</x:v>
      </x:c>
      <x:c r="O155" s="4" t="str">
        <x:v>综合方案§13核心数据模型</x:v>
      </x:c>
      <x:c r="P155" s="4" t="str">
        <x:v>DRAFT_FROM_SCHEME</x:v>
      </x:c>
    </x:row>
    <x:row r="156" ht="23" customHeight="1">
      <x:c r="A156" s="4" t="str">
        <x:v>FieldAccessPolicy</x:v>
      </x:c>
      <x:c r="B156" s="4" t="str">
        <x:v>accessMode</x:v>
      </x:c>
      <x:c r="C156" s="17" t="str">
        <x:v>accessMode</x:v>
      </x:c>
      <x:c r="D156" s="4" t="str">
        <x:v>5</x:v>
      </x:c>
      <x:c r="E156" s="4" t="str">
        <x:v>Enum/String</x:v>
      </x:c>
      <x:c r="F156" s="4" t="str">
        <x:v>YES</x:v>
      </x:c>
      <x:c r="G156" s="4" t="str">
        <x:v>待M阶段冻结</x:v>
      </x:c>
      <x:c r="H156" s="17" t="str">
        <x:v>INTERNAL</x:v>
      </x:c>
      <x:c r="I156" s="17" t="str">
        <x:v>按资源权限与数据域访问；公开DTO另行白名单</x:v>
      </x:c>
      <x:c r="J156" s="17" t="str">
        <x:v>数据库实体不得直接序列化为响应</x:v>
      </x:c>
      <x:c r="K156" s="17" t="str">
        <x:v>DTO白名单；长度/枚举/归属/状态校验；禁止信任客户端派生值</x:v>
      </x:c>
      <x:c r="L156" s="17" t="str">
        <x:v>按实体version或审计日志保留变更证据</x:v>
      </x:c>
      <x:c r="M156" s="4" t="str">
        <x:v>M1</x:v>
      </x:c>
      <x:c r="N156" s="4" t="str">
        <x:v>P0-046,P0-047</x:v>
      </x:c>
      <x:c r="O156" s="4" t="str">
        <x:v>综合方案§13核心数据模型</x:v>
      </x:c>
      <x:c r="P156" s="4" t="str">
        <x:v>DRAFT_FROM_SCHEME</x:v>
      </x:c>
    </x:row>
    <x:row r="157" ht="23" customHeight="1">
      <x:c r="A157" s="4" t="str">
        <x:v>AuthSession</x:v>
      </x:c>
      <x:c r="B157" s="4" t="str">
        <x:v>id</x:v>
      </x:c>
      <x:c r="C157" s="17" t="str">
        <x:v>id</x:v>
      </x:c>
      <x:c r="D157" s="4" t="str">
        <x:v>1</x:v>
      </x:c>
      <x:c r="E157" s="4" t="str">
        <x:v>String/UUID</x:v>
      </x:c>
      <x:c r="F157" s="4" t="str">
        <x:v>YES</x:v>
      </x:c>
      <x:c r="G157" s="4" t="str">
        <x:v>待M阶段冻结</x:v>
      </x:c>
      <x:c r="H157" s="17" t="str">
        <x:v>INTERNAL</x:v>
      </x:c>
      <x:c r="I157" s="17" t="str">
        <x:v>按资源权限与数据域访问；公开DTO另行白名单</x:v>
      </x:c>
      <x:c r="J157" s="17" t="str">
        <x:v>数据库实体不得直接序列化为响应</x:v>
      </x:c>
      <x:c r="K157" s="17" t="str">
        <x:v>DTO白名单；长度/枚举/归属/状态校验；禁止信任客户端派生值</x:v>
      </x:c>
      <x:c r="L157" s="17" t="str">
        <x:v>按实体version或审计日志保留变更证据</x:v>
      </x:c>
      <x:c r="M157" s="4" t="str">
        <x:v>M1</x:v>
      </x:c>
      <x:c r="N157" s="4" t="str">
        <x:v>待切片细化</x:v>
      </x:c>
      <x:c r="O157" s="4" t="str">
        <x:v>综合方案§13核心数据模型</x:v>
      </x:c>
      <x:c r="P157" s="4" t="str">
        <x:v>DRAFT_FROM_SCHEME</x:v>
      </x:c>
    </x:row>
    <x:row r="158" ht="23" customHeight="1">
      <x:c r="A158" s="4" t="str">
        <x:v>AuthSession</x:v>
      </x:c>
      <x:c r="B158" s="4" t="str">
        <x:v>userType</x:v>
      </x:c>
      <x:c r="C158" s="17" t="str">
        <x:v>userType</x:v>
      </x:c>
      <x:c r="D158" s="4" t="str">
        <x:v>2</x:v>
      </x:c>
      <x:c r="E158" s="4" t="str">
        <x:v>Enum/String</x:v>
      </x:c>
      <x:c r="F158" s="4" t="str">
        <x:v>YES</x:v>
      </x:c>
      <x:c r="G158" s="4" t="str">
        <x:v>待M阶段冻结</x:v>
      </x:c>
      <x:c r="H158" s="17" t="str">
        <x:v>INTERNAL</x:v>
      </x:c>
      <x:c r="I158" s="17" t="str">
        <x:v>按资源权限与数据域访问；公开DTO另行白名单</x:v>
      </x:c>
      <x:c r="J158" s="17" t="str">
        <x:v>数据库实体不得直接序列化为响应</x:v>
      </x:c>
      <x:c r="K158" s="17" t="str">
        <x:v>DTO白名单；长度/枚举/归属/状态校验；禁止信任客户端派生值</x:v>
      </x:c>
      <x:c r="L158" s="17" t="str">
        <x:v>按实体version或审计日志保留变更证据</x:v>
      </x:c>
      <x:c r="M158" s="4" t="str">
        <x:v>M1</x:v>
      </x:c>
      <x:c r="N158" s="4" t="str">
        <x:v>待切片细化</x:v>
      </x:c>
      <x:c r="O158" s="4" t="str">
        <x:v>综合方案§13核心数据模型</x:v>
      </x:c>
      <x:c r="P158" s="4" t="str">
        <x:v>DRAFT_FROM_SCHEME</x:v>
      </x:c>
    </x:row>
    <x:row r="159" ht="23" customHeight="1">
      <x:c r="A159" s="4" t="str">
        <x:v>AuthSession</x:v>
      </x:c>
      <x:c r="B159" s="4" t="str">
        <x:v>userId</x:v>
      </x:c>
      <x:c r="C159" s="17" t="str">
        <x:v>userId</x:v>
      </x:c>
      <x:c r="D159" s="4" t="str">
        <x:v>3</x:v>
      </x:c>
      <x:c r="E159" s="4" t="str">
        <x:v>String/UUID</x:v>
      </x:c>
      <x:c r="F159" s="4" t="str">
        <x:v>YES</x:v>
      </x:c>
      <x:c r="G159" s="4" t="str">
        <x:v>待M阶段冻结</x:v>
      </x:c>
      <x:c r="H159" s="17" t="str">
        <x:v>INTERNAL</x:v>
      </x:c>
      <x:c r="I159" s="17" t="str">
        <x:v>按资源权限与数据域访问；公开DTO另行白名单</x:v>
      </x:c>
      <x:c r="J159" s="17" t="str">
        <x:v>数据库实体不得直接序列化为响应</x:v>
      </x:c>
      <x:c r="K159" s="17" t="str">
        <x:v>DTO白名单；长度/枚举/归属/状态校验；禁止信任客户端派生值</x:v>
      </x:c>
      <x:c r="L159" s="17" t="str">
        <x:v>按实体version或审计日志保留变更证据</x:v>
      </x:c>
      <x:c r="M159" s="4" t="str">
        <x:v>M1</x:v>
      </x:c>
      <x:c r="N159" s="4" t="str">
        <x:v>待切片细化</x:v>
      </x:c>
      <x:c r="O159" s="4" t="str">
        <x:v>综合方案§13核心数据模型</x:v>
      </x:c>
      <x:c r="P159" s="4" t="str">
        <x:v>DRAFT_FROM_SCHEME</x:v>
      </x:c>
    </x:row>
    <x:row r="160" ht="23" customHeight="1">
      <x:c r="A160" s="4" t="str">
        <x:v>AuthSession</x:v>
      </x:c>
      <x:c r="B160" s="4" t="str">
        <x:v>functionalAccountId</x:v>
      </x:c>
      <x:c r="C160" s="17" t="str">
        <x:v>functionalAccountId</x:v>
      </x:c>
      <x:c r="D160" s="4" t="str">
        <x:v>4</x:v>
      </x:c>
      <x:c r="E160" s="4" t="str">
        <x:v>String/UUID</x:v>
      </x:c>
      <x:c r="F160" s="4" t="str">
        <x:v>YES</x:v>
      </x:c>
      <x:c r="G160" s="4" t="str">
        <x:v>待M阶段冻结</x:v>
      </x:c>
      <x:c r="H160" s="17" t="str">
        <x:v>INTERNAL</x:v>
      </x:c>
      <x:c r="I160" s="17" t="str">
        <x:v>按资源权限与数据域访问；公开DTO另行白名单</x:v>
      </x:c>
      <x:c r="J160" s="17" t="str">
        <x:v>数据库实体不得直接序列化为响应</x:v>
      </x:c>
      <x:c r="K160" s="17" t="str">
        <x:v>DTO白名单；长度/枚举/归属/状态校验；禁止信任客户端派生值</x:v>
      </x:c>
      <x:c r="L160" s="17" t="str">
        <x:v>按实体version或审计日志保留变更证据</x:v>
      </x:c>
      <x:c r="M160" s="4" t="str">
        <x:v>M1</x:v>
      </x:c>
      <x:c r="N160" s="4" t="str">
        <x:v>待切片细化</x:v>
      </x:c>
      <x:c r="O160" s="4" t="str">
        <x:v>综合方案§13核心数据模型</x:v>
      </x:c>
      <x:c r="P160" s="4" t="str">
        <x:v>DRAFT_FROM_SCHEME</x:v>
      </x:c>
    </x:row>
    <x:row r="161" ht="23" customHeight="1">
      <x:c r="A161" s="4" t="str">
        <x:v>AuthSession</x:v>
      </x:c>
      <x:c r="B161" s="4" t="str">
        <x:v>workspaceRoute</x:v>
      </x:c>
      <x:c r="C161" s="17" t="str">
        <x:v>workspaceRoute</x:v>
      </x:c>
      <x:c r="D161" s="4" t="str">
        <x:v>5</x:v>
      </x:c>
      <x:c r="E161" s="4" t="str">
        <x:v>String</x:v>
      </x:c>
      <x:c r="F161" s="4" t="str">
        <x:v>YES</x:v>
      </x:c>
      <x:c r="G161" s="4" t="str">
        <x:v>待M阶段冻结</x:v>
      </x:c>
      <x:c r="H161" s="17" t="str">
        <x:v>INTERNAL</x:v>
      </x:c>
      <x:c r="I161" s="17" t="str">
        <x:v>按资源权限与数据域访问；公开DTO另行白名单</x:v>
      </x:c>
      <x:c r="J161" s="17" t="str">
        <x:v>数据库实体不得直接序列化为响应</x:v>
      </x:c>
      <x:c r="K161" s="17" t="str">
        <x:v>DTO白名单；长度/枚举/归属/状态校验；禁止信任客户端派生值</x:v>
      </x:c>
      <x:c r="L161" s="17" t="str">
        <x:v>按实体version或审计日志保留变更证据</x:v>
      </x:c>
      <x:c r="M161" s="4" t="str">
        <x:v>M1</x:v>
      </x:c>
      <x:c r="N161" s="4" t="str">
        <x:v>待切片细化</x:v>
      </x:c>
      <x:c r="O161" s="4" t="str">
        <x:v>综合方案§13核心数据模型</x:v>
      </x:c>
      <x:c r="P161" s="4" t="str">
        <x:v>DRAFT_FROM_SCHEME</x:v>
      </x:c>
    </x:row>
    <x:row r="162" ht="23" customHeight="1">
      <x:c r="A162" s="4" t="str">
        <x:v>AuthSession</x:v>
      </x:c>
      <x:c r="B162" s="4" t="str">
        <x:v>sessionHash</x:v>
      </x:c>
      <x:c r="C162" s="17" t="str">
        <x:v>sessionHash</x:v>
      </x:c>
      <x:c r="D162" s="4" t="str">
        <x:v>6</x:v>
      </x:c>
      <x:c r="E162" s="4" t="str">
        <x:v>String</x:v>
      </x:c>
      <x:c r="F162" s="4" t="str">
        <x:v>YES</x:v>
      </x:c>
      <x:c r="G162" s="4" t="str">
        <x:v>待M阶段冻结</x:v>
      </x:c>
      <x:c r="H162" s="17" t="str">
        <x:v>SECRET_OR_CREDENTIAL</x:v>
      </x:c>
      <x:c r="I162" s="17" t="str">
        <x:v>仅后端最小权限读取，响应永不返回</x:v>
      </x:c>
      <x:c r="J162" s="17" t="str">
        <x:v>禁止提交、日志、快照和前端下发</x:v>
      </x:c>
      <x:c r="K162" s="17" t="str">
        <x:v>DTO白名单；长度/枚举/归属/状态校验；禁止信任客户端派生值</x:v>
      </x:c>
      <x:c r="L162" s="17" t="str">
        <x:v>按实体version或审计日志保留变更证据</x:v>
      </x:c>
      <x:c r="M162" s="4" t="str">
        <x:v>M1</x:v>
      </x:c>
      <x:c r="N162" s="4" t="str">
        <x:v>待切片细化</x:v>
      </x:c>
      <x:c r="O162" s="4" t="str">
        <x:v>综合方案§13核心数据模型</x:v>
      </x:c>
      <x:c r="P162" s="4" t="str">
        <x:v>DRAFT_FROM_SCHEME</x:v>
      </x:c>
    </x:row>
    <x:row r="163" ht="23" customHeight="1">
      <x:c r="A163" s="4" t="str">
        <x:v>AuthSession</x:v>
      </x:c>
      <x:c r="B163" s="4" t="str">
        <x:v>deviceInfo</x:v>
      </x:c>
      <x:c r="C163" s="17" t="str">
        <x:v>deviceInfo</x:v>
      </x:c>
      <x:c r="D163" s="4" t="str">
        <x:v>7</x:v>
      </x:c>
      <x:c r="E163" s="4" t="str">
        <x:v>Json</x:v>
      </x:c>
      <x:c r="F163" s="4" t="str">
        <x:v>YES</x:v>
      </x:c>
      <x:c r="G163" s="4" t="str">
        <x:v>待M阶段冻结</x:v>
      </x:c>
      <x:c r="H163" s="17" t="str">
        <x:v>INTERNAL</x:v>
      </x:c>
      <x:c r="I163" s="17" t="str">
        <x:v>按资源权限与数据域访问；公开DTO另行白名单</x:v>
      </x:c>
      <x:c r="J163" s="17" t="str">
        <x:v>数据库实体不得直接序列化为响应</x:v>
      </x:c>
      <x:c r="K163" s="17" t="str">
        <x:v>DTO白名单；长度/枚举/归属/状态校验；禁止信任客户端派生值</x:v>
      </x:c>
      <x:c r="L163" s="17" t="str">
        <x:v>按实体version或审计日志保留变更证据</x:v>
      </x:c>
      <x:c r="M163" s="4" t="str">
        <x:v>M1</x:v>
      </x:c>
      <x:c r="N163" s="4" t="str">
        <x:v>待切片细化</x:v>
      </x:c>
      <x:c r="O163" s="4" t="str">
        <x:v>综合方案§13核心数据模型</x:v>
      </x:c>
      <x:c r="P163" s="4" t="str">
        <x:v>DRAFT_FROM_SCHEME</x:v>
      </x:c>
    </x:row>
    <x:row r="164" ht="23" customHeight="1">
      <x:c r="A164" s="4" t="str">
        <x:v>AuthSession</x:v>
      </x:c>
      <x:c r="B164" s="4" t="str">
        <x:v>ip</x:v>
      </x:c>
      <x:c r="C164" s="17" t="str">
        <x:v>ip</x:v>
      </x:c>
      <x:c r="D164" s="4" t="str">
        <x:v>8</x:v>
      </x:c>
      <x:c r="E164" s="4" t="str">
        <x:v>String</x:v>
      </x:c>
      <x:c r="F164" s="4" t="str">
        <x:v>YES</x:v>
      </x:c>
      <x:c r="G164" s="4" t="str">
        <x:v>待M阶段冻结</x:v>
      </x:c>
      <x:c r="H164" s="17" t="str">
        <x:v>PERSONAL_OR_SENSITIVE</x:v>
      </x:c>
      <x:c r="I164" s="17" t="str">
        <x:v>按角色、对象归属及配送阶段脱敏/解密</x:v>
      </x:c>
      <x:c r="J164" s="17" t="str">
        <x:v>禁止跨供应商、越阶段或批量无审批导出</x:v>
      </x:c>
      <x:c r="K164" s="17" t="str">
        <x:v>DTO白名单；长度/枚举/归属/状态校验；禁止信任客户端派生值</x:v>
      </x:c>
      <x:c r="L164" s="17" t="str">
        <x:v>按实体version或审计日志保留变更证据</x:v>
      </x:c>
      <x:c r="M164" s="4" t="str">
        <x:v>M1</x:v>
      </x:c>
      <x:c r="N164" s="4" t="str">
        <x:v>待切片细化</x:v>
      </x:c>
      <x:c r="O164" s="4" t="str">
        <x:v>综合方案§13核心数据模型</x:v>
      </x:c>
      <x:c r="P164" s="4" t="str">
        <x:v>DRAFT_FROM_SCHEME</x:v>
      </x:c>
    </x:row>
    <x:row r="165" ht="23" customHeight="1">
      <x:c r="A165" s="4" t="str">
        <x:v>AuthSession</x:v>
      </x:c>
      <x:c r="B165" s="4" t="str">
        <x:v>expiresAt</x:v>
      </x:c>
      <x:c r="C165" s="17" t="str">
        <x:v>expiresAt</x:v>
      </x:c>
      <x:c r="D165" s="4" t="str">
        <x:v>9</x:v>
      </x:c>
      <x:c r="E165" s="4" t="str">
        <x:v>DateTime</x:v>
      </x:c>
      <x:c r="F165" s="4" t="str">
        <x:v>YES</x:v>
      </x:c>
      <x:c r="G165" s="4" t="str">
        <x:v>ISO-8601+明确时区</x:v>
      </x:c>
      <x:c r="H165" s="17" t="str">
        <x:v>INTERNAL</x:v>
      </x:c>
      <x:c r="I165" s="17" t="str">
        <x:v>按资源权限与数据域访问；公开DTO另行白名单</x:v>
      </x:c>
      <x:c r="J165" s="17" t="str">
        <x:v>数据库实体不得直接序列化为响应</x:v>
      </x:c>
      <x:c r="K165" s="17" t="str">
        <x:v>DTO白名单；长度/枚举/归属/状态校验；禁止信任客户端派生值</x:v>
      </x:c>
      <x:c r="L165" s="17" t="str">
        <x:v>按实体version或审计日志保留变更证据</x:v>
      </x:c>
      <x:c r="M165" s="4" t="str">
        <x:v>M1</x:v>
      </x:c>
      <x:c r="N165" s="4" t="str">
        <x:v>待切片细化</x:v>
      </x:c>
      <x:c r="O165" s="4" t="str">
        <x:v>综合方案§13核心数据模型</x:v>
      </x:c>
      <x:c r="P165" s="4" t="str">
        <x:v>DRAFT_FROM_SCHEME</x:v>
      </x:c>
    </x:row>
    <x:row r="166" ht="23" customHeight="1">
      <x:c r="A166" s="4" t="str">
        <x:v>AuthSession</x:v>
      </x:c>
      <x:c r="B166" s="4" t="str">
        <x:v>revokedAt</x:v>
      </x:c>
      <x:c r="C166" s="17" t="str">
        <x:v>revokedAt?</x:v>
      </x:c>
      <x:c r="D166" s="4" t="str">
        <x:v>10</x:v>
      </x:c>
      <x:c r="E166" s="4" t="str">
        <x:v>DateTime</x:v>
      </x:c>
      <x:c r="F166" s="4" t="str">
        <x:v>NO</x:v>
      </x:c>
      <x:c r="G166" s="4" t="str">
        <x:v>ISO-8601+明确时区</x:v>
      </x:c>
      <x:c r="H166" s="17" t="str">
        <x:v>INTERNAL</x:v>
      </x:c>
      <x:c r="I166" s="17" t="str">
        <x:v>按资源权限与数据域访问；公开DTO另行白名单</x:v>
      </x:c>
      <x:c r="J166" s="17" t="str">
        <x:v>数据库实体不得直接序列化为响应</x:v>
      </x:c>
      <x:c r="K166" s="17" t="str">
        <x:v>DTO白名单；长度/枚举/归属/状态校验；禁止信任客户端派生值</x:v>
      </x:c>
      <x:c r="L166" s="17" t="str">
        <x:v>按实体version或审计日志保留变更证据</x:v>
      </x:c>
      <x:c r="M166" s="4" t="str">
        <x:v>M1</x:v>
      </x:c>
      <x:c r="N166" s="4" t="str">
        <x:v>待切片细化</x:v>
      </x:c>
      <x:c r="O166" s="4" t="str">
        <x:v>综合方案§13核心数据模型</x:v>
      </x:c>
      <x:c r="P166" s="4" t="str">
        <x:v>DRAFT_FROM_SCHEME</x:v>
      </x:c>
    </x:row>
    <x:row r="167" ht="23" customHeight="1">
      <x:c r="A167" s="4" t="str">
        <x:v>LoginAudit</x:v>
      </x:c>
      <x:c r="B167" s="4" t="str">
        <x:v>id</x:v>
      </x:c>
      <x:c r="C167" s="17" t="str">
        <x:v>id</x:v>
      </x:c>
      <x:c r="D167" s="4" t="str">
        <x:v>1</x:v>
      </x:c>
      <x:c r="E167" s="4" t="str">
        <x:v>String/UUID</x:v>
      </x:c>
      <x:c r="F167" s="4" t="str">
        <x:v>YES</x:v>
      </x:c>
      <x:c r="G167" s="4" t="str">
        <x:v>待M阶段冻结</x:v>
      </x:c>
      <x:c r="H167" s="17" t="str">
        <x:v>INTERNAL</x:v>
      </x:c>
      <x:c r="I167" s="17" t="str">
        <x:v>按资源权限与数据域访问；公开DTO另行白名单</x:v>
      </x:c>
      <x:c r="J167" s="17" t="str">
        <x:v>数据库实体不得直接序列化为响应</x:v>
      </x:c>
      <x:c r="K167" s="17" t="str">
        <x:v>DTO白名单；长度/枚举/归属/状态校验；禁止信任客户端派生值</x:v>
      </x:c>
      <x:c r="L167" s="17" t="str">
        <x:v>追加/版本/快照，不覆盖已生效历史</x:v>
      </x:c>
      <x:c r="M167" s="4" t="str">
        <x:v>M1</x:v>
      </x:c>
      <x:c r="N167" s="4" t="str">
        <x:v>待切片细化</x:v>
      </x:c>
      <x:c r="O167" s="4" t="str">
        <x:v>综合方案§13核心数据模型</x:v>
      </x:c>
      <x:c r="P167" s="4" t="str">
        <x:v>DRAFT_FROM_SCHEME</x:v>
      </x:c>
    </x:row>
    <x:row r="168" ht="23" customHeight="1">
      <x:c r="A168" s="4" t="str">
        <x:v>LoginAudit</x:v>
      </x:c>
      <x:c r="B168" s="4" t="str">
        <x:v>userType</x:v>
      </x:c>
      <x:c r="C168" s="17" t="str">
        <x:v>userType</x:v>
      </x:c>
      <x:c r="D168" s="4" t="str">
        <x:v>2</x:v>
      </x:c>
      <x:c r="E168" s="4" t="str">
        <x:v>Enum/String</x:v>
      </x:c>
      <x:c r="F168" s="4" t="str">
        <x:v>YES</x:v>
      </x:c>
      <x:c r="G168" s="4" t="str">
        <x:v>待M阶段冻结</x:v>
      </x:c>
      <x:c r="H168" s="17" t="str">
        <x:v>INTERNAL</x:v>
      </x:c>
      <x:c r="I168" s="17" t="str">
        <x:v>按资源权限与数据域访问；公开DTO另行白名单</x:v>
      </x:c>
      <x:c r="J168" s="17" t="str">
        <x:v>数据库实体不得直接序列化为响应</x:v>
      </x:c>
      <x:c r="K168" s="17" t="str">
        <x:v>DTO白名单；长度/枚举/归属/状态校验；禁止信任客户端派生值</x:v>
      </x:c>
      <x:c r="L168" s="17" t="str">
        <x:v>追加/版本/快照，不覆盖已生效历史</x:v>
      </x:c>
      <x:c r="M168" s="4" t="str">
        <x:v>M1</x:v>
      </x:c>
      <x:c r="N168" s="4" t="str">
        <x:v>待切片细化</x:v>
      </x:c>
      <x:c r="O168" s="4" t="str">
        <x:v>综合方案§13核心数据模型</x:v>
      </x:c>
      <x:c r="P168" s="4" t="str">
        <x:v>DRAFT_FROM_SCHEME</x:v>
      </x:c>
    </x:row>
    <x:row r="169" ht="23" customHeight="1">
      <x:c r="A169" s="4" t="str">
        <x:v>LoginAudit</x:v>
      </x:c>
      <x:c r="B169" s="4" t="str">
        <x:v>userId</x:v>
      </x:c>
      <x:c r="C169" s="17" t="str">
        <x:v>userId?</x:v>
      </x:c>
      <x:c r="D169" s="4" t="str">
        <x:v>3</x:v>
      </x:c>
      <x:c r="E169" s="4" t="str">
        <x:v>String/UUID</x:v>
      </x:c>
      <x:c r="F169" s="4" t="str">
        <x:v>NO</x:v>
      </x:c>
      <x:c r="G169" s="4" t="str">
        <x:v>待M阶段冻结</x:v>
      </x:c>
      <x:c r="H169" s="17" t="str">
        <x:v>INTERNAL</x:v>
      </x:c>
      <x:c r="I169" s="17" t="str">
        <x:v>按资源权限与数据域访问；公开DTO另行白名单</x:v>
      </x:c>
      <x:c r="J169" s="17" t="str">
        <x:v>数据库实体不得直接序列化为响应</x:v>
      </x:c>
      <x:c r="K169" s="17" t="str">
        <x:v>DTO白名单；长度/枚举/归属/状态校验；禁止信任客户端派生值</x:v>
      </x:c>
      <x:c r="L169" s="17" t="str">
        <x:v>追加/版本/快照，不覆盖已生效历史</x:v>
      </x:c>
      <x:c r="M169" s="4" t="str">
        <x:v>M1</x:v>
      </x:c>
      <x:c r="N169" s="4" t="str">
        <x:v>待切片细化</x:v>
      </x:c>
      <x:c r="O169" s="4" t="str">
        <x:v>综合方案§13核心数据模型</x:v>
      </x:c>
      <x:c r="P169" s="4" t="str">
        <x:v>DRAFT_FROM_SCHEME</x:v>
      </x:c>
    </x:row>
    <x:row r="170" ht="23" customHeight="1">
      <x:c r="A170" s="4" t="str">
        <x:v>LoginAudit</x:v>
      </x:c>
      <x:c r="B170" s="4" t="str">
        <x:v>functionalAccountId</x:v>
      </x:c>
      <x:c r="C170" s="17" t="str">
        <x:v>functionalAccountId?</x:v>
      </x:c>
      <x:c r="D170" s="4" t="str">
        <x:v>4</x:v>
      </x:c>
      <x:c r="E170" s="4" t="str">
        <x:v>String/UUID</x:v>
      </x:c>
      <x:c r="F170" s="4" t="str">
        <x:v>NO</x:v>
      </x:c>
      <x:c r="G170" s="4" t="str">
        <x:v>待M阶段冻结</x:v>
      </x:c>
      <x:c r="H170" s="17" t="str">
        <x:v>INTERNAL</x:v>
      </x:c>
      <x:c r="I170" s="17" t="str">
        <x:v>按资源权限与数据域访问；公开DTO另行白名单</x:v>
      </x:c>
      <x:c r="J170" s="17" t="str">
        <x:v>数据库实体不得直接序列化为响应</x:v>
      </x:c>
      <x:c r="K170" s="17" t="str">
        <x:v>DTO白名单；长度/枚举/归属/状态校验；禁止信任客户端派生值</x:v>
      </x:c>
      <x:c r="L170" s="17" t="str">
        <x:v>追加/版本/快照，不覆盖已生效历史</x:v>
      </x:c>
      <x:c r="M170" s="4" t="str">
        <x:v>M1</x:v>
      </x:c>
      <x:c r="N170" s="4" t="str">
        <x:v>待切片细化</x:v>
      </x:c>
      <x:c r="O170" s="4" t="str">
        <x:v>综合方案§13核心数据模型</x:v>
      </x:c>
      <x:c r="P170" s="4" t="str">
        <x:v>DRAFT_FROM_SCHEME</x:v>
      </x:c>
    </x:row>
    <x:row r="171" ht="23" customHeight="1">
      <x:c r="A171" s="4" t="str">
        <x:v>LoginAudit</x:v>
      </x:c>
      <x:c r="B171" s="4" t="str">
        <x:v>loginAccountHash</x:v>
      </x:c>
      <x:c r="C171" s="17" t="str">
        <x:v>loginAccountHash</x:v>
      </x:c>
      <x:c r="D171" s="4" t="str">
        <x:v>5</x:v>
      </x:c>
      <x:c r="E171" s="4" t="str">
        <x:v>Int</x:v>
      </x:c>
      <x:c r="F171" s="4" t="str">
        <x:v>YES</x:v>
      </x:c>
      <x:c r="G171" s="4" t="str">
        <x:v>待M阶段冻结</x:v>
      </x:c>
      <x:c r="H171" s="17" t="str">
        <x:v>INTERNAL</x:v>
      </x:c>
      <x:c r="I171" s="17" t="str">
        <x:v>按资源权限与数据域访问；公开DTO另行白名单</x:v>
      </x:c>
      <x:c r="J171" s="17" t="str">
        <x:v>数据库实体不得直接序列化为响应</x:v>
      </x:c>
      <x:c r="K171" s="17" t="str">
        <x:v>DTO白名单；长度/枚举/归属/状态校验；禁止信任客户端派生值</x:v>
      </x:c>
      <x:c r="L171" s="17" t="str">
        <x:v>追加/版本/快照，不覆盖已生效历史</x:v>
      </x:c>
      <x:c r="M171" s="4" t="str">
        <x:v>M1</x:v>
      </x:c>
      <x:c r="N171" s="4" t="str">
        <x:v>待切片细化</x:v>
      </x:c>
      <x:c r="O171" s="4" t="str">
        <x:v>综合方案§13核心数据模型</x:v>
      </x:c>
      <x:c r="P171" s="4" t="str">
        <x:v>DRAFT_FROM_SCHEME</x:v>
      </x:c>
    </x:row>
    <x:row r="172" ht="23" customHeight="1">
      <x:c r="A172" s="4" t="str">
        <x:v>LoginAudit</x:v>
      </x:c>
      <x:c r="B172" s="4" t="str">
        <x:v>result</x:v>
      </x:c>
      <x:c r="C172" s="17" t="str">
        <x:v>result</x:v>
      </x:c>
      <x:c r="D172" s="4" t="str">
        <x:v>6</x:v>
      </x:c>
      <x:c r="E172" s="4" t="str">
        <x:v>String</x:v>
      </x:c>
      <x:c r="F172" s="4" t="str">
        <x:v>YES</x:v>
      </x:c>
      <x:c r="G172" s="4" t="str">
        <x:v>待M阶段冻结</x:v>
      </x:c>
      <x:c r="H172" s="17" t="str">
        <x:v>INTERNAL</x:v>
      </x:c>
      <x:c r="I172" s="17" t="str">
        <x:v>按资源权限与数据域访问；公开DTO另行白名单</x:v>
      </x:c>
      <x:c r="J172" s="17" t="str">
        <x:v>数据库实体不得直接序列化为响应</x:v>
      </x:c>
      <x:c r="K172" s="17" t="str">
        <x:v>DTO白名单；长度/枚举/归属/状态校验；禁止信任客户端派生值</x:v>
      </x:c>
      <x:c r="L172" s="17" t="str">
        <x:v>追加/版本/快照，不覆盖已生效历史</x:v>
      </x:c>
      <x:c r="M172" s="4" t="str">
        <x:v>M1</x:v>
      </x:c>
      <x:c r="N172" s="4" t="str">
        <x:v>待切片细化</x:v>
      </x:c>
      <x:c r="O172" s="4" t="str">
        <x:v>综合方案§13核心数据模型</x:v>
      </x:c>
      <x:c r="P172" s="4" t="str">
        <x:v>DRAFT_FROM_SCHEME</x:v>
      </x:c>
    </x:row>
    <x:row r="173" ht="23" customHeight="1">
      <x:c r="A173" s="4" t="str">
        <x:v>LoginAudit</x:v>
      </x:c>
      <x:c r="B173" s="4" t="str">
        <x:v>riskReason</x:v>
      </x:c>
      <x:c r="C173" s="17" t="str">
        <x:v>riskReason</x:v>
      </x:c>
      <x:c r="D173" s="4" t="str">
        <x:v>7</x:v>
      </x:c>
      <x:c r="E173" s="4" t="str">
        <x:v>String</x:v>
      </x:c>
      <x:c r="F173" s="4" t="str">
        <x:v>YES</x:v>
      </x:c>
      <x:c r="G173" s="4" t="str">
        <x:v>待M阶段冻结</x:v>
      </x:c>
      <x:c r="H173" s="17" t="str">
        <x:v>INTERNAL</x:v>
      </x:c>
      <x:c r="I173" s="17" t="str">
        <x:v>按资源权限与数据域访问；公开DTO另行白名单</x:v>
      </x:c>
      <x:c r="J173" s="17" t="str">
        <x:v>数据库实体不得直接序列化为响应</x:v>
      </x:c>
      <x:c r="K173" s="17" t="str">
        <x:v>DTO白名单；长度/枚举/归属/状态校验；禁止信任客户端派生值</x:v>
      </x:c>
      <x:c r="L173" s="17" t="str">
        <x:v>追加/版本/快照，不覆盖已生效历史</x:v>
      </x:c>
      <x:c r="M173" s="4" t="str">
        <x:v>M1</x:v>
      </x:c>
      <x:c r="N173" s="4" t="str">
        <x:v>待切片细化</x:v>
      </x:c>
      <x:c r="O173" s="4" t="str">
        <x:v>综合方案§13核心数据模型</x:v>
      </x:c>
      <x:c r="P173" s="4" t="str">
        <x:v>DRAFT_FROM_SCHEME</x:v>
      </x:c>
    </x:row>
    <x:row r="174" ht="23" customHeight="1">
      <x:c r="A174" s="4" t="str">
        <x:v>LoginAudit</x:v>
      </x:c>
      <x:c r="B174" s="4" t="str">
        <x:v>deviceInfo</x:v>
      </x:c>
      <x:c r="C174" s="17" t="str">
        <x:v>deviceInfo</x:v>
      </x:c>
      <x:c r="D174" s="4" t="str">
        <x:v>8</x:v>
      </x:c>
      <x:c r="E174" s="4" t="str">
        <x:v>Json</x:v>
      </x:c>
      <x:c r="F174" s="4" t="str">
        <x:v>YES</x:v>
      </x:c>
      <x:c r="G174" s="4" t="str">
        <x:v>待M阶段冻结</x:v>
      </x:c>
      <x:c r="H174" s="17" t="str">
        <x:v>INTERNAL</x:v>
      </x:c>
      <x:c r="I174" s="17" t="str">
        <x:v>按资源权限与数据域访问；公开DTO另行白名单</x:v>
      </x:c>
      <x:c r="J174" s="17" t="str">
        <x:v>数据库实体不得直接序列化为响应</x:v>
      </x:c>
      <x:c r="K174" s="17" t="str">
        <x:v>DTO白名单；长度/枚举/归属/状态校验；禁止信任客户端派生值</x:v>
      </x:c>
      <x:c r="L174" s="17" t="str">
        <x:v>追加/版本/快照，不覆盖已生效历史</x:v>
      </x:c>
      <x:c r="M174" s="4" t="str">
        <x:v>M1</x:v>
      </x:c>
      <x:c r="N174" s="4" t="str">
        <x:v>待切片细化</x:v>
      </x:c>
      <x:c r="O174" s="4" t="str">
        <x:v>综合方案§13核心数据模型</x:v>
      </x:c>
      <x:c r="P174" s="4" t="str">
        <x:v>DRAFT_FROM_SCHEME</x:v>
      </x:c>
    </x:row>
    <x:row r="175" ht="23" customHeight="1">
      <x:c r="A175" s="4" t="str">
        <x:v>LoginAudit</x:v>
      </x:c>
      <x:c r="B175" s="4" t="str">
        <x:v>ip</x:v>
      </x:c>
      <x:c r="C175" s="17" t="str">
        <x:v>ip</x:v>
      </x:c>
      <x:c r="D175" s="4" t="str">
        <x:v>9</x:v>
      </x:c>
      <x:c r="E175" s="4" t="str">
        <x:v>String</x:v>
      </x:c>
      <x:c r="F175" s="4" t="str">
        <x:v>YES</x:v>
      </x:c>
      <x:c r="G175" s="4" t="str">
        <x:v>待M阶段冻结</x:v>
      </x:c>
      <x:c r="H175" s="17" t="str">
        <x:v>PERSONAL_OR_SENSITIVE</x:v>
      </x:c>
      <x:c r="I175" s="17" t="str">
        <x:v>按角色、对象归属及配送阶段脱敏/解密</x:v>
      </x:c>
      <x:c r="J175" s="17" t="str">
        <x:v>禁止跨供应商、越阶段或批量无审批导出</x:v>
      </x:c>
      <x:c r="K175" s="17" t="str">
        <x:v>DTO白名单；长度/枚举/归属/状态校验；禁止信任客户端派生值</x:v>
      </x:c>
      <x:c r="L175" s="17" t="str">
        <x:v>追加/版本/快照，不覆盖已生效历史</x:v>
      </x:c>
      <x:c r="M175" s="4" t="str">
        <x:v>M1</x:v>
      </x:c>
      <x:c r="N175" s="4" t="str">
        <x:v>待切片细化</x:v>
      </x:c>
      <x:c r="O175" s="4" t="str">
        <x:v>综合方案§13核心数据模型</x:v>
      </x:c>
      <x:c r="P175" s="4" t="str">
        <x:v>DRAFT_FROM_SCHEME</x:v>
      </x:c>
    </x:row>
    <x:row r="176" ht="23" customHeight="1">
      <x:c r="A176" s="4" t="str">
        <x:v>LoginAudit</x:v>
      </x:c>
      <x:c r="B176" s="4" t="str">
        <x:v>occurredAt</x:v>
      </x:c>
      <x:c r="C176" s="17" t="str">
        <x:v>occurredAt</x:v>
      </x:c>
      <x:c r="D176" s="4" t="str">
        <x:v>10</x:v>
      </x:c>
      <x:c r="E176" s="4" t="str">
        <x:v>DateTime</x:v>
      </x:c>
      <x:c r="F176" s="4" t="str">
        <x:v>YES</x:v>
      </x:c>
      <x:c r="G176" s="4" t="str">
        <x:v>ISO-8601+明确时区</x:v>
      </x:c>
      <x:c r="H176" s="17" t="str">
        <x:v>INTERNAL</x:v>
      </x:c>
      <x:c r="I176" s="17" t="str">
        <x:v>按资源权限与数据域访问；公开DTO另行白名单</x:v>
      </x:c>
      <x:c r="J176" s="17" t="str">
        <x:v>数据库实体不得直接序列化为响应</x:v>
      </x:c>
      <x:c r="K176" s="17" t="str">
        <x:v>DTO白名单；长度/枚举/归属/状态校验；禁止信任客户端派生值</x:v>
      </x:c>
      <x:c r="L176" s="17" t="str">
        <x:v>追加/版本/快照，不覆盖已生效历史</x:v>
      </x:c>
      <x:c r="M176" s="4" t="str">
        <x:v>M1</x:v>
      </x:c>
      <x:c r="N176" s="4" t="str">
        <x:v>待切片细化</x:v>
      </x:c>
      <x:c r="O176" s="4" t="str">
        <x:v>综合方案§13核心数据模型</x:v>
      </x:c>
      <x:c r="P176" s="4" t="str">
        <x:v>DRAFT_FROM_SCHEME</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String/UUID</x:v>
      </x:c>
      <x:c r="F215" s="4" t="str">
        <x:v>YES</x:v>
      </x:c>
      <x:c r="G215" s="4" t="str">
        <x:v>待M阶段冻结</x:v>
      </x:c>
      <x:c r="H215" s="17" t="str">
        <x:v>INTERNAL</x:v>
      </x:c>
      <x:c r="I215" s="17" t="str">
        <x:v>按资源权限与数据域访问；公开DTO另行白名单</x:v>
      </x:c>
      <x:c r="J215" s="17" t="str">
        <x:v>数据库实体不得直接序列化为响应</x:v>
      </x:c>
      <x:c r="K215" s="17" t="str">
        <x:v>DTO白名单；长度/枚举/归属/状态校验；禁止信任客户端派生值</x:v>
      </x:c>
      <x:c r="L215" s="17" t="str">
        <x:v>按实体version或审计日志保留变更证据</x:v>
      </x:c>
      <x:c r="M215" s="4" t="str">
        <x:v>M1</x:v>
      </x:c>
      <x:c r="N215" s="4" t="str">
        <x:v>P0-003,P0-004,P0-044</x:v>
      </x:c>
      <x:c r="O215" s="4" t="str">
        <x:v>综合方案§13核心数据模型</x:v>
      </x:c>
      <x:c r="P215" s="4" t="str">
        <x:v>DRAFT_FROM_SCHEME</x:v>
      </x:c>
    </x:row>
    <x:row r="216" ht="23" customHeight="1">
      <x:c r="A216" s="4" t="str">
        <x:v>Supplier</x:v>
      </x:c>
      <x:c r="B216" s="4" t="str">
        <x:v>companyId</x:v>
      </x:c>
      <x:c r="C216" s="17" t="str">
        <x:v>companyId</x:v>
      </x:c>
      <x:c r="D216" s="4" t="str">
        <x:v>2</x:v>
      </x:c>
      <x:c r="E216" s="4" t="str">
        <x:v>String/UUID</x:v>
      </x:c>
      <x:c r="F216" s="4" t="str">
        <x:v>YES</x:v>
      </x:c>
      <x:c r="G216" s="4" t="str">
        <x:v>待M阶段冻结</x:v>
      </x:c>
      <x:c r="H216" s="17" t="str">
        <x:v>INTERNAL</x:v>
      </x:c>
      <x:c r="I216" s="17" t="str">
        <x:v>按资源权限与数据域访问；公开DTO另行白名单</x:v>
      </x:c>
      <x:c r="J216" s="17" t="str">
        <x:v>数据库实体不得直接序列化为响应</x:v>
      </x:c>
      <x:c r="K216" s="17" t="str">
        <x:v>DTO白名单；长度/枚举/归属/状态校验；禁止信任客户端派生值</x:v>
      </x:c>
      <x:c r="L216" s="17" t="str">
        <x:v>按实体version或审计日志保留变更证据</x:v>
      </x:c>
      <x:c r="M216" s="4" t="str">
        <x:v>M1</x:v>
      </x:c>
      <x:c r="N216" s="4" t="str">
        <x:v>P0-003,P0-004,P0-044</x:v>
      </x:c>
      <x:c r="O216" s="4" t="str">
        <x:v>综合方案§13核心数据模型</x:v>
      </x:c>
      <x:c r="P216" s="4" t="str">
        <x:v>DRAFT_FROM_SCHEME</x:v>
      </x:c>
    </x:row>
    <x:row r="217" ht="23" customHeight="1">
      <x:c r="A217" s="4" t="str">
        <x:v>Supplier</x:v>
      </x:c>
      <x:c r="B217" s="4" t="str">
        <x:v>legalName</x:v>
      </x:c>
      <x:c r="C217" s="17" t="str">
        <x:v>legalName</x:v>
      </x:c>
      <x:c r="D217" s="4" t="str">
        <x:v>3</x:v>
      </x:c>
      <x:c r="E217" s="4" t="str">
        <x:v>String</x:v>
      </x:c>
      <x:c r="F217" s="4" t="str">
        <x:v>YES</x:v>
      </x:c>
      <x:c r="G217" s="4" t="str">
        <x:v>待M阶段冻结</x:v>
      </x:c>
      <x:c r="H217" s="17" t="str">
        <x:v>INTERNAL</x:v>
      </x:c>
      <x:c r="I217" s="17" t="str">
        <x:v>按资源权限与数据域访问；公开DTO另行白名单</x:v>
      </x:c>
      <x:c r="J217" s="17" t="str">
        <x:v>数据库实体不得直接序列化为响应</x:v>
      </x:c>
      <x:c r="K217" s="17" t="str">
        <x:v>DTO白名单；长度/枚举/归属/状态校验；禁止信任客户端派生值</x:v>
      </x:c>
      <x:c r="L217" s="17" t="str">
        <x:v>按实体version或审计日志保留变更证据</x:v>
      </x:c>
      <x:c r="M217" s="4" t="str">
        <x:v>M1</x:v>
      </x:c>
      <x:c r="N217" s="4" t="str">
        <x:v>P0-003,P0-004,P0-044</x:v>
      </x:c>
      <x:c r="O217" s="4" t="str">
        <x:v>综合方案§13核心数据模型</x:v>
      </x:c>
      <x:c r="P217" s="4" t="str">
        <x:v>DRAFT_FROM_SCHEME</x:v>
      </x:c>
    </x:row>
    <x:row r="218" ht="23" customHeight="1">
      <x:c r="A218" s="4" t="str">
        <x:v>Supplier</x:v>
      </x:c>
      <x:c r="B218" s="4" t="str">
        <x:v>creditCode</x:v>
      </x:c>
      <x:c r="C218" s="17" t="str">
        <x:v>creditCode</x:v>
      </x:c>
      <x:c r="D218" s="4" t="str">
        <x:v>4</x:v>
      </x:c>
      <x:c r="E218" s="4" t="str">
        <x:v>String</x:v>
      </x:c>
      <x:c r="F218" s="4" t="str">
        <x:v>YES</x:v>
      </x:c>
      <x:c r="G218" s="4" t="str">
        <x:v>待M阶段冻结</x:v>
      </x:c>
      <x:c r="H218" s="17" t="str">
        <x:v>INTERNAL</x:v>
      </x:c>
      <x:c r="I218" s="17" t="str">
        <x:v>按资源权限与数据域访问；公开DTO另行白名单</x:v>
      </x:c>
      <x:c r="J218" s="17" t="str">
        <x:v>数据库实体不得直接序列化为响应</x:v>
      </x:c>
      <x:c r="K218" s="17" t="str">
        <x:v>DTO白名单；长度/枚举/归属/状态校验；禁止信任客户端派生值</x:v>
      </x:c>
      <x:c r="L218" s="17" t="str">
        <x:v>按实体version或审计日志保留变更证据</x:v>
      </x:c>
      <x:c r="M218" s="4" t="str">
        <x:v>M1</x:v>
      </x:c>
      <x:c r="N218" s="4" t="str">
        <x:v>P0-003,P0-004,P0-044</x:v>
      </x:c>
      <x:c r="O218" s="4" t="str">
        <x:v>综合方案§13核心数据模型</x:v>
      </x:c>
      <x:c r="P218" s="4" t="str">
        <x:v>DRAFT_FROM_SCHEME</x:v>
      </x:c>
    </x:row>
    <x:row r="219" ht="23" customHeight="1">
      <x:c r="A219" s="4" t="str">
        <x:v>Supplier</x:v>
      </x:c>
      <x:c r="B219" s="4" t="str">
        <x:v>status</x:v>
      </x:c>
      <x:c r="C219" s="17" t="str">
        <x:v>status</x:v>
      </x:c>
      <x:c r="D219" s="4" t="str">
        <x:v>5</x:v>
      </x:c>
      <x:c r="E219" s="4" t="str">
        <x:v>Enum/String</x:v>
      </x:c>
      <x:c r="F219" s="4" t="str">
        <x:v>YES</x:v>
      </x:c>
      <x:c r="G219" s="4" t="str">
        <x:v>待M阶段冻结</x:v>
      </x:c>
      <x:c r="H219" s="17" t="str">
        <x:v>INTERNAL</x:v>
      </x:c>
      <x:c r="I219" s="17" t="str">
        <x:v>按资源权限与数据域访问；公开DTO另行白名单</x:v>
      </x:c>
      <x:c r="J219" s="17" t="str">
        <x:v>数据库实体不得直接序列化为响应</x:v>
      </x:c>
      <x:c r="K219" s="17" t="str">
        <x:v>DTO白名单；长度/枚举/归属/状态校验；禁止信任客户端派生值</x:v>
      </x:c>
      <x:c r="L219" s="17" t="str">
        <x:v>按实体version或审计日志保留变更证据</x:v>
      </x:c>
      <x:c r="M219" s="4" t="str">
        <x:v>M1</x:v>
      </x:c>
      <x:c r="N219" s="4" t="str">
        <x:v>P0-003,P0-004,P0-044</x:v>
      </x:c>
      <x:c r="O219" s="4" t="str">
        <x:v>综合方案§13核心数据模型</x:v>
      </x:c>
      <x:c r="P219" s="4" t="str">
        <x:v>DRAFT_FROM_SCHEME</x:v>
      </x:c>
    </x:row>
    <x:row r="220" ht="23" customHeight="1">
      <x:c r="A220" s="4" t="str">
        <x:v>Supplier</x:v>
      </x:c>
      <x:c r="B220" s="4" t="str">
        <x:v>pickupAddress</x:v>
      </x:c>
      <x:c r="C220" s="17" t="str">
        <x:v>pickupAddress</x:v>
      </x:c>
      <x:c r="D220" s="4" t="str">
        <x:v>6</x:v>
      </x:c>
      <x:c r="E220" s="4" t="str">
        <x:v>String</x:v>
      </x:c>
      <x:c r="F220" s="4" t="str">
        <x:v>YES</x:v>
      </x:c>
      <x:c r="G220" s="4" t="str">
        <x:v>待M阶段冻结</x:v>
      </x:c>
      <x:c r="H220" s="17" t="str">
        <x:v>PERSONAL_OR_SENSITIVE</x:v>
      </x:c>
      <x:c r="I220" s="17" t="str">
        <x:v>按角色、对象归属及配送阶段脱敏/解密</x:v>
      </x:c>
      <x:c r="J220" s="17" t="str">
        <x:v>禁止跨供应商、越阶段或批量无审批导出</x:v>
      </x:c>
      <x:c r="K220" s="17" t="str">
        <x:v>DTO白名单；长度/枚举/归属/状态校验；禁止信任客户端派生值</x:v>
      </x:c>
      <x:c r="L220" s="17" t="str">
        <x:v>按实体version或审计日志保留变更证据</x:v>
      </x:c>
      <x:c r="M220" s="4" t="str">
        <x:v>M1</x:v>
      </x:c>
      <x:c r="N220" s="4" t="str">
        <x:v>P0-003,P0-004,P0-044</x:v>
      </x:c>
      <x:c r="O220" s="4" t="str">
        <x:v>综合方案§13核心数据模型</x:v>
      </x:c>
      <x:c r="P220" s="4" t="str">
        <x:v>DRAFT_FROM_SCHEME</x:v>
      </x:c>
    </x:row>
    <x:row r="221" ht="23" customHeight="1">
      <x:c r="A221" s="4" t="str">
        <x:v>Supplier</x:v>
      </x:c>
      <x:c r="B221" s="4" t="str">
        <x:v>pickupLat</x:v>
      </x:c>
      <x:c r="C221" s="17" t="str">
        <x:v>pickupLat</x:v>
      </x:c>
      <x:c r="D221" s="4" t="str">
        <x:v>7</x:v>
      </x:c>
      <x:c r="E221" s="4" t="str">
        <x:v>DateTime</x:v>
      </x:c>
      <x:c r="F221" s="4" t="str">
        <x:v>YES</x:v>
      </x:c>
      <x:c r="G221" s="4" t="str">
        <x:v>ISO-8601+明确时区</x:v>
      </x:c>
      <x:c r="H221" s="17" t="str">
        <x:v>PERSONAL_OR_SENSITIVE</x:v>
      </x:c>
      <x:c r="I221" s="17" t="str">
        <x:v>按角色、对象归属及配送阶段脱敏/解密</x:v>
      </x:c>
      <x:c r="J221" s="17" t="str">
        <x:v>禁止跨供应商、越阶段或批量无审批导出</x:v>
      </x:c>
      <x:c r="K221" s="17" t="str">
        <x:v>DTO白名单；长度/枚举/归属/状态校验；禁止信任客户端派生值</x:v>
      </x:c>
      <x:c r="L221" s="17" t="str">
        <x:v>按实体version或审计日志保留变更证据</x:v>
      </x:c>
      <x:c r="M221" s="4" t="str">
        <x:v>M1</x:v>
      </x:c>
      <x:c r="N221" s="4" t="str">
        <x:v>P0-003,P0-004,P0-044</x:v>
      </x:c>
      <x:c r="O221" s="4" t="str">
        <x:v>综合方案§13核心数据模型</x:v>
      </x:c>
      <x:c r="P221" s="4" t="str">
        <x:v>DRAFT_FROM_SCHEME</x:v>
      </x:c>
    </x:row>
    <x:row r="222" ht="23" customHeight="1">
      <x:c r="A222" s="4" t="str">
        <x:v>Supplier</x:v>
      </x:c>
      <x:c r="B222" s="4" t="str">
        <x:v>pickupLng</x:v>
      </x:c>
      <x:c r="C222" s="17" t="str">
        <x:v>pickupLng</x:v>
      </x:c>
      <x:c r="D222" s="4" t="str">
        <x:v>8</x:v>
      </x:c>
      <x:c r="E222" s="4" t="str">
        <x:v>Decimal</x:v>
      </x:c>
      <x:c r="F222" s="4" t="str">
        <x:v>YES</x:v>
      </x:c>
      <x:c r="G222" s="4" t="str">
        <x:v>待M阶段冻结</x:v>
      </x:c>
      <x:c r="H222" s="17" t="str">
        <x:v>PERSONAL_OR_SENSITIVE</x:v>
      </x:c>
      <x:c r="I222" s="17" t="str">
        <x:v>按角色、对象归属及配送阶段脱敏/解密</x:v>
      </x:c>
      <x:c r="J222" s="17" t="str">
        <x:v>禁止跨供应商、越阶段或批量无审批导出</x:v>
      </x:c>
      <x:c r="K222" s="17" t="str">
        <x:v>DTO白名单；长度/枚举/归属/状态校验；禁止信任客户端派生值</x:v>
      </x:c>
      <x:c r="L222" s="17" t="str">
        <x:v>按实体version或审计日志保留变更证据</x:v>
      </x:c>
      <x:c r="M222" s="4" t="str">
        <x:v>M1</x:v>
      </x:c>
      <x:c r="N222" s="4" t="str">
        <x:v>P0-003,P0-004,P0-044</x:v>
      </x:c>
      <x:c r="O222" s="4" t="str">
        <x:v>综合方案§13核心数据模型</x:v>
      </x:c>
      <x:c r="P222" s="4" t="str">
        <x:v>DRAFT_FROM_SCHEME</x:v>
      </x:c>
    </x:row>
    <x:row r="223" ht="23" customHeight="1">
      <x:c r="A223" s="4" t="str">
        <x:v>Supplier</x:v>
      </x:c>
      <x:c r="B223" s="4" t="str">
        <x:v>settlementAccountMasked</x:v>
      </x:c>
      <x:c r="C223" s="17" t="str">
        <x:v>settlementAccountMasked</x:v>
      </x:c>
      <x:c r="D223" s="4" t="str">
        <x:v>9</x:v>
      </x:c>
      <x:c r="E223" s="4" t="str">
        <x:v>Int</x:v>
      </x:c>
      <x:c r="F223" s="4" t="str">
        <x:v>YES</x:v>
      </x:c>
      <x:c r="G223" s="4" t="str">
        <x:v>待M阶段冻结</x:v>
      </x:c>
      <x:c r="H223" s="17" t="str">
        <x:v>FINANCIAL</x:v>
      </x:c>
      <x:c r="I223" s="17" t="str">
        <x:v>公司财务与必要业务职能；供应商仅本供应商结算视图</x:v>
      </x:c>
      <x:c r="J223" s="17" t="str">
        <x:v>消费者响应仅返回自身交易白名单字段</x:v>
      </x:c>
      <x:c r="K223" s="17" t="str">
        <x:v>DTO白名单；长度/枚举/归属/状态校验；禁止信任客户端派生值</x:v>
      </x:c>
      <x:c r="L223" s="17" t="str">
        <x:v>按实体version或审计日志保留变更证据</x:v>
      </x:c>
      <x:c r="M223" s="4" t="str">
        <x:v>M1</x:v>
      </x:c>
      <x:c r="N223" s="4" t="str">
        <x:v>P0-003,P0-004,P0-044</x:v>
      </x:c>
      <x:c r="O223" s="4" t="str">
        <x:v>综合方案§13核心数据模型</x:v>
      </x:c>
      <x:c r="P223" s="4" t="str">
        <x:v>DRAFT_FROM_SCHEME</x:v>
      </x:c>
    </x:row>
    <x:row r="224" ht="23" customHeight="1">
      <x:c r="A224" s="4" t="str">
        <x:v>Supplier</x:v>
      </x:c>
      <x:c r="B224" s="4" t="str">
        <x:v>qualificationSnapshot</x:v>
      </x:c>
      <x:c r="C224" s="17" t="str">
        <x:v>qualificationSnapshot</x:v>
      </x:c>
      <x:c r="D224" s="4" t="str">
        <x:v>10</x:v>
      </x:c>
      <x:c r="E224" s="4" t="str">
        <x:v>Json</x:v>
      </x:c>
      <x:c r="F224" s="4" t="str">
        <x:v>YES</x:v>
      </x:c>
      <x:c r="G224" s="4" t="str">
        <x:v>待M阶段冻结</x:v>
      </x:c>
      <x:c r="H224" s="17" t="str">
        <x:v>INTERNAL</x:v>
      </x:c>
      <x:c r="I224" s="17" t="str">
        <x:v>按资源权限与数据域访问；公开DTO另行白名单</x:v>
      </x:c>
      <x:c r="J224" s="17" t="str">
        <x:v>数据库实体不得直接序列化为响应</x:v>
      </x:c>
      <x:c r="K224" s="17" t="str">
        <x:v>DTO白名单；长度/枚举/归属/状态校验；禁止信任客户端派生值</x:v>
      </x:c>
      <x:c r="L224" s="17" t="str">
        <x:v>按实体version或审计日志保留变更证据</x:v>
      </x:c>
      <x:c r="M224" s="4" t="str">
        <x:v>M1</x:v>
      </x:c>
      <x:c r="N224" s="4" t="str">
        <x:v>P0-003,P0-004,P0-044</x:v>
      </x:c>
      <x:c r="O224" s="4" t="str">
        <x:v>综合方案§13核心数据模型</x:v>
      </x:c>
      <x:c r="P224" s="4" t="str">
        <x:v>DRAFT_FROM_SCHEME</x:v>
      </x:c>
    </x:row>
    <x:row r="225" ht="23" customHeight="1">
      <x:c r="A225" s="4" t="str">
        <x:v>SupplierUser</x:v>
      </x:c>
      <x:c r="B225" s="4" t="str">
        <x:v>id</x:v>
      </x:c>
      <x:c r="C225" s="17" t="str">
        <x:v>id</x:v>
      </x:c>
      <x:c r="D225" s="4" t="str">
        <x:v>1</x:v>
      </x:c>
      <x:c r="E225" s="4" t="str">
        <x:v>String/UUID</x:v>
      </x:c>
      <x:c r="F225" s="4" t="str">
        <x:v>YES</x:v>
      </x:c>
      <x:c r="G225" s="4" t="str">
        <x:v>待M阶段冻结</x:v>
      </x:c>
      <x:c r="H225" s="17" t="str">
        <x:v>INTERNAL</x:v>
      </x:c>
      <x:c r="I225" s="17" t="str">
        <x:v>按资源权限与数据域访问；公开DTO另行白名单</x:v>
      </x:c>
      <x:c r="J225" s="17" t="str">
        <x:v>数据库实体不得直接序列化为响应</x:v>
      </x:c>
      <x:c r="K225" s="17" t="str">
        <x:v>DTO白名单；长度/枚举/归属/状态校验；禁止信任客户端派生值</x:v>
      </x:c>
      <x:c r="L225" s="17" t="str">
        <x:v>按实体version或审计日志保留变更证据</x:v>
      </x:c>
      <x:c r="M225" s="4" t="str">
        <x:v>M1</x:v>
      </x:c>
      <x:c r="N225" s="4" t="str">
        <x:v>P0-005,P0-069,P0-070</x:v>
      </x:c>
      <x:c r="O225" s="4" t="str">
        <x:v>综合方案§13核心数据模型</x:v>
      </x:c>
      <x:c r="P225" s="4" t="str">
        <x:v>DRAFT_FROM_SCHEME</x:v>
      </x:c>
    </x:row>
    <x:row r="226" ht="23" customHeight="1">
      <x:c r="A226" s="4" t="str">
        <x:v>SupplierUser</x:v>
      </x:c>
      <x:c r="B226" s="4" t="str">
        <x:v>supplierId</x:v>
      </x:c>
      <x:c r="C226" s="17" t="str">
        <x:v>supplierId</x:v>
      </x:c>
      <x:c r="D226" s="4" t="str">
        <x:v>2</x:v>
      </x:c>
      <x:c r="E226" s="4" t="str">
        <x:v>String/UUID</x:v>
      </x:c>
      <x:c r="F226" s="4" t="str">
        <x:v>YES</x:v>
      </x:c>
      <x:c r="G226" s="4" t="str">
        <x:v>待M阶段冻结</x:v>
      </x:c>
      <x:c r="H226" s="17" t="str">
        <x:v>INTERNAL</x:v>
      </x:c>
      <x:c r="I226" s="17" t="str">
        <x:v>按资源权限与数据域访问；公开DTO另行白名单</x:v>
      </x:c>
      <x:c r="J226" s="17" t="str">
        <x:v>数据库实体不得直接序列化为响应</x:v>
      </x:c>
      <x:c r="K226" s="17" t="str">
        <x:v>DTO白名单；长度/枚举/归属/状态校验；禁止信任客户端派生值</x:v>
      </x:c>
      <x:c r="L226" s="17" t="str">
        <x:v>按实体version或审计日志保留变更证据</x:v>
      </x:c>
      <x:c r="M226" s="4" t="str">
        <x:v>M1</x:v>
      </x:c>
      <x:c r="N226" s="4" t="str">
        <x:v>P0-005,P0-069,P0-070</x:v>
      </x:c>
      <x:c r="O226" s="4" t="str">
        <x:v>综合方案§13核心数据模型</x:v>
      </x:c>
      <x:c r="P226" s="4" t="str">
        <x:v>DRAFT_FROM_SCHEME</x:v>
      </x:c>
    </x:row>
    <x:row r="227" ht="23" customHeight="1">
      <x:c r="A227" s="4" t="str">
        <x:v>SupplierUser</x:v>
      </x:c>
      <x:c r="B227" s="4" t="str">
        <x:v>name</x:v>
      </x:c>
      <x:c r="C227" s="17" t="str">
        <x:v>name</x:v>
      </x:c>
      <x:c r="D227" s="4" t="str">
        <x:v>3</x:v>
      </x:c>
      <x:c r="E227" s="4" t="str">
        <x:v>String</x:v>
      </x:c>
      <x:c r="F227" s="4" t="str">
        <x:v>YES</x:v>
      </x:c>
      <x:c r="G227" s="4" t="str">
        <x:v>待M阶段冻结</x:v>
      </x:c>
      <x:c r="H227" s="17" t="str">
        <x:v>INTERNAL</x:v>
      </x:c>
      <x:c r="I227" s="17" t="str">
        <x:v>按资源权限与数据域访问；公开DTO另行白名单</x:v>
      </x:c>
      <x:c r="J227" s="17" t="str">
        <x:v>数据库实体不得直接序列化为响应</x:v>
      </x:c>
      <x:c r="K227" s="17" t="str">
        <x:v>DTO白名单；长度/枚举/归属/状态校验；禁止信任客户端派生值</x:v>
      </x:c>
      <x:c r="L227" s="17" t="str">
        <x:v>按实体version或审计日志保留变更证据</x:v>
      </x:c>
      <x:c r="M227" s="4" t="str">
        <x:v>M1</x:v>
      </x:c>
      <x:c r="N227" s="4" t="str">
        <x:v>P0-005,P0-069,P0-070</x:v>
      </x:c>
      <x:c r="O227" s="4" t="str">
        <x:v>综合方案§13核心数据模型</x:v>
      </x:c>
      <x:c r="P227" s="4" t="str">
        <x:v>DRAFT_FROM_SCHEME</x:v>
      </x:c>
    </x:row>
    <x:row r="228" ht="23" customHeight="1">
      <x:c r="A228" s="4" t="str">
        <x:v>SupplierUser</x:v>
      </x:c>
      <x:c r="B228" s="4" t="str">
        <x:v>mobile</x:v>
      </x:c>
      <x:c r="C228" s="17" t="str">
        <x:v>mobile</x:v>
      </x:c>
      <x:c r="D228" s="4" t="str">
        <x:v>4</x:v>
      </x:c>
      <x:c r="E228" s="4" t="str">
        <x:v>String</x:v>
      </x:c>
      <x:c r="F228" s="4" t="str">
        <x:v>YES</x:v>
      </x:c>
      <x:c r="G228" s="4" t="str">
        <x:v>待M阶段冻结</x:v>
      </x:c>
      <x:c r="H228" s="17" t="str">
        <x:v>PERSONAL_OR_SENSITIVE</x:v>
      </x:c>
      <x:c r="I228" s="17" t="str">
        <x:v>按角色、对象归属及配送阶段脱敏/解密</x:v>
      </x:c>
      <x:c r="J228" s="17" t="str">
        <x:v>禁止跨供应商、越阶段或批量无审批导出</x:v>
      </x:c>
      <x:c r="K228" s="17" t="str">
        <x:v>DTO白名单；长度/枚举/归属/状态校验；禁止信任客户端派生值</x:v>
      </x:c>
      <x:c r="L228" s="17" t="str">
        <x:v>按实体version或审计日志保留变更证据</x:v>
      </x:c>
      <x:c r="M228" s="4" t="str">
        <x:v>M1</x:v>
      </x:c>
      <x:c r="N228" s="4" t="str">
        <x:v>P0-005,P0-069,P0-070</x:v>
      </x:c>
      <x:c r="O228" s="4" t="str">
        <x:v>综合方案§13核心数据模型</x:v>
      </x:c>
      <x:c r="P228" s="4" t="str">
        <x:v>DRAFT_FROM_SCHEME</x:v>
      </x:c>
    </x:row>
    <x:row r="229" ht="23" customHeight="1">
      <x:c r="A229" s="4" t="str">
        <x:v>SupplierUser</x:v>
      </x:c>
      <x:c r="B229" s="4" t="str">
        <x:v>email</x:v>
      </x:c>
      <x:c r="C229" s="17" t="str">
        <x:v>email</x:v>
      </x:c>
      <x:c r="D229" s="4" t="str">
        <x:v>5</x:v>
      </x:c>
      <x:c r="E229" s="4" t="str">
        <x:v>String</x:v>
      </x:c>
      <x:c r="F229" s="4" t="str">
        <x:v>YES</x:v>
      </x:c>
      <x:c r="G229" s="4" t="str">
        <x:v>待M阶段冻结</x:v>
      </x:c>
      <x:c r="H229" s="17" t="str">
        <x:v>PERSONAL_OR_SENSITIVE</x:v>
      </x:c>
      <x:c r="I229" s="17" t="str">
        <x:v>按角色、对象归属及配送阶段脱敏/解密</x:v>
      </x:c>
      <x:c r="J229" s="17" t="str">
        <x:v>禁止跨供应商、越阶段或批量无审批导出</x:v>
      </x:c>
      <x:c r="K229" s="17" t="str">
        <x:v>DTO白名单；长度/枚举/归属/状态校验；禁止信任客户端派生值</x:v>
      </x:c>
      <x:c r="L229" s="17" t="str">
        <x:v>按实体version或审计日志保留变更证据</x:v>
      </x:c>
      <x:c r="M229" s="4" t="str">
        <x:v>M1</x:v>
      </x:c>
      <x:c r="N229" s="4" t="str">
        <x:v>P0-005,P0-069,P0-070</x:v>
      </x:c>
      <x:c r="O229" s="4" t="str">
        <x:v>综合方案§13核心数据模型</x:v>
      </x:c>
      <x:c r="P229" s="4" t="str">
        <x:v>DRAFT_FROM_SCHEME</x:v>
      </x:c>
    </x:row>
    <x:row r="230" ht="23" customHeight="1">
      <x:c r="A230" s="4" t="str">
        <x:v>SupplierUser</x:v>
      </x:c>
      <x:c r="B230" s="4" t="str">
        <x:v>status</x:v>
      </x:c>
      <x:c r="C230" s="17" t="str">
        <x:v>status</x:v>
      </x:c>
      <x:c r="D230" s="4" t="str">
        <x:v>6</x:v>
      </x:c>
      <x:c r="E230" s="4" t="str">
        <x:v>Enum/String</x:v>
      </x:c>
      <x:c r="F230" s="4" t="str">
        <x:v>YES</x:v>
      </x:c>
      <x:c r="G230" s="4" t="str">
        <x:v>待M阶段冻结</x:v>
      </x:c>
      <x:c r="H230" s="17" t="str">
        <x:v>INTERNAL</x:v>
      </x:c>
      <x:c r="I230" s="17" t="str">
        <x:v>按资源权限与数据域访问；公开DTO另行白名单</x:v>
      </x:c>
      <x:c r="J230" s="17" t="str">
        <x:v>数据库实体不得直接序列化为响应</x:v>
      </x:c>
      <x:c r="K230" s="17" t="str">
        <x:v>DTO白名单；长度/枚举/归属/状态校验；禁止信任客户端派生值</x:v>
      </x:c>
      <x:c r="L230" s="17" t="str">
        <x:v>按实体version或审计日志保留变更证据</x:v>
      </x:c>
      <x:c r="M230" s="4" t="str">
        <x:v>M1</x:v>
      </x:c>
      <x:c r="N230" s="4" t="str">
        <x:v>P0-005,P0-069,P0-070</x:v>
      </x:c>
      <x:c r="O230" s="4" t="str">
        <x:v>综合方案§13核心数据模型</x:v>
      </x:c>
      <x:c r="P230" s="4" t="str">
        <x:v>DRAFT_FROM_SCHEME</x:v>
      </x:c>
    </x:row>
    <x:row r="231" ht="23" customHeight="1">
      <x:c r="A231" s="4" t="str">
        <x:v>SupplierUser</x:v>
      </x:c>
      <x:c r="B231" s="4" t="str">
        <x:v>lastLoginAt</x:v>
      </x:c>
      <x:c r="C231" s="17" t="str">
        <x:v>lastLoginAt</x:v>
      </x:c>
      <x:c r="D231" s="4" t="str">
        <x:v>7</x:v>
      </x:c>
      <x:c r="E231" s="4" t="str">
        <x:v>DateTime</x:v>
      </x:c>
      <x:c r="F231" s="4" t="str">
        <x:v>YES</x:v>
      </x:c>
      <x:c r="G231" s="4" t="str">
        <x:v>ISO-8601+明确时区</x:v>
      </x:c>
      <x:c r="H231" s="17" t="str">
        <x:v>INTERNAL</x:v>
      </x:c>
      <x:c r="I231" s="17" t="str">
        <x:v>按资源权限与数据域访问；公开DTO另行白名单</x:v>
      </x:c>
      <x:c r="J231" s="17" t="str">
        <x:v>数据库实体不得直接序列化为响应</x:v>
      </x:c>
      <x:c r="K231" s="17" t="str">
        <x:v>DTO白名单；长度/枚举/归属/状态校验；禁止信任客户端派生值</x:v>
      </x:c>
      <x:c r="L231" s="17" t="str">
        <x:v>按实体version或审计日志保留变更证据</x:v>
      </x:c>
      <x:c r="M231" s="4" t="str">
        <x:v>M1</x:v>
      </x:c>
      <x:c r="N231" s="4" t="str">
        <x:v>P0-005,P0-069,P0-070</x:v>
      </x:c>
      <x:c r="O231" s="4" t="str">
        <x:v>综合方案§13核心数据模型</x:v>
      </x:c>
      <x:c r="P231" s="4" t="str">
        <x:v>DRAFT_FROM_SCHEME</x:v>
      </x:c>
    </x:row>
    <x:row r="232" ht="23" customHeight="1">
      <x:c r="A232" s="4" t="str">
        <x:v>SupplierUser</x:v>
      </x:c>
      <x:c r="B232" s="4" t="str">
        <x:v>version</x:v>
      </x:c>
      <x:c r="C232" s="17" t="str">
        <x:v>version</x:v>
      </x:c>
      <x:c r="D232" s="4" t="str">
        <x:v>8</x:v>
      </x:c>
      <x:c r="E232" s="4" t="str">
        <x:v>Int</x:v>
      </x:c>
      <x:c r="F232" s="4" t="str">
        <x:v>YES</x:v>
      </x:c>
      <x:c r="G232" s="4" t="str">
        <x:v>待M阶段冻结</x:v>
      </x:c>
      <x:c r="H232" s="17" t="str">
        <x:v>INTERNAL</x:v>
      </x:c>
      <x:c r="I232" s="17" t="str">
        <x:v>按资源权限与数据域访问；公开DTO另行白名单</x:v>
      </x:c>
      <x:c r="J232" s="17" t="str">
        <x:v>数据库实体不得直接序列化为响应</x:v>
      </x:c>
      <x:c r="K232" s="17" t="str">
        <x:v>DTO白名单；长度/枚举/归属/状态校验；禁止信任客户端派生值</x:v>
      </x:c>
      <x:c r="L232" s="17" t="str">
        <x:v>按实体version或审计日志保留变更证据</x:v>
      </x:c>
      <x:c r="M232" s="4" t="str">
        <x:v>M1</x:v>
      </x:c>
      <x:c r="N232" s="4" t="str">
        <x:v>P0-005,P0-069,P0-070</x:v>
      </x:c>
      <x:c r="O232" s="4" t="str">
        <x:v>综合方案§13核心数据模型</x:v>
      </x:c>
      <x:c r="P232" s="4" t="str">
        <x:v>DRAFT_FROM_SCHEME</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String/UUID</x:v>
      </x:c>
      <x:c r="F627" s="4" t="str">
        <x:v>YES</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追加/版本/快照，不覆盖已生效历史</x:v>
      </x:c>
      <x:c r="M627" s="4" t="str">
        <x:v>M1</x:v>
      </x:c>
      <x:c r="N627" s="4" t="str">
        <x:v>P0-072</x:v>
      </x:c>
      <x:c r="O627" s="4" t="str">
        <x:v>综合方案§13核心数据模型与§3自然人职责分离</x:v>
      </x:c>
      <x:c r="P627" s="4" t="str">
        <x:v>V1.1_BASELINE</x:v>
      </x:c>
    </x:row>
    <x:row r="628" ht="23" customHeight="1">
      <x:c r="A628" s="4" t="str">
        <x:v>ApprovalTask</x:v>
      </x:c>
      <x:c r="B628" s="4" t="str">
        <x:v>approvalType</x:v>
      </x:c>
      <x:c r="C628" s="17" t="str">
        <x:v>approvalType</x:v>
      </x:c>
      <x:c r="D628" s="4" t="str">
        <x:v>2</x:v>
      </x:c>
      <x:c r="E628" s="4" t="str">
        <x:v>Enum/String</x:v>
      </x:c>
      <x:c r="F628" s="4" t="str">
        <x:v>YES</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追加/版本/快照，不覆盖已生效历史</x:v>
      </x:c>
      <x:c r="M628" s="4" t="str">
        <x:v>M1</x:v>
      </x:c>
      <x:c r="N628" s="4" t="str">
        <x:v>P0-072</x:v>
      </x:c>
      <x:c r="O628" s="4" t="str">
        <x:v>综合方案§13核心数据模型与§3自然人职责分离</x:v>
      </x:c>
      <x:c r="P628" s="4" t="str">
        <x:v>V1.1_BASELINE</x:v>
      </x:c>
    </x:row>
    <x:row r="629" ht="23" customHeight="1">
      <x:c r="A629" s="4" t="str">
        <x:v>ApprovalTask</x:v>
      </x:c>
      <x:c r="B629" s="4" t="str">
        <x:v>objectType</x:v>
      </x:c>
      <x:c r="C629" s="17" t="str">
        <x:v>objectType</x:v>
      </x:c>
      <x:c r="D629" s="4" t="str">
        <x:v>3</x:v>
      </x:c>
      <x:c r="E629" s="4" t="str">
        <x:v>Enum/String</x:v>
      </x:c>
      <x:c r="F629" s="4" t="str">
        <x:v>YES</x:v>
      </x:c>
      <x:c r="G629" s="4" t="str">
        <x:v>待M阶段冻结</x:v>
      </x:c>
      <x:c r="H629" s="17" t="str">
        <x:v>INTERNAL</x:v>
      </x:c>
      <x:c r="I629" s="17" t="str">
        <x:v>按资源权限与数据域访问；公开DTO另行白名单</x:v>
      </x:c>
      <x:c r="J629" s="17" t="str">
        <x:v>数据库实体不得直接序列化为响应</x:v>
      </x:c>
      <x:c r="K629" s="17" t="str">
        <x:v>DTO白名单；长度/枚举/归属/状态校验；禁止信任客户端派生值</x:v>
      </x:c>
      <x:c r="L629" s="17" t="str">
        <x:v>追加/版本/快照，不覆盖已生效历史</x:v>
      </x:c>
      <x:c r="M629" s="4" t="str">
        <x:v>M1</x:v>
      </x:c>
      <x:c r="N629" s="4" t="str">
        <x:v>P0-072</x:v>
      </x:c>
      <x:c r="O629" s="4" t="str">
        <x:v>综合方案§13核心数据模型与§3自然人职责分离</x:v>
      </x:c>
      <x:c r="P629" s="4" t="str">
        <x:v>V1.1_BASELINE</x:v>
      </x:c>
    </x:row>
    <x:row r="630" ht="23" customHeight="1">
      <x:c r="A630" s="4" t="str">
        <x:v>ApprovalTask</x:v>
      </x:c>
      <x:c r="B630" s="4" t="str">
        <x:v>objectId</x:v>
      </x:c>
      <x:c r="C630" s="17" t="str">
        <x:v>objectId</x:v>
      </x:c>
      <x:c r="D630" s="4" t="str">
        <x:v>4</x:v>
      </x:c>
      <x:c r="E630" s="4" t="str">
        <x:v>String/UUID</x:v>
      </x:c>
      <x:c r="F630" s="4" t="str">
        <x:v>YES</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追加/版本/快照，不覆盖已生效历史</x:v>
      </x:c>
      <x:c r="M630" s="4" t="str">
        <x:v>M1</x:v>
      </x:c>
      <x:c r="N630" s="4" t="str">
        <x:v>P0-072</x:v>
      </x:c>
      <x:c r="O630" s="4" t="str">
        <x:v>综合方案§13核心数据模型与§3自然人职责分离</x:v>
      </x:c>
      <x:c r="P630" s="4" t="str">
        <x:v>V1.1_BASELINE</x:v>
      </x:c>
    </x:row>
    <x:row r="631" ht="23" customHeight="1">
      <x:c r="A631" s="4" t="str">
        <x:v>ApprovalTask</x:v>
      </x:c>
      <x:c r="B631" s="4" t="str">
        <x:v>applicantType</x:v>
      </x:c>
      <x:c r="C631" s="17" t="str">
        <x:v>applicantType</x:v>
      </x:c>
      <x:c r="D631" s="4" t="str">
        <x:v>5</x:v>
      </x:c>
      <x:c r="E631" s="4" t="str">
        <x:v>Enum/String</x:v>
      </x:c>
      <x:c r="F631" s="4" t="str">
        <x:v>YES</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追加/版本/快照，不覆盖已生效历史</x:v>
      </x:c>
      <x:c r="M631" s="4" t="str">
        <x:v>M1</x:v>
      </x:c>
      <x:c r="N631" s="4" t="str">
        <x:v>P0-072</x:v>
      </x:c>
      <x:c r="O631" s="4" t="str">
        <x:v>综合方案§13核心数据模型与§3自然人职责分离</x:v>
      </x:c>
      <x:c r="P631" s="4" t="str">
        <x:v>V1.1_BASELINE</x:v>
      </x:c>
    </x:row>
    <x:row r="632" ht="23" customHeight="1">
      <x:c r="A632" s="4" t="str">
        <x:v>ApprovalTask</x:v>
      </x:c>
      <x:c r="B632" s="4" t="str">
        <x:v>applicantId</x:v>
      </x:c>
      <x:c r="C632" s="17" t="str">
        <x:v>applicantId</x:v>
      </x:c>
      <x:c r="D632" s="4" t="str">
        <x:v>6</x:v>
      </x:c>
      <x:c r="E632" s="4" t="str">
        <x:v>String/UUID</x:v>
      </x:c>
      <x:c r="F632" s="4" t="str">
        <x:v>YES</x:v>
      </x:c>
      <x:c r="G632" s="4" t="str">
        <x:v>自然人身份主键</x:v>
      </x:c>
      <x:c r="H632" s="17" t="str">
        <x:v>INTERNAL</x:v>
      </x:c>
      <x:c r="I632" s="17" t="str">
        <x:v>按资源权限与数据域访问；公开DTO另行白名单</x:v>
      </x:c>
      <x:c r="J632" s="17" t="str">
        <x:v>数据库实体不得直接序列化为响应</x:v>
      </x:c>
      <x:c r="K632" s="17" t="str">
        <x:v>由服务端会话identityId写入；不得接受客户端覆盖；双人复核时必须与reviewedBy不同</x:v>
      </x:c>
      <x:c r="L632" s="17" t="str">
        <x:v>追加/版本/快照，不覆盖已生效历史</x:v>
      </x:c>
      <x:c r="M632" s="4" t="str">
        <x:v>M1</x:v>
      </x:c>
      <x:c r="N632" s="4" t="str">
        <x:v>P0-072</x:v>
      </x:c>
      <x:c r="O632" s="4" t="str">
        <x:v>综合方案§13核心数据模型与§3自然人职责分离</x:v>
      </x:c>
      <x:c r="P632" s="4" t="str">
        <x:v>V1.1_BASELINE</x:v>
      </x:c>
    </x:row>
    <x:row r="633" ht="23" customHeight="1">
      <x:c r="A633" s="4" t="str">
        <x:v>ApprovalTask</x:v>
      </x:c>
      <x:c r="B633" s="4" t="str">
        <x:v>status</x:v>
      </x:c>
      <x:c r="C633" s="17" t="str">
        <x:v>status</x:v>
      </x:c>
      <x:c r="D633" s="4" t="str">
        <x:v>7</x:v>
      </x:c>
      <x:c r="E633" s="4" t="str">
        <x:v>Enum/String</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M1</x:v>
      </x:c>
      <x:c r="N633" s="4" t="str">
        <x:v>P0-072</x:v>
      </x:c>
      <x:c r="O633" s="4" t="str">
        <x:v>综合方案§13核心数据模型与§3自然人职责分离</x:v>
      </x:c>
      <x:c r="P633" s="4" t="str">
        <x:v>V1.1_BASELINE</x:v>
      </x:c>
    </x:row>
    <x:row r="634" ht="23" customHeight="1">
      <x:c r="A634" s="4" t="str">
        <x:v>ApprovalTask</x:v>
      </x:c>
      <x:c r="B634" s="4" t="str">
        <x:v>assignedAccountTypeCode</x:v>
      </x:c>
      <x:c r="C634" s="17" t="str">
        <x:v>assignedAccountTypeCode</x:v>
      </x:c>
      <x:c r="D634" s="4" t="str">
        <x:v>8</x:v>
      </x:c>
      <x:c r="E634" s="4" t="str">
        <x:v>Enum/String</x:v>
      </x:c>
      <x:c r="F634" s="4" t="str">
        <x:v>YES</x:v>
      </x:c>
      <x:c r="G634" s="4" t="str">
        <x:v>固定职能账号类型代码</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M1</x:v>
      </x:c>
      <x:c r="N634" s="4" t="str">
        <x:v>P0-072</x:v>
      </x:c>
      <x:c r="O634" s="4" t="str">
        <x:v>综合方案§13核心数据模型与§3自然人职责分离</x:v>
      </x:c>
      <x:c r="P634" s="4" t="str">
        <x:v>V1.1_BASELINE</x:v>
      </x:c>
    </x:row>
    <x:row r="635" ht="23" customHeight="1">
      <x:c r="A635" s="4" t="str">
        <x:v>ApprovalTask</x:v>
      </x:c>
      <x:c r="B635" s="4" t="str">
        <x:v>reviewedBy</x:v>
      </x:c>
      <x:c r="C635" s="17" t="str">
        <x:v>reviewedBy?</x:v>
      </x:c>
      <x:c r="D635" s="4" t="str">
        <x:v>9</x:v>
      </x:c>
      <x:c r="E635" s="4" t="str">
        <x:v>String/UUID</x:v>
      </x:c>
      <x:c r="F635" s="4" t="str">
        <x:v>NO</x:v>
      </x:c>
      <x:c r="G635" s="4" t="str">
        <x:v>自然人身份主键</x:v>
      </x:c>
      <x:c r="H635" s="17" t="str">
        <x:v>INTERNAL</x:v>
      </x:c>
      <x:c r="I635" s="17" t="str">
        <x:v>按资源权限与数据域访问；公开DTO另行白名单</x:v>
      </x:c>
      <x:c r="J635" s="17" t="str">
        <x:v>数据库实体不得直接序列化为响应</x:v>
      </x:c>
      <x:c r="K635" s="17" t="str">
        <x:v>由服务端会话identityId写入；不得接受客户端覆盖；不得等于applicantId</x:v>
      </x:c>
      <x:c r="L635" s="17" t="str">
        <x:v>追加/版本/快照，不覆盖已生效历史</x:v>
      </x:c>
      <x:c r="M635" s="4" t="str">
        <x:v>M1</x:v>
      </x:c>
      <x:c r="N635" s="4" t="str">
        <x:v>P0-072</x:v>
      </x:c>
      <x:c r="O635" s="4" t="str">
        <x:v>综合方案§13核心数据模型与§3自然人职责分离</x:v>
      </x:c>
      <x:c r="P635" s="4" t="str">
        <x:v>V1.1_BASELINE</x:v>
      </x:c>
    </x:row>
    <x:row r="636" ht="23" customHeight="1">
      <x:c r="A636" s="4" t="str">
        <x:v>ApprovalTask</x:v>
      </x:c>
      <x:c r="B636" s="4" t="str">
        <x:v>reviewOpinion</x:v>
      </x:c>
      <x:c r="C636" s="17" t="str">
        <x:v>reviewOpinion?</x:v>
      </x:c>
      <x:c r="D636" s="4" t="str">
        <x:v>10</x:v>
      </x:c>
      <x:c r="E636" s="4" t="str">
        <x:v>String</x:v>
      </x:c>
      <x:c r="F636" s="4" t="str">
        <x:v>NO</x:v>
      </x:c>
      <x:c r="G636" s="4" t="str">
        <x:v>待M阶段冻结</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M1</x:v>
      </x:c>
      <x:c r="N636" s="4" t="str">
        <x:v>P0-072</x:v>
      </x:c>
      <x:c r="O636" s="4" t="str">
        <x:v>综合方案§13核心数据模型与§3自然人职责分离</x:v>
      </x:c>
      <x:c r="P636" s="4" t="str">
        <x:v>V1.1_BASELINE</x:v>
      </x:c>
    </x:row>
    <x:row r="637" ht="23" customHeight="1">
      <x:c r="A637" s="4" t="str">
        <x:v>ApprovalTask</x:v>
      </x:c>
      <x:c r="B637" s="4" t="str">
        <x:v>version</x:v>
      </x:c>
      <x:c r="C637" s="17" t="str">
        <x:v>version</x:v>
      </x:c>
      <x:c r="D637" s="4" t="str">
        <x:v>11</x:v>
      </x:c>
      <x:c r="E637" s="4" t="str">
        <x:v>Int</x:v>
      </x:c>
      <x:c r="F637" s="4" t="str">
        <x:v>YES</x:v>
      </x:c>
      <x:c r="G637" s="4" t="str">
        <x:v>待M阶段冻结</x:v>
      </x:c>
      <x:c r="H637" s="17" t="str">
        <x:v>INTERNAL</x:v>
      </x:c>
      <x:c r="I637" s="17" t="str">
        <x:v>按资源权限与数据域访问；公开DTO另行白名单</x:v>
      </x:c>
      <x:c r="J637" s="17" t="str">
        <x:v>数据库实体不得直接序列化为响应</x:v>
      </x:c>
      <x:c r="K637" s="17" t="str">
        <x:v>DTO白名单；长度/枚举/归属/状态校验；禁止信任客户端派生值</x:v>
      </x:c>
      <x:c r="L637" s="17" t="str">
        <x:v>追加/版本/快照，不覆盖已生效历史</x:v>
      </x:c>
      <x:c r="M637" s="4" t="str">
        <x:v>M1</x:v>
      </x:c>
      <x:c r="N637" s="4" t="str">
        <x:v>P0-072</x:v>
      </x:c>
      <x:c r="O637" s="4" t="str">
        <x:v>综合方案§13核心数据模型与§3自然人职责分离</x:v>
      </x:c>
      <x:c r="P637" s="4" t="str">
        <x:v>V1.1_BASELINE</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String/UUID</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M1</x:v>
      </x:c>
      <x:c r="N649" s="4" t="str">
        <x:v>P0-045,P0-072,P0-119</x:v>
      </x:c>
      <x:c r="O649" s="4" t="str">
        <x:v>综合方案§13核心数据模型</x:v>
      </x:c>
      <x:c r="P649" s="4" t="str">
        <x:v>DRAFT_FROM_SCHEME</x:v>
      </x:c>
    </x:row>
    <x:row r="650" ht="23" customHeight="1">
      <x:c r="A650" s="4" t="str">
        <x:v>AuditLog</x:v>
      </x:c>
      <x:c r="B650" s="4" t="str">
        <x:v>actorType</x:v>
      </x:c>
      <x:c r="C650" s="17" t="str">
        <x:v>actorType</x:v>
      </x:c>
      <x:c r="D650" s="4" t="str">
        <x:v>2</x:v>
      </x:c>
      <x:c r="E650" s="4" t="str">
        <x:v>Enum/String</x:v>
      </x:c>
      <x:c r="F650" s="4" t="str">
        <x:v>YES</x:v>
      </x:c>
      <x:c r="G650" s="4" t="str">
        <x:v>待M阶段冻结</x:v>
      </x:c>
      <x:c r="H650" s="17" t="str">
        <x:v>INTERNAL</x:v>
      </x:c>
      <x:c r="I650" s="17" t="str">
        <x:v>按资源权限与数据域访问；公开DTO另行白名单</x:v>
      </x:c>
      <x:c r="J650" s="17" t="str">
        <x:v>数据库实体不得直接序列化为响应</x:v>
      </x:c>
      <x:c r="K650" s="17" t="str">
        <x:v>DTO白名单；长度/枚举/归属/状态校验；禁止信任客户端派生值</x:v>
      </x:c>
      <x:c r="L650" s="17" t="str">
        <x:v>追加/版本/快照，不覆盖已生效历史</x:v>
      </x:c>
      <x:c r="M650" s="4" t="str">
        <x:v>M1</x:v>
      </x:c>
      <x:c r="N650" s="4" t="str">
        <x:v>P0-045,P0-072,P0-119</x:v>
      </x:c>
      <x:c r="O650" s="4" t="str">
        <x:v>综合方案§13核心数据模型</x:v>
      </x:c>
      <x:c r="P650" s="4" t="str">
        <x:v>DRAFT_FROM_SCHEME</x:v>
      </x:c>
    </x:row>
    <x:row r="651" ht="23" customHeight="1">
      <x:c r="A651" s="4" t="str">
        <x:v>AuditLog</x:v>
      </x:c>
      <x:c r="B651" s="4" t="str">
        <x:v>actorId</x:v>
      </x:c>
      <x:c r="C651" s="17" t="str">
        <x:v>actorId</x:v>
      </x:c>
      <x:c r="D651" s="4" t="str">
        <x:v>3</x:v>
      </x:c>
      <x:c r="E651" s="4" t="str">
        <x:v>String/UUID</x:v>
      </x:c>
      <x:c r="F651" s="4" t="str">
        <x:v>YES</x:v>
      </x:c>
      <x:c r="G651" s="4" t="str">
        <x:v>待M阶段冻结</x:v>
      </x:c>
      <x:c r="H651" s="17" t="str">
        <x:v>INTERNAL</x:v>
      </x:c>
      <x:c r="I651" s="17" t="str">
        <x:v>按资源权限与数据域访问；公开DTO另行白名单</x:v>
      </x:c>
      <x:c r="J651" s="17" t="str">
        <x:v>数据库实体不得直接序列化为响应</x:v>
      </x:c>
      <x:c r="K651" s="17" t="str">
        <x:v>DTO白名单；长度/枚举/归属/状态校验；禁止信任客户端派生值</x:v>
      </x:c>
      <x:c r="L651" s="17" t="str">
        <x:v>追加/版本/快照，不覆盖已生效历史</x:v>
      </x:c>
      <x:c r="M651" s="4" t="str">
        <x:v>M1</x:v>
      </x:c>
      <x:c r="N651" s="4" t="str">
        <x:v>P0-045,P0-072,P0-119</x:v>
      </x:c>
      <x:c r="O651" s="4" t="str">
        <x:v>综合方案§13核心数据模型</x:v>
      </x:c>
      <x:c r="P651" s="4" t="str">
        <x:v>DRAFT_FROM_SCHEME</x:v>
      </x:c>
    </x:row>
    <x:row r="652" ht="23" customHeight="1">
      <x:c r="A652" s="4" t="str">
        <x:v>AuditLog</x:v>
      </x:c>
      <x:c r="B652" s="4" t="str">
        <x:v>action</x:v>
      </x:c>
      <x:c r="C652" s="17" t="str">
        <x:v>action</x:v>
      </x:c>
      <x:c r="D652" s="4" t="str">
        <x:v>4</x:v>
      </x:c>
      <x:c r="E652" s="4" t="str">
        <x:v>Enum/String</x:v>
      </x:c>
      <x:c r="F652" s="4" t="str">
        <x:v>YES</x:v>
      </x:c>
      <x:c r="G652" s="4" t="str">
        <x:v>待M阶段冻结</x:v>
      </x:c>
      <x:c r="H652" s="17" t="str">
        <x:v>INTERNAL</x:v>
      </x:c>
      <x:c r="I652" s="17" t="str">
        <x:v>按资源权限与数据域访问；公开DTO另行白名单</x:v>
      </x:c>
      <x:c r="J652" s="17" t="str">
        <x:v>数据库实体不得直接序列化为响应</x:v>
      </x:c>
      <x:c r="K652" s="17" t="str">
        <x:v>DTO白名单；长度/枚举/归属/状态校验；禁止信任客户端派生值</x:v>
      </x:c>
      <x:c r="L652" s="17" t="str">
        <x:v>追加/版本/快照，不覆盖已生效历史</x:v>
      </x:c>
      <x:c r="M652" s="4" t="str">
        <x:v>M1</x:v>
      </x:c>
      <x:c r="N652" s="4" t="str">
        <x:v>P0-045,P0-072,P0-119</x:v>
      </x:c>
      <x:c r="O652" s="4" t="str">
        <x:v>综合方案§13核心数据模型</x:v>
      </x:c>
      <x:c r="P652" s="4" t="str">
        <x:v>DRAFT_FROM_SCHEME</x:v>
      </x:c>
    </x:row>
    <x:row r="653" ht="23" customHeight="1">
      <x:c r="A653" s="4" t="str">
        <x:v>AuditLog</x:v>
      </x:c>
      <x:c r="B653" s="4" t="str">
        <x:v>objectType</x:v>
      </x:c>
      <x:c r="C653" s="17" t="str">
        <x:v>objectType</x:v>
      </x:c>
      <x:c r="D653" s="4" t="str">
        <x:v>5</x:v>
      </x:c>
      <x:c r="E653" s="4" t="str">
        <x:v>Enum/String</x:v>
      </x:c>
      <x:c r="F653" s="4" t="str">
        <x:v>YES</x:v>
      </x:c>
      <x:c r="G653" s="4" t="str">
        <x:v>待M阶段冻结</x:v>
      </x:c>
      <x:c r="H653" s="17" t="str">
        <x:v>INTERNAL</x:v>
      </x:c>
      <x:c r="I653" s="17" t="str">
        <x:v>按资源权限与数据域访问；公开DTO另行白名单</x:v>
      </x:c>
      <x:c r="J653" s="17" t="str">
        <x:v>数据库实体不得直接序列化为响应</x:v>
      </x:c>
      <x:c r="K653" s="17" t="str">
        <x:v>DTO白名单；长度/枚举/归属/状态校验；禁止信任客户端派生值</x:v>
      </x:c>
      <x:c r="L653" s="17" t="str">
        <x:v>追加/版本/快照，不覆盖已生效历史</x:v>
      </x:c>
      <x:c r="M653" s="4" t="str">
        <x:v>M1</x:v>
      </x:c>
      <x:c r="N653" s="4" t="str">
        <x:v>P0-045,P0-072,P0-119</x:v>
      </x:c>
      <x:c r="O653" s="4" t="str">
        <x:v>综合方案§13核心数据模型</x:v>
      </x:c>
      <x:c r="P653" s="4" t="str">
        <x:v>DRAFT_FROM_SCHEME</x:v>
      </x:c>
    </x:row>
    <x:row r="654" ht="23" customHeight="1">
      <x:c r="A654" s="4" t="str">
        <x:v>AuditLog</x:v>
      </x:c>
      <x:c r="B654" s="4" t="str">
        <x:v>objectId</x:v>
      </x:c>
      <x:c r="C654" s="17" t="str">
        <x:v>objectId</x:v>
      </x:c>
      <x:c r="D654" s="4" t="str">
        <x:v>6</x:v>
      </x:c>
      <x:c r="E654" s="4" t="str">
        <x:v>String/UUID</x:v>
      </x:c>
      <x:c r="F654" s="4" t="str">
        <x:v>YES</x:v>
      </x:c>
      <x:c r="G654" s="4" t="str">
        <x:v>待M阶段冻结</x:v>
      </x:c>
      <x:c r="H654" s="17" t="str">
        <x:v>INTERNAL</x:v>
      </x:c>
      <x:c r="I654" s="17" t="str">
        <x:v>按资源权限与数据域访问；公开DTO另行白名单</x:v>
      </x:c>
      <x:c r="J654" s="17" t="str">
        <x:v>数据库实体不得直接序列化为响应</x:v>
      </x:c>
      <x:c r="K654" s="17" t="str">
        <x:v>DTO白名单；长度/枚举/归属/状态校验；禁止信任客户端派生值</x:v>
      </x:c>
      <x:c r="L654" s="17" t="str">
        <x:v>追加/版本/快照，不覆盖已生效历史</x:v>
      </x:c>
      <x:c r="M654" s="4" t="str">
        <x:v>M1</x:v>
      </x:c>
      <x:c r="N654" s="4" t="str">
        <x:v>P0-045,P0-072,P0-119</x:v>
      </x:c>
      <x:c r="O654" s="4" t="str">
        <x:v>综合方案§13核心数据模型</x:v>
      </x:c>
      <x:c r="P654" s="4" t="str">
        <x:v>DRAFT_FROM_SCHEME</x:v>
      </x:c>
    </x:row>
    <x:row r="655" ht="23" customHeight="1">
      <x:c r="A655" s="4" t="str">
        <x:v>AuditLog</x:v>
      </x:c>
      <x:c r="B655" s="4" t="str">
        <x:v>beforeSnapshot</x:v>
      </x:c>
      <x:c r="C655" s="17" t="str">
        <x:v>beforeSnapshot</x:v>
      </x:c>
      <x:c r="D655" s="4" t="str">
        <x:v>7</x:v>
      </x:c>
      <x:c r="E655" s="4" t="str">
        <x:v>Json</x:v>
      </x:c>
      <x:c r="F655" s="4" t="str">
        <x:v>YES</x:v>
      </x:c>
      <x:c r="G655" s="4" t="str">
        <x:v>待M阶段冻结</x:v>
      </x:c>
      <x:c r="H655" s="17" t="str">
        <x:v>INTERNAL</x:v>
      </x:c>
      <x:c r="I655" s="17" t="str">
        <x:v>按资源权限与数据域访问；公开DTO另行白名单</x:v>
      </x:c>
      <x:c r="J655" s="17" t="str">
        <x:v>数据库实体不得直接序列化为响应</x:v>
      </x:c>
      <x:c r="K655" s="17" t="str">
        <x:v>DTO白名单；长度/枚举/归属/状态校验；禁止信任客户端派生值</x:v>
      </x:c>
      <x:c r="L655" s="17" t="str">
        <x:v>追加/版本/快照，不覆盖已生效历史</x:v>
      </x:c>
      <x:c r="M655" s="4" t="str">
        <x:v>M1</x:v>
      </x:c>
      <x:c r="N655" s="4" t="str">
        <x:v>P0-045,P0-072,P0-119</x:v>
      </x:c>
      <x:c r="O655" s="4" t="str">
        <x:v>综合方案§13核心数据模型</x:v>
      </x:c>
      <x:c r="P655" s="4" t="str">
        <x:v>DRAFT_FROM_SCHEME</x:v>
      </x:c>
    </x:row>
    <x:row r="656" ht="23" customHeight="1">
      <x:c r="A656" s="4" t="str">
        <x:v>AuditLog</x:v>
      </x:c>
      <x:c r="B656" s="4" t="str">
        <x:v>afterSnapshot</x:v>
      </x:c>
      <x:c r="C656" s="17" t="str">
        <x:v>afterSnapshot</x:v>
      </x:c>
      <x:c r="D656" s="4" t="str">
        <x:v>8</x:v>
      </x:c>
      <x:c r="E656" s="4" t="str">
        <x:v>Json</x:v>
      </x:c>
      <x:c r="F656" s="4" t="str">
        <x:v>YES</x:v>
      </x:c>
      <x:c r="G656" s="4" t="str">
        <x:v>待M阶段冻结</x:v>
      </x:c>
      <x:c r="H656" s="17" t="str">
        <x:v>INTERNAL</x:v>
      </x:c>
      <x:c r="I656" s="17" t="str">
        <x:v>按资源权限与数据域访问；公开DTO另行白名单</x:v>
      </x:c>
      <x:c r="J656" s="17" t="str">
        <x:v>数据库实体不得直接序列化为响应</x:v>
      </x:c>
      <x:c r="K656" s="17" t="str">
        <x:v>DTO白名单；长度/枚举/归属/状态校验；禁止信任客户端派生值</x:v>
      </x:c>
      <x:c r="L656" s="17" t="str">
        <x:v>追加/版本/快照，不覆盖已生效历史</x:v>
      </x:c>
      <x:c r="M656" s="4" t="str">
        <x:v>M1</x:v>
      </x:c>
      <x:c r="N656" s="4" t="str">
        <x:v>P0-045,P0-072,P0-119</x:v>
      </x:c>
      <x:c r="O656" s="4" t="str">
        <x:v>综合方案§13核心数据模型</x:v>
      </x:c>
      <x:c r="P656" s="4" t="str">
        <x:v>DRAFT_FROM_SCHEME</x:v>
      </x:c>
    </x:row>
    <x:row r="657" ht="23" customHeight="1">
      <x:c r="A657" s="4" t="str">
        <x:v>AuditLog</x:v>
      </x:c>
      <x:c r="B657" s="4" t="str">
        <x:v>requestId</x:v>
      </x:c>
      <x:c r="C657" s="17" t="str">
        <x:v>requestId</x:v>
      </x:c>
      <x:c r="D657" s="4" t="str">
        <x:v>9</x:v>
      </x:c>
      <x:c r="E657" s="4" t="str">
        <x:v>String/UUID</x:v>
      </x:c>
      <x:c r="F657" s="4" t="str">
        <x:v>YES</x:v>
      </x:c>
      <x:c r="G657" s="4" t="str">
        <x:v>待M阶段冻结</x:v>
      </x:c>
      <x:c r="H657" s="17" t="str">
        <x:v>INTERNAL</x:v>
      </x:c>
      <x:c r="I657" s="17" t="str">
        <x:v>按资源权限与数据域访问；公开DTO另行白名单</x:v>
      </x:c>
      <x:c r="J657" s="17" t="str">
        <x:v>数据库实体不得直接序列化为响应</x:v>
      </x:c>
      <x:c r="K657" s="17" t="str">
        <x:v>DTO白名单；长度/枚举/归属/状态校验；禁止信任客户端派生值</x:v>
      </x:c>
      <x:c r="L657" s="17" t="str">
        <x:v>追加/版本/快照，不覆盖已生效历史</x:v>
      </x:c>
      <x:c r="M657" s="4" t="str">
        <x:v>M1</x:v>
      </x:c>
      <x:c r="N657" s="4" t="str">
        <x:v>P0-045,P0-072,P0-119</x:v>
      </x:c>
      <x:c r="O657" s="4" t="str">
        <x:v>综合方案§13核心数据模型</x:v>
      </x:c>
      <x:c r="P657" s="4" t="str">
        <x:v>DRAFT_FROM_SCHEME</x:v>
      </x:c>
    </x:row>
    <x:row r="658" ht="23" customHeight="1">
      <x:c r="A658" s="4" t="str">
        <x:v>AuditLog</x:v>
      </x:c>
      <x:c r="B658" s="4" t="str">
        <x:v>ip</x:v>
      </x:c>
      <x:c r="C658" s="17" t="str">
        <x:v>ip</x:v>
      </x:c>
      <x:c r="D658" s="4" t="str">
        <x:v>10</x:v>
      </x:c>
      <x:c r="E658" s="4" t="str">
        <x:v>String</x:v>
      </x:c>
      <x:c r="F658" s="4" t="str">
        <x:v>YES</x:v>
      </x:c>
      <x:c r="G658" s="4" t="str">
        <x:v>待M阶段冻结</x:v>
      </x:c>
      <x:c r="H658" s="17" t="str">
        <x:v>PERSONAL_OR_SENSITIVE</x:v>
      </x:c>
      <x:c r="I658" s="17" t="str">
        <x:v>按角色、对象归属及配送阶段脱敏/解密</x:v>
      </x:c>
      <x:c r="J658" s="17" t="str">
        <x:v>禁止跨供应商、越阶段或批量无审批导出</x:v>
      </x:c>
      <x:c r="K658" s="17" t="str">
        <x:v>DTO白名单；长度/枚举/归属/状态校验；禁止信任客户端派生值</x:v>
      </x:c>
      <x:c r="L658" s="17" t="str">
        <x:v>追加/版本/快照，不覆盖已生效历史</x:v>
      </x:c>
      <x:c r="M658" s="4" t="str">
        <x:v>M1</x:v>
      </x:c>
      <x:c r="N658" s="4" t="str">
        <x:v>P0-045,P0-072,P0-119</x:v>
      </x:c>
      <x:c r="O658" s="4" t="str">
        <x:v>综合方案§13核心数据模型</x:v>
      </x:c>
      <x:c r="P658" s="4" t="str">
        <x:v>DRAFT_FROM_SCHEME</x:v>
      </x:c>
    </x:row>
    <x:row r="659" ht="23" customHeight="1">
      <x:c r="A659" s="5" t="str">
        <x:v>AuditLog</x:v>
      </x:c>
      <x:c r="B659" s="5" t="str">
        <x:v>occurredAt</x:v>
      </x:c>
      <x:c r="C659" s="18" t="str">
        <x:v>occurredAt</x:v>
      </x:c>
      <x:c r="D659" s="5" t="str">
        <x:v>11</x:v>
      </x:c>
      <x:c r="E659" s="5" t="str">
        <x:v>DateTime</x:v>
      </x:c>
      <x:c r="F659" s="5" t="str">
        <x:v>YES</x:v>
      </x:c>
      <x:c r="G659" s="5" t="str">
        <x:v>ISO-8601+明确时区</x:v>
      </x:c>
      <x:c r="H659" s="18" t="str">
        <x:v>INTERNAL</x:v>
      </x:c>
      <x:c r="I659" s="18" t="str">
        <x:v>按资源权限与数据域访问；公开DTO另行白名单</x:v>
      </x:c>
      <x:c r="J659" s="18" t="str">
        <x:v>数据库实体不得直接序列化为响应</x:v>
      </x:c>
      <x:c r="K659" s="18" t="str">
        <x:v>DTO白名单；长度/枚举/归属/状态校验；禁止信任客户端派生值</x:v>
      </x:c>
      <x:c r="L659" s="18" t="str">
        <x:v>追加/版本/快照，不覆盖已生效历史</x:v>
      </x:c>
      <x:c r="M659" s="5" t="str">
        <x:v>M1</x:v>
      </x:c>
      <x:c r="N659" s="5" t="str">
        <x:v>P0-045,P0-072,P0-119</x:v>
      </x:c>
      <x:c r="O659" s="5" t="str">
        <x:v>综合方案§13核心数据模型</x:v>
      </x:c>
      <x:c r="P659" s="5" t="str">
        <x:v>DRAFT_FROM_SCHEME</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64c2944b38f415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DRAFT_TO_FREEZE_IN_STAGE</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DRAFT_TO_FREEZE_IN_STAGE</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DRAFT_TO_FREEZE_IN_STAGE</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DRAFT_TO_FREEZE_IN_STAGE</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DRAFT_TO_FREEZE_IN_STAGE</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DRAFT_TO_FREEZE_IN_STAGE</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DRAFT_TO_FREEZE_IN_STAGE</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DRAFT_TO_FREEZE_IN_STAGE</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DRAFT_TO_FREEZE_IN_STAGE</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DRAFT_TO_FREEZE_IN_STAGE</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DRAFT_TO_FREEZE_IN_STAGE</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DRAFT_TO_FREEZE_IN_STAGE</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DRAFT_TO_FREEZE_IN_STAGE</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DRAFT_TO_FREEZE_IN_STAGE</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DRAFT_TO_FREEZE_IN_STAGE</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e24b53bae2a438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707576b233b44c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REQUIRED_FIXED_FUNCTIONAL_SESSION</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视觉基线不覆盖业务、权限和状态机</x:v>
      </x:c>
    </x:row>
    <x:row r="3" ht="23" customHeight="1">
      <x:c r="A3" s="4" t="str">
        <x:v>PAGE-002</x:v>
      </x:c>
      <x:c r="B3" s="4" t="str">
        <x:v>COMPANY_ADMIN</x:v>
      </x:c>
      <x:c r="C3" s="4" t="str">
        <x:v>职能账号选择</x:v>
      </x:c>
      <x:c r="D3" s="17" t="str">
        <x:v>/company-admin/select-workspace</x:v>
      </x:c>
      <x:c r="E3" s="17" t="str">
        <x:v>福礼社UI设计资产/蓝绿供应链暖红福利统一版/公司Admin后台/02-职能账号选择.png</x:v>
      </x:c>
      <x:c r="F3" s="4" t="str">
        <x:v>M1</x:v>
      </x:c>
      <x:c r="G3" s="4" t="str">
        <x:v>公司职能账号</x:v>
      </x:c>
      <x:c r="H3" s="17" t="str">
        <x:v>P0-066</x:v>
      </x:c>
      <x:c r="I3" s="4" t="str">
        <x:v>REQUIRED_FIXED_FUNCTIONAL_SESSION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视觉基线不覆盖业务、权限和状态机</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REQUIRED_FIXED_FUNCTIONAL_SESSION</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视觉基线不覆盖业务、权限和状态机</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REQUIRED_FIXED_FUNCTIONAL_SESSION</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视觉基线不覆盖业务、权限和状态机</x:v>
      </x:c>
    </x:row>
    <x:row r="16" ht="23" customHeight="1">
      <x:c r="A16" s="4" t="str">
        <x:v>PAGE-015</x:v>
      </x:c>
      <x:c r="B16" s="4" t="str">
        <x:v>SUPPLIER_ADMIN</x:v>
      </x:c>
      <x:c r="C16" s="4" t="str">
        <x:v>职能账号选择</x:v>
      </x:c>
      <x:c r="D16" s="17" t="str">
        <x:v>/supplier/select-workspace</x:v>
      </x:c>
      <x:c r="E16" s="17" t="str">
        <x:v>福礼社UI设计资产/蓝绿供应链暖红福利统一版/供应商后台/03-职能账号选择.png</x:v>
      </x:c>
      <x:c r="F16" s="4" t="str">
        <x:v>M1</x:v>
      </x:c>
      <x:c r="G16" s="4" t="str">
        <x:v>供应商职能账号</x:v>
      </x:c>
      <x:c r="H16" s="17" t="str">
        <x:v>P0-066</x:v>
      </x:c>
      <x:c r="I16" s="4" t="str">
        <x:v>REQUIRED_FIXED_FUNCTIONAL_SESSION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视觉基线不覆盖业务、权限和状态机</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4f964fe1b3a425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af782518d814b0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8f8c14d195b429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c r="R2" s="17" t="str"/>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86741923a934cd7"/>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HealthResponse</x:v>
      </x:c>
      <x:c r="I2" s="17" t="str">
        <x:v>{success,data,error:{code,message,details?},requestId}</x:v>
      </x:c>
      <x:c r="J2" s="17" t="str">
        <x:v>COMMON_AUTH_VALIDATION_ERRORS</x:v>
      </x:c>
      <x:c r="K2" s="4" t="str">
        <x:v>NONE</x:v>
      </x:c>
      <x:c r="L2" s="17" t="str">
        <x:v>NEVER_RETURN; DTO白名单；对象归属校验先于查询结果返回</x:v>
      </x:c>
      <x:c r="M2" s="17" t="str">
        <x:v>N/A</x:v>
      </x:c>
      <x:c r="N2" s="17" t="str">
        <x:v>P0-048</x:v>
      </x:c>
      <x:c r="O2" s="4" t="str">
        <x:v>PLANNED</x:v>
      </x:c>
      <x:c r="P2" s="4" t="str">
        <x:v>PLANNED</x:v>
      </x:c>
      <x:c r="Q2" s="4" t="str">
        <x:v>PLANNED</x:v>
      </x:c>
      <x:c r="R2" s="4" t="str">
        <x:v>TO_BE_CREATED</x:v>
      </x:c>
      <x:c r="S2" s="4" t="str">
        <x:v>UNASSIGNED</x:v>
      </x:c>
      <x:c r="T2" s="17" t="str">
        <x:v>路径为执行初始契约；阶段M*-000冻结后方可编码</x:v>
      </x:c>
    </x:row>
    <x:row r="3" ht="23" customHeight="1">
      <x:c r="A3" s="4" t="str">
        <x:v>API-002</x:v>
      </x:c>
      <x:c r="B3" s="4" t="str">
        <x:v>M0</x:v>
      </x:c>
      <x:c r="C3" s="4" t="str">
        <x:v>system</x:v>
      </x:c>
      <x:c r="D3" s="4" t="str">
        <x:v>GET</x:v>
      </x:c>
      <x:c r="E3" s="17" t="str">
        <x:v>/health/ready</x:v>
      </x:c>
      <x:c r="F3" s="17" t="str">
        <x:v>INTERNAL</x:v>
      </x:c>
      <x:c r="G3" s="17" t="str">
        <x:v>None</x:v>
      </x:c>
      <x:c r="H3" s="17" t="str">
        <x:v>ReadinessResponse</x:v>
      </x:c>
      <x:c r="I3" s="17" t="str">
        <x:v>{success,data,error:{code,message,details?},requestId}</x:v>
      </x:c>
      <x:c r="J3" s="17" t="str">
        <x:v>DEPENDENCY_UNAVAILABLE</x:v>
      </x:c>
      <x:c r="K3" s="4" t="str">
        <x:v>NONE</x:v>
      </x:c>
      <x:c r="L3" s="17" t="str">
        <x:v>NEVER_RETURN; DTO白名单；对象归属校验先于查询结果返回</x:v>
      </x:c>
      <x:c r="M3" s="17" t="str">
        <x:v>N/A</x:v>
      </x:c>
      <x:c r="N3" s="17" t="str">
        <x:v>P0-048</x:v>
      </x:c>
      <x:c r="O3" s="4" t="str">
        <x:v>PLANNED</x:v>
      </x:c>
      <x:c r="P3" s="4" t="str">
        <x:v>PLANNED</x:v>
      </x:c>
      <x:c r="Q3" s="4" t="str">
        <x:v>PLANNED</x:v>
      </x:c>
      <x:c r="R3" s="4" t="str">
        <x:v>TO_BE_CREATED</x:v>
      </x:c>
      <x:c r="S3" s="4" t="str">
        <x:v>UNASSIGNED</x:v>
      </x:c>
      <x:c r="T3" s="17" t="str">
        <x:v>路径为执行初始契约；阶段M*-000冻结后方可编码</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TO_BE_CREATED</x:v>
      </x:c>
      <x:c r="S4" s="4" t="str">
        <x:v>UNASSIGNED</x:v>
      </x:c>
      <x:c r="T4" s="17" t="str">
        <x:v>路径为执行初始契约；阶段M*-000冻结后方可编码</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TO_BE_CREATED</x:v>
      </x:c>
      <x:c r="S5" s="4" t="str">
        <x:v>UNASSIGNED</x:v>
      </x:c>
      <x:c r="T5" s="17" t="str">
        <x:v>路径为执行初始契约；阶段M*-000冻结后方可编码</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TO_BE_CREATED</x:v>
      </x:c>
      <x:c r="S6" s="4" t="str">
        <x:v>UNASSIGNED</x:v>
      </x:c>
      <x:c r="T6" s="17" t="str">
        <x:v>路径为执行初始契约；阶段M*-000冻结后方可编码</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TO_BE_CREATED</x:v>
      </x:c>
      <x:c r="S7" s="4" t="str">
        <x:v>UNASSIGNED</x:v>
      </x:c>
      <x:c r="T7" s="17" t="str">
        <x:v>路径为执行初始契约；阶段M*-000冻结后方可编码</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TO_BE_CREATED</x:v>
      </x:c>
      <x:c r="S8" s="4" t="str">
        <x:v>UNASSIGNED</x:v>
      </x:c>
      <x:c r="T8" s="17" t="str">
        <x:v>路径为执行初始契约；阶段M*-000冻结后方可编码</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TO_BE_CREATED</x:v>
      </x:c>
      <x:c r="S9" s="4" t="str">
        <x:v>UNASSIGNED</x:v>
      </x:c>
      <x:c r="T9" s="17" t="str">
        <x:v>路径为执行初始契约；阶段M*-000冻结后方可编码</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TO_BE_CREATED</x:v>
      </x:c>
      <x:c r="S10" s="4" t="str">
        <x:v>UNASSIGNED</x:v>
      </x:c>
      <x:c r="T10" s="17" t="str">
        <x:v>路径为执行初始契约；阶段M*-000冻结后方可编码</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TO_BE_CREATED</x:v>
      </x:c>
      <x:c r="S11" s="4" t="str">
        <x:v>UNASSIGNED</x:v>
      </x:c>
      <x:c r="T11" s="17" t="str">
        <x:v>路径为执行初始契约；阶段M*-000冻结后方可编码</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TO_BE_CREATED</x:v>
      </x:c>
      <x:c r="S12" s="4" t="str">
        <x:v>UNASSIGNED</x:v>
      </x:c>
      <x:c r="T12" s="17" t="str">
        <x:v>路径为执行初始契约；阶段M*-000冻结后方可编码</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TO_BE_CREATED</x:v>
      </x:c>
      <x:c r="S13" s="4" t="str">
        <x:v>UNASSIGNED</x:v>
      </x:c>
      <x:c r="T13" s="17" t="str">
        <x:v>路径为执行初始契约；阶段M*-000冻结后方可编码</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TO_BE_CREATED</x:v>
      </x:c>
      <x:c r="S14" s="4" t="str">
        <x:v>UNASSIGNED</x:v>
      </x:c>
      <x:c r="T14" s="17" t="str">
        <x:v>路径为执行初始契约；阶段M*-000冻结后方可编码</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TO_BE_CREATED</x:v>
      </x:c>
      <x:c r="S15" s="4" t="str">
        <x:v>UNASSIGNED</x:v>
      </x:c>
      <x:c r="T15" s="17" t="str">
        <x:v>路径为执行初始契约；阶段M*-000冻结后方可编码</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TO_BE_CREATED</x:v>
      </x:c>
      <x:c r="S16" s="4" t="str">
        <x:v>UNASSIGNED</x:v>
      </x:c>
      <x:c r="T16" s="17" t="str">
        <x:v>路径为执行初始契约；阶段M*-000冻结后方可编码</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b6ffbe7fa584ab8"/>
  </x:tableParts>
</x:worksheet>
</file>