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84692c80c7b64e42" /></Relationships>
</file>

<file path=xl/workbook.xml><?xml version="1.0" encoding="utf-8"?>
<x:workbook xmlns:x="http://schemas.openxmlformats.org/spreadsheetml/2006/main">
  <x:sheets>
    <x:sheet xmlns:r="http://schemas.openxmlformats.org/officeDocument/2006/relationships" name="总控看板" sheetId="1" r:id="R5f252d3259b849e6"/>
    <x:sheet xmlns:r="http://schemas.openxmlformats.org/officeDocument/2006/relationships" name="阶段门禁" sheetId="2" r:id="Rac441ecf4fa44caf"/>
    <x:sheet xmlns:r="http://schemas.openxmlformats.org/officeDocument/2006/relationships" name="任务台账" sheetId="3" r:id="R31214a1db1cc46c0"/>
    <x:sheet xmlns:r="http://schemas.openxmlformats.org/officeDocument/2006/relationships" name="P0验收矩阵" sheetId="4" r:id="R9bddb50c85734698"/>
    <x:sheet xmlns:r="http://schemas.openxmlformats.org/officeDocument/2006/relationships" name="字段字典" sheetId="5" r:id="R75ba45f78d664a45"/>
    <x:sheet xmlns:r="http://schemas.openxmlformats.org/officeDocument/2006/relationships" name="状态机" sheetId="6" r:id="R11f961a41af14b1c"/>
    <x:sheet xmlns:r="http://schemas.openxmlformats.org/officeDocument/2006/relationships" name="权限矩阵" sheetId="7" r:id="Re763198f60a24410"/>
    <x:sheet xmlns:r="http://schemas.openxmlformats.org/officeDocument/2006/relationships" name="页面映射" sheetId="8" r:id="R4461493a5ea942c2"/>
    <x:sheet xmlns:r="http://schemas.openxmlformats.org/officeDocument/2006/relationships" name="外部依赖" sheetId="9" r:id="R66a1ef307d684699"/>
    <x:sheet xmlns:r="http://schemas.openxmlformats.org/officeDocument/2006/relationships" name="测试证据" sheetId="10" r:id="R751381a534334b75"/>
    <x:sheet xmlns:r="http://schemas.openxmlformats.org/officeDocument/2006/relationships" name="迁移台账" sheetId="11" r:id="R9e290f142c00434c"/>
    <x:sheet xmlns:r="http://schemas.openxmlformats.org/officeDocument/2006/relationships" name="API台账" sheetId="12" r:id="Ra9370182f3cd42e3"/>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5d5c8a6596349a6" /><Relationship Type="http://schemas.openxmlformats.org/officeDocument/2006/relationships/theme" Target="/xl/theme/theme1.xml" Id="R94e09366f75f4d61" /><Relationship Type="http://schemas.openxmlformats.org/officeDocument/2006/relationships/sharedStrings" Target="/xl/sharedStrings.xml" Id="Rd73db35b7ef04a45" /><Relationship Type="http://schemas.openxmlformats.org/officeDocument/2006/relationships/worksheet" Target="/xl/worksheets/sheet1.xml" Id="R5f252d3259b849e6" /><Relationship Type="http://schemas.openxmlformats.org/officeDocument/2006/relationships/worksheet" Target="/xl/worksheets/sheet2.xml" Id="Rac441ecf4fa44caf" /><Relationship Type="http://schemas.openxmlformats.org/officeDocument/2006/relationships/worksheet" Target="/xl/worksheets/sheet3.xml" Id="R31214a1db1cc46c0" /><Relationship Type="http://schemas.openxmlformats.org/officeDocument/2006/relationships/worksheet" Target="/xl/worksheets/sheet4.xml" Id="R9bddb50c85734698" /><Relationship Type="http://schemas.openxmlformats.org/officeDocument/2006/relationships/worksheet" Target="/xl/worksheets/sheet5.xml" Id="R75ba45f78d664a45" /><Relationship Type="http://schemas.openxmlformats.org/officeDocument/2006/relationships/worksheet" Target="/xl/worksheets/sheet6.xml" Id="R11f961a41af14b1c" /><Relationship Type="http://schemas.openxmlformats.org/officeDocument/2006/relationships/worksheet" Target="/xl/worksheets/sheet7.xml" Id="Re763198f60a24410" /><Relationship Type="http://schemas.openxmlformats.org/officeDocument/2006/relationships/worksheet" Target="/xl/worksheets/sheet8.xml" Id="R4461493a5ea942c2" /><Relationship Type="http://schemas.openxmlformats.org/officeDocument/2006/relationships/worksheet" Target="/xl/worksheets/sheet9.xml" Id="R66a1ef307d684699" /><Relationship Type="http://schemas.openxmlformats.org/officeDocument/2006/relationships/worksheet" Target="/xl/worksheets/sheet10.xml" Id="R751381a534334b75" /><Relationship Type="http://schemas.openxmlformats.org/officeDocument/2006/relationships/worksheet" Target="/xl/worksheets/sheet11.xml" Id="R9e290f142c00434c" /><Relationship Type="http://schemas.openxmlformats.org/officeDocument/2006/relationships/worksheet" Target="/xl/worksheets/sheet12.xml" Id="Ra9370182f3cd42e3" /><Relationship Type="http://schemas.microsoft.com/office/2017/10/relationships/person" Target="/xl/persons/person.xml" Id="Rf82ab3fd686d4fc3"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91"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137a5a0270f454f" /></Relationships>
</file>

<file path=xl/worksheets/_rels/sheet3.xml.rels>&#65279;<?xml version="1.0" encoding="utf-8"?><Relationships xmlns="http://schemas.openxmlformats.org/package/2006/relationships"><Relationship Type="http://schemas.openxmlformats.org/officeDocument/2006/relationships/table" Target="/xl/tables/table2.xml" Id="R3bfe82a025324c5e" /></Relationships>
</file>

<file path=xl/worksheets/_rels/sheet4.xml.rels>&#65279;<?xml version="1.0" encoding="utf-8"?><Relationships xmlns="http://schemas.openxmlformats.org/package/2006/relationships"><Relationship Type="http://schemas.openxmlformats.org/officeDocument/2006/relationships/table" Target="/xl/tables/table3.xml" Id="R980ef12bd8094820" /></Relationships>
</file>

<file path=xl/worksheets/_rels/sheet5.xml.rels>&#65279;<?xml version="1.0" encoding="utf-8"?><Relationships xmlns="http://schemas.openxmlformats.org/package/2006/relationships"><Relationship Type="http://schemas.openxmlformats.org/officeDocument/2006/relationships/table" Target="/xl/tables/table4.xml" Id="R16daa31a454e4f60" /></Relationships>
</file>

<file path=xl/worksheets/_rels/sheet6.xml.rels>&#65279;<?xml version="1.0" encoding="utf-8"?><Relationships xmlns="http://schemas.openxmlformats.org/package/2006/relationships"><Relationship Type="http://schemas.openxmlformats.org/officeDocument/2006/relationships/table" Target="/xl/tables/table5.xml" Id="R98ae5dd0e29a4e06" /></Relationships>
</file>

<file path=xl/worksheets/_rels/sheet7.xml.rels>&#65279;<?xml version="1.0" encoding="utf-8"?><Relationships xmlns="http://schemas.openxmlformats.org/package/2006/relationships"><Relationship Type="http://schemas.openxmlformats.org/officeDocument/2006/relationships/table" Target="/xl/tables/table6.xml" Id="R4b9a9991ddf04ecd" /></Relationships>
</file>

<file path=xl/worksheets/_rels/sheet8.xml.rels>&#65279;<?xml version="1.0" encoding="utf-8"?><Relationships xmlns="http://schemas.openxmlformats.org/package/2006/relationships"><Relationship Type="http://schemas.openxmlformats.org/officeDocument/2006/relationships/table" Target="/xl/tables/table7.xml" Id="Rfc65e84eccae44dd" /></Relationships>
</file>

<file path=xl/worksheets/_rels/sheet9.xml.rels>&#65279;<?xml version="1.0" encoding="utf-8"?><Relationships xmlns="http://schemas.openxmlformats.org/package/2006/relationships"><Relationship Type="http://schemas.openxmlformats.org/officeDocument/2006/relationships/table" Target="/xl/tables/table8.xml" Id="R3fd3db4ae9024266" /></Relationships>
</file>

<file path=xl/worksheets/_rels/sheet10.xml.rels>&#65279;<?xml version="1.0" encoding="utf-8"?><Relationships xmlns="http://schemas.openxmlformats.org/package/2006/relationships"><Relationship Type="http://schemas.openxmlformats.org/officeDocument/2006/relationships/table" Target="/xl/tables/table9.xml" Id="R988887508d774ee4" /></Relationships>
</file>

<file path=xl/worksheets/_rels/sheet11.xml.rels>&#65279;<?xml version="1.0" encoding="utf-8"?><Relationships xmlns="http://schemas.openxmlformats.org/package/2006/relationships"><Relationship Type="http://schemas.openxmlformats.org/officeDocument/2006/relationships/table" Target="/xl/tables/table10.xml" Id="R1213ed06808d4398" /></Relationships>
</file>

<file path=xl/worksheets/_rels/sheet12.xml.rels>&#65279;<?xml version="1.0" encoding="utf-8"?><Relationships xmlns="http://schemas.openxmlformats.org/package/2006/relationships"><Relationship Type="http://schemas.openxmlformats.org/officeDocument/2006/relationships/table" Target="/xl/tables/table11.xml" Id="R7cbf8a18537a4f08"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main@371d99d CI_PASS · M2-P016 merged-main CI_PASS · M2-P017 focused LOCAL_PASS（Issue #59 / codex/m2-gift-box-detail / PR未创建）· full verify与CI待执行 · P0-018及以后锁定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f>COUNTIF('任务台账'!$M$2:$M$150,"DONE")</x:f>
        <x:v>41</x:v>
      </x:c>
      <x:c r="E6" s="83"/>
      <x:c r="F6" s="187"/>
      <x:c r="G6" s="109" t="n">
        <x:f>COUNTIF('P0验收矩阵'!$I$2:$I$120,"LOCAL_PASS")+COUNTIF('P0验收矩阵'!$I$2:$I$120,"CI_PASS")+COUNTIF('P0验收矩阵'!$I$2:$I$120,"STAGING_PASS")+COUNTIF('P0验收矩阵'!$I$2:$I$120,"DEVICE_PASS")+COUNTIF('P0验收矩阵'!$I$2:$I$120,"PRODUCTION_PASS")</x:f>
        <x:v>26</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f>COUNTIF('任务台账'!$C$2:$C$150,A13)</x:f>
        <x:v>20</x:v>
      </x:c>
      <x:c r="D13" s="152" t="n">
        <x:f>COUNTIFS('任务台账'!$C$2:$C$150,A13,'任务台账'!$M$2:$M$150,"DONE")</x:f>
        <x:v>12</x:v>
      </x:c>
      <x:c r="E13" s="152" t="n">
        <x:f>COUNTIF('P0验收矩阵'!$C$2:$C$120,A13)</x:f>
        <x:v>18</x:v>
      </x:c>
      <x:c r="F13" s="152" t="n">
        <x:f>COUNTIFS('P0验收矩阵'!$C$2:$C$120,A13,'P0验收矩阵'!$I$2:$I$120,"LOCAL_PASS")+COUNTIFS('P0验收矩阵'!$C$2:$C$120,A13,'P0验收矩阵'!$I$2:$I$120,"CI_PASS")+COUNTIFS('P0验收矩阵'!$C$2:$C$120,A13,'P0验收矩阵'!$I$2:$I$120,"STAGING_PASS")+COUNTIFS('P0验收矩阵'!$C$2:$C$120,A13,'P0验收矩阵'!$I$2:$I$120,"DEVICE_PASS")+COUNTIFS('P0验收矩阵'!$C$2:$C$120,A13,'P0验收矩阵'!$I$2:$I$120,"PRODUCTION_PASS")</x:f>
        <x:v>12</x:v>
      </x:c>
      <x:c r="G13" s="152" t="str">
        <x:f>INDEX('阶段门禁'!$N$2:$N$8,MATCH(A13,'阶段门禁'!$A$2:$A$8,0))</x:f>
        <x:v>IN_PROGRESS</x:v>
      </x:c>
      <x:c r="H13" s="152" t="str">
        <x:f>INDEX('阶段门禁'!$O$2:$O$8,MATCH(A13,'阶段门禁'!$A$2:$A$8,0))</x:f>
        <x:v>CI_PASS</x:v>
      </x:c>
      <x:c r="I13" s="152" t="str">
        <x:f>IF(G13="GATE_PASSED","PASSED",IF(G13="IN_PROGRESS","PR门禁待完成","LOCKED"))</x:f>
        <x:v>PR门禁待完成</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LOCAL_PASS")+COUNTIFS('P0验收矩阵'!$C$2:$C$120,A14,'P0验收矩阵'!$I$2:$I$120,"CI_PASS")+COUNTIFS('P0验收矩阵'!$C$2:$C$120,A14,'P0验收矩阵'!$I$2:$I$120,"STAGING_PASS")+COUNTIFS('P0验收矩阵'!$C$2:$C$120,A14,'P0验收矩阵'!$I$2:$I$120,"DEVICE_PASS")+COUNTIFS('P0验收矩阵'!$C$2:$C$120,A14,'P0验收矩阵'!$I$2:$I$120,"PRODUCTION_PASS")</x:f>
        <x:v>0</x:v>
      </x:c>
      <x:c r="G14" s="152" t="str">
        <x:f>INDEX('阶段门禁'!$N$2:$N$8,MATCH(A14,'阶段门禁'!$A$2:$A$8,0))</x:f>
        <x:v>LOCKED</x:v>
      </x:c>
      <x:c r="H14" s="152" t="str">
        <x:f>INDEX('阶段门禁'!$O$2:$O$8,MATCH(A14,'阶段门禁'!$A$2:$A$8,0))</x:f>
        <x:v>NOT_EXECUTED</x:v>
      </x:c>
      <x:c r="I14" s="152" t="str">
        <x:f>IF(G14="GATE_PASSED","PASSED",IF(G14="IN_PROGRESS","PR门禁待完成","LOCKED"))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f>COUNTIF('P0验收矩阵'!$I$2:$I$120,A20)</x:f>
        <x:v>93</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f>COUNTIF('P0验收矩阵'!$I$2:$I$120,A21)</x:f>
        <x:v>1</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25</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M1-GATE PASS；M2-P006至M2-P016已合并且main CI PASS；M2-P017完成RED→GREEN及focused验证，正等待clean-head pnpm verify与Draft PR CI；P0-018及以后保持锁定。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17" t="str">
        <x:v>M0</x:v>
      </x:c>
      <x:c r="B2" s="17" t="n">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n">
        <x:v>12</x:v>
      </x:c>
      <x:c r="K2" s="17" t="n">
        <x:v>0</x:v>
      </x:c>
      <x:c r="L2" s="17"/>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n">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n">
        <x:v>15</x:v>
      </x:c>
      <x:c r="K3" s="17" t="n">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IN_PROGRESS</x:v>
      </x:c>
      <x:c r="O4" s="17" t="str">
        <x:v>CI_PASS</x:v>
      </x:c>
      <x:c r="P4" s="17" t="str"/>
      <x:c r="Q4" s="17" t="str"/>
      <x:c r="R4" s="17" t="str">
        <x:v>M2-P006至M2-P015已在main取得CI_PASS；M2-P016的clean-head pnpm verify 17/17及Draft PR #58实现head f76b2c0的Actions run 31468592265通过，人工合并和合并后main CI待执行；M2-P017及以后保持锁定。</x:v>
      </x:c>
    </x:row>
    <x:row r="5" ht="23" customHeight="1">
      <x:c r="A5" s="17" t="str">
        <x:v>M3</x:v>
      </x:c>
      <x:c r="B5" s="17" t="n">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n">
        <x:v>46</x:v>
      </x:c>
      <x:c r="K5" s="17" t="n">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x:c r="Q5" s="17"/>
      <x:c r="R5" s="17"/>
    </x:row>
    <x:row r="6" ht="23" customHeight="1">
      <x:c r="A6" s="17" t="str">
        <x:v>M4</x:v>
      </x:c>
      <x:c r="B6" s="17" t="n">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n">
        <x:v>30</x:v>
      </x:c>
      <x:c r="K6" s="17" t="n">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x:c r="Q6" s="17"/>
      <x:c r="R6" s="17"/>
    </x:row>
    <x:row r="7" ht="23" customHeight="1">
      <x:c r="A7" s="17" t="str">
        <x:v>M5</x:v>
      </x:c>
      <x:c r="B7" s="17" t="n">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n">
        <x:v>11</x:v>
      </x:c>
      <x:c r="K7" s="17" t="n">
        <x:v>10</x:v>
      </x:c>
      <x:c r="L7" s="17" t="str">
        <x:v>P0-038,P0-039,P0-040,P0-041,P0-042,P0-043,P0-044,P0-060,P0-065,P0-082</x:v>
      </x:c>
      <x:c r="M7" s="17" t="str">
        <x:v>M5-GATE</x:v>
      </x:c>
      <x:c r="N7" s="17" t="str">
        <x:v>LOCKED</x:v>
      </x:c>
      <x:c r="O7" s="17" t="str">
        <x:v>NOT_EXECUTED</x:v>
      </x:c>
      <x:c r="P7" s="17"/>
      <x:c r="Q7" s="17"/>
      <x:c r="R7" s="17"/>
    </x:row>
    <x:row r="8" ht="23" customHeight="1">
      <x:c r="A8" s="18" t="str">
        <x:v>M6</x:v>
      </x:c>
      <x:c r="B8" s="18" t="n">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n">
        <x:v>9</x:v>
      </x:c>
      <x:c r="K8" s="18" t="n">
        <x:v>3</x:v>
      </x:c>
      <x:c r="L8" s="18" t="str">
        <x:v>P0-048,P0-049,P0-050</x:v>
      </x:c>
      <x:c r="M8" s="18" t="str">
        <x:v>M6-GATE</x:v>
      </x:c>
      <x:c r="N8" s="18" t="str">
        <x:v>LOCKED</x:v>
      </x:c>
      <x:c r="O8" s="18" t="str">
        <x:v>NOT_EXECUTED</x:v>
      </x:c>
      <x:c r="P8" s="18"/>
      <x:c r="Q8" s="18"/>
      <x:c r="R8" s="18"/>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c137a5a0270f454f"/>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17" t="str">
        <x:v>M0-001</x:v>
      </x:c>
      <x:c r="B2" s="17" t="n">
        <x:v>1</x:v>
      </x:c>
      <x:c r="C2" s="17" t="str">
        <x:v>M0</x:v>
      </x:c>
      <x:c r="D2" s="17" t="str">
        <x:v>FOUNDATION</x:v>
      </x:c>
      <x:c r="E2" s="17" t="str">
        <x:v>P0</x:v>
      </x:c>
      <x:c r="F2" s="17" t="str">
        <x:v>冻结产品基线与变更规则</x:v>
      </x:c>
      <x:c r="G2" s="17" t="str">
        <x:v>§15工程化要求、提示词包AGENTS.md</x:v>
      </x:c>
      <x:c r="H2" s="17"/>
      <x:c r="I2" s="17"/>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x:c r="Q2" s="17" t="str">
        <x:v>codex/m0-m0-001</x:v>
      </x:c>
      <x:c r="R2" s="17" t="str">
        <x:v>codex/m0-m0-001</x:v>
      </x:c>
      <x:c r="S2" s="17" t="str">
        <x:v>958ce3952ea2395216fbadc3af244c5de6dbd8a1</x:v>
      </x:c>
      <x:c r="T2" s="17"/>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n">
        <x:v>2</x:v>
      </x:c>
      <x:c r="C3" s="17" t="str">
        <x:v>M0</x:v>
      </x:c>
      <x:c r="D3" s="17" t="str">
        <x:v>FOUNDATION</x:v>
      </x:c>
      <x:c r="E3" s="17" t="str">
        <x:v>P0</x:v>
      </x:c>
      <x:c r="F3" s="17" t="str">
        <x:v>只读盘点本机与仓库环境</x:v>
      </x:c>
      <x:c r="G3" s="17" t="str">
        <x:v>§15工程化要求、提示词包AGENTS.md</x:v>
      </x:c>
      <x:c r="H3" s="17"/>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x:c r="Q3" s="17" t="str">
        <x:v>codex/m0-m0-002</x:v>
      </x:c>
      <x:c r="R3" s="17" t="str">
        <x:v>codex/m0-m0-002</x:v>
      </x:c>
      <x:c r="S3" s="17" t="str">
        <x:v>96346b15c23debfff03cf8c328da51e26bc3669c</x:v>
      </x:c>
      <x:c r="T3" s="17"/>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n">
        <x:v>3</x:v>
      </x:c>
      <x:c r="C4" s="17" t="str">
        <x:v>M0</x:v>
      </x:c>
      <x:c r="D4" s="17" t="str">
        <x:v>FOUNDATION</x:v>
      </x:c>
      <x:c r="E4" s="17" t="str">
        <x:v>P0</x:v>
      </x:c>
      <x:c r="F4" s="17" t="str">
        <x:v>确认GitHub目标与协作边界</x:v>
      </x:c>
      <x:c r="G4" s="17" t="str">
        <x:v>§15工程化要求、提示词包AGENTS.md</x:v>
      </x:c>
      <x:c r="H4" s="17"/>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x:c r="Q4" s="17" t="str">
        <x:v>codex/m0-github</x:v>
      </x:c>
      <x:c r="R4" s="17" t="str">
        <x:v>codex/m0-github</x:v>
      </x:c>
      <x:c r="S4" s="17" t="str">
        <x:v>00346170e48733ebd1a46807a738deca0704848e</x:v>
      </x:c>
      <x:c r="T4" s="17"/>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n">
        <x:v>4</x:v>
      </x:c>
      <x:c r="C5" s="17" t="str">
        <x:v>M0</x:v>
      </x:c>
      <x:c r="D5" s="17" t="str">
        <x:v>FOUNDATION</x:v>
      </x:c>
      <x:c r="E5" s="17" t="str">
        <x:v>P0</x:v>
      </x:c>
      <x:c r="F5" s="17" t="str">
        <x:v>初始化pnpm workspace与Turborepo</x:v>
      </x:c>
      <x:c r="G5" s="17" t="str">
        <x:v>§15工程化要求、提示词包AGENTS.md</x:v>
      </x:c>
      <x:c r="H5" s="17"/>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x:c r="Q5" s="17" t="str">
        <x:v>codex/m0-pnpm-workspace-turborepo</x:v>
      </x:c>
      <x:c r="R5" s="17" t="str">
        <x:v>codex/m0-pnpm-workspace-turborepo</x:v>
      </x:c>
      <x:c r="S5" s="17" t="str">
        <x:v>9067c36c87949693bc53432a57b149314b592cc2</x:v>
      </x:c>
      <x:c r="T5" s="17"/>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n">
        <x:v>5</x:v>
      </x:c>
      <x:c r="C6" s="17" t="str">
        <x:v>M0</x:v>
      </x:c>
      <x:c r="D6" s="17" t="str">
        <x:v>FOUNDATION</x:v>
      </x:c>
      <x:c r="E6" s="17" t="str">
        <x:v>P0</x:v>
      </x:c>
      <x:c r="F6" s="17" t="str">
        <x:v>初始化NestJS/Prisma/MySQL/Redis/BullMQ底座</x:v>
      </x:c>
      <x:c r="G6" s="17" t="str">
        <x:v>§15工程化要求、提示词包AGENTS.md</x:v>
      </x:c>
      <x:c r="H6" s="17"/>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x:c r="Q6" s="17" t="str">
        <x:v>codex/m0-nestjs-prisma-mysql-redis-bullmq</x:v>
      </x:c>
      <x:c r="R6" s="17" t="str">
        <x:v>codex/m0-nestjs-prisma-mysql-redis-bullmq</x:v>
      </x:c>
      <x:c r="S6" s="17" t="str">
        <x:v>5c8764c16ec2064ea146e51898b0716e0b43bd36</x:v>
      </x:c>
      <x:c r="T6" s="17"/>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n">
        <x:v>6</x:v>
      </x:c>
      <x:c r="C7" s="17" t="str">
        <x:v>M0</x:v>
      </x:c>
      <x:c r="D7" s="17" t="str">
        <x:v>FOUNDATION</x:v>
      </x:c>
      <x:c r="E7" s="17" t="str">
        <x:v>P0</x:v>
      </x:c>
      <x:c r="F7" s="17" t="str">
        <x:v>初始化五端应用壳</x:v>
      </x:c>
      <x:c r="G7" s="17" t="str">
        <x:v>§15工程化要求、提示词包AGENTS.md</x:v>
      </x:c>
      <x:c r="H7" s="17"/>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x:c r="Q7" s="17" t="str">
        <x:v>codex/m0-m0-006</x:v>
      </x:c>
      <x:c r="R7" s="17" t="str">
        <x:v>codex/m0-m0-006</x:v>
      </x:c>
      <x:c r="S7" s="17" t="str">
        <x:v>a542c56b8e375c6331cc093d8f102d2bf837f5ea</x:v>
      </x:c>
      <x:c r="T7" s="17"/>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n">
        <x:v>7</x:v>
      </x:c>
      <x:c r="C8" s="17" t="str">
        <x:v>M0</x:v>
      </x:c>
      <x:c r="D8" s="17" t="str">
        <x:v>FOUNDATION</x:v>
      </x:c>
      <x:c r="E8" s="17" t="str">
        <x:v>P0</x:v>
      </x:c>
      <x:c r="F8" s="17" t="str">
        <x:v>建立配置Schema与秘密扫描</x:v>
      </x:c>
      <x:c r="G8" s="17" t="str">
        <x:v>§15工程化要求、提示词包AGENTS.md</x:v>
      </x:c>
      <x:c r="H8" s="17"/>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x:c r="Q8" s="17" t="str">
        <x:v>codex/m0-schema</x:v>
      </x:c>
      <x:c r="R8" s="17" t="str">
        <x:v>codex/m0-schema</x:v>
      </x:c>
      <x:c r="S8" s="17" t="str">
        <x:v>4d46293f668dcbd0dc5465ed65803e4fda9a3618</x:v>
      </x:c>
      <x:c r="T8" s="17"/>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n">
        <x:v>8</x:v>
      </x:c>
      <x:c r="C9" s="17" t="str">
        <x:v>M0</x:v>
      </x:c>
      <x:c r="D9" s="17" t="str">
        <x:v>FOUNDATION</x:v>
      </x:c>
      <x:c r="E9" s="17" t="str">
        <x:v>P0</x:v>
      </x:c>
      <x:c r="F9" s="17" t="str">
        <x:v>建立确定性OpenAPI、统一类型与传输适配</x:v>
      </x:c>
      <x:c r="G9" s="17" t="str">
        <x:v>§15.5 OpenAPI契约、§15.6门户渲染</x:v>
      </x:c>
      <x:c r="H9" s="17"/>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x:c r="Q9" s="17" t="str">
        <x:v>codex/m0-openapi-dto</x:v>
      </x:c>
      <x:c r="R9" s="17" t="str">
        <x:v>codex/m0-openapi-dto</x:v>
      </x:c>
      <x:c r="S9" s="17" t="str">
        <x:v>743142676f96530289259ec426c8689a30c0d315</x:v>
      </x:c>
      <x:c r="T9" s="17"/>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n">
        <x:v>9</x:v>
      </x:c>
      <x:c r="C10" s="17" t="str">
        <x:v>M0</x:v>
      </x:c>
      <x:c r="D10" s="17" t="str">
        <x:v>FOUNDATION</x:v>
      </x:c>
      <x:c r="E10" s="17" t="str">
        <x:v>P0</x:v>
      </x:c>
      <x:c r="F10" s="17" t="str">
        <x:v>建立测试金字塔与失败测试模板</x:v>
      </x:c>
      <x:c r="G10" s="17" t="str">
        <x:v>§15工程化要求、提示词包AGENTS.md</x:v>
      </x:c>
      <x:c r="H10" s="17"/>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x:c r="Q10" s="17" t="str">
        <x:v>codex/m0-m0-009</x:v>
      </x:c>
      <x:c r="R10" s="17" t="str">
        <x:v>codex/m0-m0-009</x:v>
      </x:c>
      <x:c r="S10" s="17" t="str">
        <x:v>4b93d52423b19eaabe65f01b56ec21b944d28d39</x:v>
      </x:c>
      <x:c r="T10" s="17"/>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n">
        <x:v>10</x:v>
      </x:c>
      <x:c r="C11" s="17" t="str">
        <x:v>M0</x:v>
      </x:c>
      <x:c r="D11" s="17" t="str">
        <x:v>FOUNDATION</x:v>
      </x:c>
      <x:c r="E11" s="17" t="str">
        <x:v>P0</x:v>
      </x:c>
      <x:c r="F11" s="17" t="str">
        <x:v>建立Prisma迁移与回滚演练</x:v>
      </x:c>
      <x:c r="G11" s="17" t="str">
        <x:v>§15工程化要求、提示词包AGENTS.md</x:v>
      </x:c>
      <x:c r="H11" s="17"/>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x:c r="Q11" s="17" t="str">
        <x:v>codex/m0-prisma</x:v>
      </x:c>
      <x:c r="R11" s="17" t="str">
        <x:v>codex/m0-prisma</x:v>
      </x:c>
      <x:c r="S11" s="17" t="str">
        <x:v>62ead13dfb9c6680a4c173fa09377ce6cf8e23b9</x:v>
      </x:c>
      <x:c r="T11" s="17"/>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n">
        <x:v>11</x:v>
      </x:c>
      <x:c r="C12" s="17" t="str">
        <x:v>M0</x:v>
      </x:c>
      <x:c r="D12" s="17" t="str">
        <x:v>FOUNDATION</x:v>
      </x:c>
      <x:c r="E12" s="17" t="str">
        <x:v>P0</x:v>
      </x:c>
      <x:c r="F12" s="17" t="str">
        <x:v>建立pnpm verify与GitHub CI门禁</x:v>
      </x:c>
      <x:c r="G12" s="17" t="str">
        <x:v>§15工程化要求、提示词包AGENTS.md</x:v>
      </x:c>
      <x:c r="H12" s="17"/>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x:c r="Q12" s="17" t="str">
        <x:v>codex/m0-pnpm-verify-github-ci</x:v>
      </x:c>
      <x:c r="R12" s="17" t="str">
        <x:v>codex/m0-pnpm-verify-github-ci</x:v>
      </x:c>
      <x:c r="S12" s="17" t="str">
        <x:v>6033fa14d52ab8ef847bfcb275747ec94d0c904a</x:v>
      </x:c>
      <x:c r="T12" s="17"/>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n">
        <x:v>12</x:v>
      </x:c>
      <x:c r="C13" s="17" t="str">
        <x:v>M0</x:v>
      </x:c>
      <x:c r="D13" s="17" t="str">
        <x:v>FOUNDATION</x:v>
      </x:c>
      <x:c r="E13" s="17" t="str">
        <x:v>P0</x:v>
      </x:c>
      <x:c r="F13" s="17" t="str">
        <x:v>形成M0交接证据包</x:v>
      </x:c>
      <x:c r="G13" s="17" t="str">
        <x:v>§15工程化要求、提示词包AGENTS.md</x:v>
      </x:c>
      <x:c r="H13" s="17"/>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x:c r="Q13" s="17" t="str">
        <x:v>codex/m0-m0</x:v>
      </x:c>
      <x:c r="R13" s="17" t="str">
        <x:v>codex/m0-m0-handoff</x:v>
      </x:c>
      <x:c r="S13" s="17" t="str">
        <x:v>a98c6edcbb356cd8b3209cf2695b44f36655bc93</x:v>
      </x:c>
      <x:c r="T13" s="17"/>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n">
        <x:v>13</x:v>
      </x:c>
      <x:c r="C14" s="17" t="str">
        <x:v>M0</x:v>
      </x:c>
      <x:c r="D14" s="17" t="str">
        <x:v>STAGE_GATE</x:v>
      </x:c>
      <x:c r="E14" s="17" t="str">
        <x:v>P0</x:v>
      </x:c>
      <x:c r="F14" s="17" t="str">
        <x:v>M0阶段门禁验收</x:v>
      </x:c>
      <x:c r="G14" s="17" t="str">
        <x:v>执行包§02</x:v>
      </x:c>
      <x:c r="H14" s="17"/>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n">
        <x:v>14</x:v>
      </x:c>
      <x:c r="C15" s="17" t="str">
        <x:v>M1</x:v>
      </x:c>
      <x:c r="D15" s="17" t="str">
        <x:v>CONTRACT_SLICE_PLAN</x:v>
      </x:c>
      <x:c r="E15" s="17" t="str">
        <x:v>P0</x:v>
      </x:c>
      <x:c r="F15" s="17" t="str">
        <x:v>冻结M1字段、状态机、权限与契约切片</x:v>
      </x:c>
      <x:c r="G15" s="17" t="str">
        <x:v>执行包字段/状态机/权限/API台账</x:v>
      </x:c>
      <x:c r="H15" s="17"/>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n">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n">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n">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n">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n">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n">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n">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n">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n">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n">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n">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n">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n">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n">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n">
        <x:v>29</x:v>
      </x:c>
      <x:c r="C30" s="17" t="str">
        <x:v>M1</x:v>
      </x:c>
      <x:c r="D30" s="17" t="str">
        <x:v>STAGE_GATE</x:v>
      </x:c>
      <x:c r="E30" s="17" t="str">
        <x:v>P0</x:v>
      </x:c>
      <x:c r="F30" s="17" t="str">
        <x:v>M1阶段门禁验收</x:v>
      </x:c>
      <x:c r="G30" s="17" t="str">
        <x:v>执行包§02</x:v>
      </x:c>
      <x:c r="H30" s="17"/>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n">
        <x:v>30</x:v>
      </x:c>
      <x:c r="C31" s="17" t="str">
        <x:v>M2</x:v>
      </x:c>
      <x:c r="D31" s="17" t="str">
        <x:v>CONTRACT_SLICE_PLAN</x:v>
      </x:c>
      <x:c r="E31" s="17" t="str">
        <x:v>P0</x:v>
      </x:c>
      <x:c r="F31" s="17" t="str">
        <x:v>冻结M2字段、状态机、权限与契约切片</x:v>
      </x:c>
      <x:c r="G31" s="17" t="str">
        <x:v>执行包字段/状态机/权限/API台账</x:v>
      </x:c>
      <x:c r="H31" s="17"/>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n">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n">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n">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n">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n">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46244.71050226852</x:v>
      </x:c>
      <x:c r="Y38" s="17" t="str">
        <x:v>PR #50精确head 4faae843 CI通过并按人工授权合并为main@9a85a641；合并后main CI run 31398383884通过。staging与production未执行。</x:v>
      </x:c>
    </x:row>
    <x:row r="39" ht="23" customHeight="1">
      <x:c r="A39" s="17" t="str">
        <x:v>M2-P013</x:v>
      </x:c>
      <x:c r="B39" s="17" t="n">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按原子提交回退；迁移仅向前修复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n">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按原子提交回退；迁移仅向前修复</x:v>
      </x:c>
      <x:c r="X40" s="17" t="n">
        <x:v>46245.12520833333</x:v>
      </x:c>
      <x:c r="Y40" s="17" t="str">
        <x:v>PR #54精确head 9bbaa92e的CI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IN_PROGRESS</x:v>
      </x:c>
      <x:c r="N43" s="17" t="str">
        <x:v>LOCAL_PASS</x:v>
      </x:c>
      <x:c r="O43" s="17" t="str">
        <x:v>CODEX</x:v>
      </x:c>
      <x:c r="P43" s="17" t="str">
        <x:v>https://github.com/EasyStep-lee/flt1/issues/59</x:v>
      </x:c>
      <x:c r="Q43" s="17" t="str">
        <x:v>codex/m2-m2-p017</x:v>
      </x:c>
      <x:c r="R43" s="17" t="str">
        <x:v>codex/m2-gift-box-detail</x:v>
      </x:c>
      <x:c r="S43" s="17" t="str"/>
      <x:c r="T43" s="17" t="str"/>
      <x:c r="U43" s="17" t="str">
        <x:v>NOT_EXECUTED</x:v>
      </x:c>
      <x:c r="V43" s="17" t="str">
        <x:v>NO</x:v>
      </x:c>
      <x:c r="W43" s="17" t="str">
        <x:v>按原子提交回退；迁移仅向前修复</x:v>
      </x:c>
      <x:c r="X43" s="17" t="n">
        <x:v>46245.362233796295</x:v>
      </x:c>
      <x:c r="Y43" s="17" t="str">
        <x:v>RED退出1；GREEN unit 3/3、focused模板API 1/1、公开详情API 2/2、全量API unit56和Supertest160、用户小程序11/11、迁移契约2/2、P017 Playwright 1/1；完整pnpm verify、Draft PR和CI待执行，P018锁定。</x:v>
      </x:c>
    </x:row>
    <x:row r="44" ht="23" customHeight="1">
      <x:c r="A44" s="17" t="str">
        <x:v>M2-P018</x:v>
      </x:c>
      <x:c r="B44" s="17" t="n">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17" t="str">
        <x:v>NOT_STARTED</x:v>
      </x:c>
      <x:c r="N44" s="17" t="str">
        <x:v>NOT_EXECUTED</x:v>
      </x:c>
      <x:c r="O44" s="17" t="str">
        <x:v>UNASSIGNED</x:v>
      </x:c>
      <x:c r="P44" s="17"/>
      <x:c r="Q44" s="17" t="str">
        <x:v>codex/m2-m2-p018</x:v>
      </x:c>
      <x:c r="R44" s="17"/>
      <x:c r="S44" s="17"/>
      <x:c r="T44" s="17"/>
      <x:c r="U44" s="17"/>
      <x:c r="V44" s="17" t="str">
        <x:v>NO</x:v>
      </x:c>
      <x:c r="W44" s="17" t="str">
        <x:v>按原子提交回退；迁移仅向前修复</x:v>
      </x:c>
      <x:c r="X44" s="17"/>
      <x:c r="Y44" s="17"/>
    </x:row>
    <x:row r="45" ht="23" customHeight="1">
      <x:c r="A45" s="17" t="str">
        <x:v>M2-P019</x:v>
      </x:c>
      <x:c r="B45" s="17" t="n">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NOT_STARTED</x:v>
      </x:c>
      <x:c r="N45" s="17" t="str">
        <x:v>NOT_EXECUTED</x:v>
      </x:c>
      <x:c r="O45" s="17" t="str">
        <x:v>UNASSIGNED</x:v>
      </x:c>
      <x:c r="P45" s="17"/>
      <x:c r="Q45" s="17" t="str">
        <x:v>codex/m2-m2-p019</x:v>
      </x:c>
      <x:c r="R45" s="17"/>
      <x:c r="S45" s="17"/>
      <x:c r="T45" s="17"/>
      <x:c r="U45" s="17"/>
      <x:c r="V45" s="17" t="str">
        <x:v>NO</x:v>
      </x:c>
      <x:c r="W45" s="17" t="str">
        <x:v>按原子提交回退；迁移仅向前修复</x:v>
      </x:c>
      <x:c r="X45" s="17"/>
      <x:c r="Y45" s="17"/>
    </x:row>
    <x:row r="46" ht="23" customHeight="1">
      <x:c r="A46" s="17" t="str">
        <x:v>M2-P021</x:v>
      </x:c>
      <x:c r="B46" s="17" t="n">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NOT_STARTED</x:v>
      </x:c>
      <x:c r="N46" s="17" t="str">
        <x:v>NOT_EXECUTED</x:v>
      </x:c>
      <x:c r="O46" s="17" t="str">
        <x:v>UNASSIGNED</x:v>
      </x:c>
      <x:c r="P46" s="17"/>
      <x:c r="Q46" s="17" t="str">
        <x:v>codex/m2-m2-p021</x:v>
      </x:c>
      <x:c r="R46" s="17"/>
      <x:c r="S46" s="17"/>
      <x:c r="T46" s="17"/>
      <x:c r="U46" s="17"/>
      <x:c r="V46" s="17" t="str">
        <x:v>NO</x:v>
      </x:c>
      <x:c r="W46" s="17" t="str">
        <x:v>按原子提交回退；迁移仅向前修复</x:v>
      </x:c>
      <x:c r="X46" s="17"/>
      <x:c r="Y46" s="17"/>
    </x:row>
    <x:row r="47" ht="23" customHeight="1">
      <x:c r="A47" s="17" t="str">
        <x:v>M2-P061</x:v>
      </x:c>
      <x:c r="B47" s="17" t="n">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x:c r="Q47" s="17" t="str">
        <x:v>codex/m2-m2-p061</x:v>
      </x:c>
      <x:c r="R47" s="17"/>
      <x:c r="S47" s="17"/>
      <x:c r="T47" s="17"/>
      <x:c r="U47" s="17"/>
      <x:c r="V47" s="17" t="str">
        <x:v>NO</x:v>
      </x:c>
      <x:c r="W47" s="17" t="str">
        <x:v>按原子提交回退；迁移仅向前修复</x:v>
      </x:c>
      <x:c r="X47" s="17"/>
      <x:c r="Y47" s="17"/>
    </x:row>
    <x:row r="48" ht="23" customHeight="1">
      <x:c r="A48" s="17" t="str">
        <x:v>M2-P063</x:v>
      </x:c>
      <x:c r="B48" s="17" t="n">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x:c r="Q48" s="17" t="str">
        <x:v>codex/m2-m2-p063</x:v>
      </x:c>
      <x:c r="R48" s="17"/>
      <x:c r="S48" s="17"/>
      <x:c r="T48" s="17"/>
      <x:c r="U48" s="17"/>
      <x:c r="V48" s="17" t="str">
        <x:v>NO</x:v>
      </x:c>
      <x:c r="W48" s="17" t="str">
        <x:v>按原子提交回退；迁移仅向前修复</x:v>
      </x:c>
      <x:c r="X48" s="17"/>
      <x:c r="Y48" s="17"/>
    </x:row>
    <x:row r="49" ht="23" customHeight="1">
      <x:c r="A49" s="17" t="str">
        <x:v>M2-P071</x:v>
      </x:c>
      <x:c r="B49" s="17" t="n">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x:c r="Q49" s="17" t="str">
        <x:v>codex/m2-m2-p071</x:v>
      </x:c>
      <x:c r="R49" s="17"/>
      <x:c r="S49" s="17"/>
      <x:c r="T49" s="17"/>
      <x:c r="U49" s="17"/>
      <x:c r="V49" s="17" t="str">
        <x:v>NO</x:v>
      </x:c>
      <x:c r="W49" s="17" t="str">
        <x:v>按原子提交回退；迁移仅向前修复</x:v>
      </x:c>
      <x:c r="X49" s="17"/>
      <x:c r="Y49" s="17"/>
    </x:row>
    <x:row r="50" ht="23" customHeight="1">
      <x:c r="A50" s="17" t="str">
        <x:v>M2-GATE</x:v>
      </x:c>
      <x:c r="B50" s="17" t="n">
        <x:v>49</x:v>
      </x:c>
      <x:c r="C50" s="17" t="str">
        <x:v>M2</x:v>
      </x:c>
      <x:c r="D50" s="17" t="str">
        <x:v>STAGE_GATE</x:v>
      </x:c>
      <x:c r="E50" s="17" t="str">
        <x:v>P0</x:v>
      </x:c>
      <x:c r="F50" s="17" t="str">
        <x:v>M2阶段门禁验收</x:v>
      </x:c>
      <x:c r="G50" s="17" t="str">
        <x:v>执行包§02</x:v>
      </x:c>
      <x:c r="H50" s="17"/>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x:c r="Q50" s="17" t="str">
        <x:v>codex/m2-m2</x:v>
      </x:c>
      <x:c r="R50" s="17"/>
      <x:c r="S50" s="17"/>
      <x:c r="T50" s="17"/>
      <x:c r="U50" s="17"/>
      <x:c r="V50" s="17" t="str">
        <x:v>YES</x:v>
      </x:c>
      <x:c r="W50" s="17" t="str">
        <x:v>按原子提交回退；迁移仅向前修复</x:v>
      </x:c>
      <x:c r="X50" s="17"/>
      <x:c r="Y50" s="17"/>
    </x:row>
    <x:row r="51" ht="23" customHeight="1">
      <x:c r="A51" s="17" t="str">
        <x:v>M3-000</x:v>
      </x:c>
      <x:c r="B51" s="17" t="n">
        <x:v>50</x:v>
      </x:c>
      <x:c r="C51" s="17" t="str">
        <x:v>M3</x:v>
      </x:c>
      <x:c r="D51" s="17" t="str">
        <x:v>CONTRACT_SLICE_PLAN</x:v>
      </x:c>
      <x:c r="E51" s="17" t="str">
        <x:v>P0</x:v>
      </x:c>
      <x:c r="F51" s="17" t="str">
        <x:v>冻结M3字段、状态机、权限与契约切片</x:v>
      </x:c>
      <x:c r="G51" s="17" t="str">
        <x:v>执行包字段/状态机/权限/API台账</x:v>
      </x:c>
      <x:c r="H51" s="17"/>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x:c r="Q51" s="17" t="str">
        <x:v>codex/m3-m3</x:v>
      </x:c>
      <x:c r="R51" s="17"/>
      <x:c r="S51" s="17"/>
      <x:c r="T51" s="17"/>
      <x:c r="U51" s="17"/>
      <x:c r="V51" s="17" t="str">
        <x:v>NO</x:v>
      </x:c>
      <x:c r="W51" s="17" t="str">
        <x:v>按原子提交回退；迁移仅向前修复</x:v>
      </x:c>
      <x:c r="X51" s="17"/>
      <x:c r="Y51" s="17"/>
    </x:row>
    <x:row r="52" ht="23" customHeight="1">
      <x:c r="A52" s="17" t="str">
        <x:v>M3-P020</x:v>
      </x:c>
      <x:c r="B52" s="17" t="n">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x:c r="Q52" s="17" t="str">
        <x:v>codex/m3-m3-p020</x:v>
      </x:c>
      <x:c r="R52" s="17"/>
      <x:c r="S52" s="17"/>
      <x:c r="T52" s="17"/>
      <x:c r="U52" s="17"/>
      <x:c r="V52" s="17" t="str">
        <x:v>NO</x:v>
      </x:c>
      <x:c r="W52" s="17" t="str">
        <x:v>按原子提交回退；迁移仅向前修复</x:v>
      </x:c>
      <x:c r="X52" s="17"/>
      <x:c r="Y52" s="17"/>
    </x:row>
    <x:row r="53" ht="23" customHeight="1">
      <x:c r="A53" s="17" t="str">
        <x:v>M3-P022</x:v>
      </x:c>
      <x:c r="B53" s="17" t="n">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x:c r="Q53" s="17" t="str">
        <x:v>codex/m3-m3-p022</x:v>
      </x:c>
      <x:c r="R53" s="17"/>
      <x:c r="S53" s="17"/>
      <x:c r="T53" s="17"/>
      <x:c r="U53" s="17"/>
      <x:c r="V53" s="17" t="str">
        <x:v>NO</x:v>
      </x:c>
      <x:c r="W53" s="17" t="str">
        <x:v>按原子提交回退；迁移仅向前修复</x:v>
      </x:c>
      <x:c r="X53" s="17"/>
      <x:c r="Y53" s="17"/>
    </x:row>
    <x:row r="54" ht="23" customHeight="1">
      <x:c r="A54" s="17" t="str">
        <x:v>M3-P023</x:v>
      </x:c>
      <x:c r="B54" s="17" t="n">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x:c r="Q54" s="17" t="str">
        <x:v>codex/m3-m3-p023</x:v>
      </x:c>
      <x:c r="R54" s="17"/>
      <x:c r="S54" s="17"/>
      <x:c r="T54" s="17"/>
      <x:c r="U54" s="17"/>
      <x:c r="V54" s="17" t="str">
        <x:v>NO</x:v>
      </x:c>
      <x:c r="W54" s="17" t="str">
        <x:v>按原子提交回退；迁移仅向前修复</x:v>
      </x:c>
      <x:c r="X54" s="17"/>
      <x:c r="Y54" s="17"/>
    </x:row>
    <x:row r="55" ht="23" customHeight="1">
      <x:c r="A55" s="17" t="str">
        <x:v>M3-P024</x:v>
      </x:c>
      <x:c r="B55" s="17" t="n">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x:c r="Q55" s="17" t="str">
        <x:v>codex/m3-m3-p024</x:v>
      </x:c>
      <x:c r="R55" s="17"/>
      <x:c r="S55" s="17"/>
      <x:c r="T55" s="17"/>
      <x:c r="U55" s="17"/>
      <x:c r="V55" s="17" t="str">
        <x:v>YES</x:v>
      </x:c>
      <x:c r="W55" s="17" t="str">
        <x:v>按原子提交回退；迁移仅向前修复</x:v>
      </x:c>
      <x:c r="X55" s="17"/>
      <x:c r="Y55" s="17"/>
    </x:row>
    <x:row r="56" ht="23" customHeight="1">
      <x:c r="A56" s="17" t="str">
        <x:v>M3-P025</x:v>
      </x:c>
      <x:c r="B56" s="17" t="n">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x:c r="Q56" s="17" t="str">
        <x:v>codex/m3-m3-p025</x:v>
      </x:c>
      <x:c r="R56" s="17"/>
      <x:c r="S56" s="17"/>
      <x:c r="T56" s="17"/>
      <x:c r="U56" s="17"/>
      <x:c r="V56" s="17" t="str">
        <x:v>NO</x:v>
      </x:c>
      <x:c r="W56" s="17" t="str">
        <x:v>按原子提交回退；迁移仅向前修复</x:v>
      </x:c>
      <x:c r="X56" s="17"/>
      <x:c r="Y56" s="17"/>
    </x:row>
    <x:row r="57" ht="23" customHeight="1">
      <x:c r="A57" s="17" t="str">
        <x:v>M3-P026</x:v>
      </x:c>
      <x:c r="B57" s="17" t="n">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x:c r="Q57" s="17" t="str">
        <x:v>codex/m3-m3-p026</x:v>
      </x:c>
      <x:c r="R57" s="17"/>
      <x:c r="S57" s="17"/>
      <x:c r="T57" s="17"/>
      <x:c r="U57" s="17"/>
      <x:c r="V57" s="17" t="str">
        <x:v>YES</x:v>
      </x:c>
      <x:c r="W57" s="17" t="str">
        <x:v>按原子提交回退；迁移仅向前修复</x:v>
      </x:c>
      <x:c r="X57" s="17"/>
      <x:c r="Y57" s="17"/>
    </x:row>
    <x:row r="58" ht="23" customHeight="1">
      <x:c r="A58" s="17" t="str">
        <x:v>M3-P027</x:v>
      </x:c>
      <x:c r="B58" s="17" t="n">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x:c r="Q58" s="17" t="str">
        <x:v>codex/m3-m3-p027</x:v>
      </x:c>
      <x:c r="R58" s="17"/>
      <x:c r="S58" s="17"/>
      <x:c r="T58" s="17"/>
      <x:c r="U58" s="17"/>
      <x:c r="V58" s="17" t="str">
        <x:v>NO</x:v>
      </x:c>
      <x:c r="W58" s="17" t="str">
        <x:v>按原子提交回退；迁移仅向前修复</x:v>
      </x:c>
      <x:c r="X58" s="17"/>
      <x:c r="Y58" s="17"/>
    </x:row>
    <x:row r="59" ht="23" customHeight="1">
      <x:c r="A59" s="17" t="str">
        <x:v>M3-P028</x:v>
      </x:c>
      <x:c r="B59" s="17" t="n">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x:c r="Q59" s="17" t="str">
        <x:v>codex/m3-m3-p028</x:v>
      </x:c>
      <x:c r="R59" s="17"/>
      <x:c r="S59" s="17"/>
      <x:c r="T59" s="17"/>
      <x:c r="U59" s="17"/>
      <x:c r="V59" s="17" t="str">
        <x:v>YES</x:v>
      </x:c>
      <x:c r="W59" s="17" t="str">
        <x:v>按原子提交回退；迁移仅向前修复</x:v>
      </x:c>
      <x:c r="X59" s="17"/>
      <x:c r="Y59" s="17"/>
    </x:row>
    <x:row r="60" ht="23" customHeight="1">
      <x:c r="A60" s="17" t="str">
        <x:v>M3-P029</x:v>
      </x:c>
      <x:c r="B60" s="17" t="n">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x:c r="Q60" s="17" t="str">
        <x:v>codex/m3-m3-p029</x:v>
      </x:c>
      <x:c r="R60" s="17"/>
      <x:c r="S60" s="17"/>
      <x:c r="T60" s="17"/>
      <x:c r="U60" s="17"/>
      <x:c r="V60" s="17" t="str">
        <x:v>NO</x:v>
      </x:c>
      <x:c r="W60" s="17" t="str">
        <x:v>按原子提交回退；迁移仅向前修复</x:v>
      </x:c>
      <x:c r="X60" s="17"/>
      <x:c r="Y60" s="17"/>
    </x:row>
    <x:row r="61" ht="23" customHeight="1">
      <x:c r="A61" s="17" t="str">
        <x:v>M3-P030</x:v>
      </x:c>
      <x:c r="B61" s="17" t="n">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x:c r="Q61" s="17" t="str">
        <x:v>codex/m3-m3-p030</x:v>
      </x:c>
      <x:c r="R61" s="17"/>
      <x:c r="S61" s="17"/>
      <x:c r="T61" s="17"/>
      <x:c r="U61" s="17"/>
      <x:c r="V61" s="17" t="str">
        <x:v>NO</x:v>
      </x:c>
      <x:c r="W61" s="17" t="str">
        <x:v>按原子提交回退；迁移仅向前修复</x:v>
      </x:c>
      <x:c r="X61" s="17"/>
      <x:c r="Y61" s="17"/>
    </x:row>
    <x:row r="62" ht="23" customHeight="1">
      <x:c r="A62" s="17" t="str">
        <x:v>M3-P031</x:v>
      </x:c>
      <x:c r="B62" s="17" t="n">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x:c r="Q62" s="17" t="str">
        <x:v>codex/m3-m3-p031</x:v>
      </x:c>
      <x:c r="R62" s="17"/>
      <x:c r="S62" s="17"/>
      <x:c r="T62" s="17"/>
      <x:c r="U62" s="17"/>
      <x:c r="V62" s="17" t="str">
        <x:v>NO</x:v>
      </x:c>
      <x:c r="W62" s="17" t="str">
        <x:v>按原子提交回退；迁移仅向前修复</x:v>
      </x:c>
      <x:c r="X62" s="17"/>
      <x:c r="Y62" s="17"/>
    </x:row>
    <x:row r="63" ht="23" customHeight="1">
      <x:c r="A63" s="17" t="str">
        <x:v>M3-P051</x:v>
      </x:c>
      <x:c r="B63" s="17" t="n">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x:c r="Q63" s="17" t="str">
        <x:v>codex/m3-m3-p051</x:v>
      </x:c>
      <x:c r="R63" s="17"/>
      <x:c r="S63" s="17"/>
      <x:c r="T63" s="17"/>
      <x:c r="U63" s="17"/>
      <x:c r="V63" s="17" t="str">
        <x:v>YES</x:v>
      </x:c>
      <x:c r="W63" s="17" t="str">
        <x:v>按原子提交回退；迁移仅向前修复</x:v>
      </x:c>
      <x:c r="X63" s="17"/>
      <x:c r="Y63" s="17"/>
    </x:row>
    <x:row r="64" ht="23" customHeight="1">
      <x:c r="A64" s="17" t="str">
        <x:v>M3-P052</x:v>
      </x:c>
      <x:c r="B64" s="17" t="n">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x:c r="Q64" s="17" t="str">
        <x:v>codex/m3-m3-p052</x:v>
      </x:c>
      <x:c r="R64" s="17"/>
      <x:c r="S64" s="17"/>
      <x:c r="T64" s="17"/>
      <x:c r="U64" s="17"/>
      <x:c r="V64" s="17" t="str">
        <x:v>YES</x:v>
      </x:c>
      <x:c r="W64" s="17" t="str">
        <x:v>按原子提交回退；迁移仅向前修复</x:v>
      </x:c>
      <x:c r="X64" s="17"/>
      <x:c r="Y64" s="17"/>
    </x:row>
    <x:row r="65" ht="23" customHeight="1">
      <x:c r="A65" s="17" t="str">
        <x:v>M3-P053</x:v>
      </x:c>
      <x:c r="B65" s="17" t="n">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x:c r="Q65" s="17" t="str">
        <x:v>codex/m3-m3-p053</x:v>
      </x:c>
      <x:c r="R65" s="17"/>
      <x:c r="S65" s="17"/>
      <x:c r="T65" s="17"/>
      <x:c r="U65" s="17"/>
      <x:c r="V65" s="17" t="str">
        <x:v>YES</x:v>
      </x:c>
      <x:c r="W65" s="17" t="str">
        <x:v>按原子提交回退；迁移仅向前修复</x:v>
      </x:c>
      <x:c r="X65" s="17"/>
      <x:c r="Y65" s="17"/>
    </x:row>
    <x:row r="66" ht="23" customHeight="1">
      <x:c r="A66" s="17" t="str">
        <x:v>M3-P054</x:v>
      </x:c>
      <x:c r="B66" s="17" t="n">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x:c r="Q66" s="17" t="str">
        <x:v>codex/m3-m3-p054</x:v>
      </x:c>
      <x:c r="R66" s="17"/>
      <x:c r="S66" s="17"/>
      <x:c r="T66" s="17"/>
      <x:c r="U66" s="17"/>
      <x:c r="V66" s="17" t="str">
        <x:v>YES</x:v>
      </x:c>
      <x:c r="W66" s="17" t="str">
        <x:v>按原子提交回退；迁移仅向前修复</x:v>
      </x:c>
      <x:c r="X66" s="17"/>
      <x:c r="Y66" s="17"/>
    </x:row>
    <x:row r="67" ht="23" customHeight="1">
      <x:c r="A67" s="17" t="str">
        <x:v>M3-P055</x:v>
      </x:c>
      <x:c r="B67" s="17" t="n">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x:c r="Q67" s="17" t="str">
        <x:v>codex/m3-m3-p055</x:v>
      </x:c>
      <x:c r="R67" s="17"/>
      <x:c r="S67" s="17"/>
      <x:c r="T67" s="17"/>
      <x:c r="U67" s="17"/>
      <x:c r="V67" s="17" t="str">
        <x:v>YES</x:v>
      </x:c>
      <x:c r="W67" s="17" t="str">
        <x:v>按原子提交回退；迁移仅向前修复</x:v>
      </x:c>
      <x:c r="X67" s="17"/>
      <x:c r="Y67" s="17"/>
    </x:row>
    <x:row r="68" ht="23" customHeight="1">
      <x:c r="A68" s="17" t="str">
        <x:v>M3-P056</x:v>
      </x:c>
      <x:c r="B68" s="17" t="n">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x:c r="Q68" s="17" t="str">
        <x:v>codex/m3-m3-p056</x:v>
      </x:c>
      <x:c r="R68" s="17"/>
      <x:c r="S68" s="17"/>
      <x:c r="T68" s="17"/>
      <x:c r="U68" s="17"/>
      <x:c r="V68" s="17" t="str">
        <x:v>YES</x:v>
      </x:c>
      <x:c r="W68" s="17" t="str">
        <x:v>按原子提交回退；迁移仅向前修复</x:v>
      </x:c>
      <x:c r="X68" s="17"/>
      <x:c r="Y68" s="17"/>
    </x:row>
    <x:row r="69" ht="23" customHeight="1">
      <x:c r="A69" s="17" t="str">
        <x:v>M3-P057</x:v>
      </x:c>
      <x:c r="B69" s="17" t="n">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x:c r="Q69" s="17" t="str">
        <x:v>codex/m3-m3-p057</x:v>
      </x:c>
      <x:c r="R69" s="17"/>
      <x:c r="S69" s="17"/>
      <x:c r="T69" s="17"/>
      <x:c r="U69" s="17"/>
      <x:c r="V69" s="17" t="str">
        <x:v>YES</x:v>
      </x:c>
      <x:c r="W69" s="17" t="str">
        <x:v>按原子提交回退；迁移仅向前修复</x:v>
      </x:c>
      <x:c r="X69" s="17"/>
      <x:c r="Y69" s="17"/>
    </x:row>
    <x:row r="70" ht="23" customHeight="1">
      <x:c r="A70" s="17" t="str">
        <x:v>M3-P058</x:v>
      </x:c>
      <x:c r="B70" s="17" t="n">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x:c r="Q70" s="17" t="str">
        <x:v>codex/m3-m3-p058</x:v>
      </x:c>
      <x:c r="R70" s="17"/>
      <x:c r="S70" s="17"/>
      <x:c r="T70" s="17"/>
      <x:c r="U70" s="17"/>
      <x:c r="V70" s="17" t="str">
        <x:v>YES</x:v>
      </x:c>
      <x:c r="W70" s="17" t="str">
        <x:v>按原子提交回退；迁移仅向前修复</x:v>
      </x:c>
      <x:c r="X70" s="17"/>
      <x:c r="Y70" s="17"/>
    </x:row>
    <x:row r="71" ht="23" customHeight="1">
      <x:c r="A71" s="17" t="str">
        <x:v>M3-P059</x:v>
      </x:c>
      <x:c r="B71" s="17" t="n">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x:c r="Q71" s="17" t="str">
        <x:v>codex/m3-m3-p059</x:v>
      </x:c>
      <x:c r="R71" s="17"/>
      <x:c r="S71" s="17"/>
      <x:c r="T71" s="17"/>
      <x:c r="U71" s="17"/>
      <x:c r="V71" s="17" t="str">
        <x:v>NO</x:v>
      </x:c>
      <x:c r="W71" s="17" t="str">
        <x:v>按原子提交回退；迁移仅向前修复</x:v>
      </x:c>
      <x:c r="X71" s="17"/>
      <x:c r="Y71" s="17"/>
    </x:row>
    <x:row r="72" ht="23" customHeight="1">
      <x:c r="A72" s="17" t="str">
        <x:v>M3-P062</x:v>
      </x:c>
      <x:c r="B72" s="17" t="n">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x:c r="Q72" s="17" t="str">
        <x:v>codex/m3-m3-p062</x:v>
      </x:c>
      <x:c r="R72" s="17"/>
      <x:c r="S72" s="17"/>
      <x:c r="T72" s="17"/>
      <x:c r="U72" s="17"/>
      <x:c r="V72" s="17" t="str">
        <x:v>NO</x:v>
      </x:c>
      <x:c r="W72" s="17" t="str">
        <x:v>按原子提交回退；迁移仅向前修复</x:v>
      </x:c>
      <x:c r="X72" s="17"/>
      <x:c r="Y72" s="17"/>
    </x:row>
    <x:row r="73" ht="23" customHeight="1">
      <x:c r="A73" s="17" t="str">
        <x:v>M3-P073</x:v>
      </x:c>
      <x:c r="B73" s="17" t="n">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x:c r="Q73" s="17" t="str">
        <x:v>codex/m3-m3-p073</x:v>
      </x:c>
      <x:c r="R73" s="17"/>
      <x:c r="S73" s="17"/>
      <x:c r="T73" s="17"/>
      <x:c r="U73" s="17"/>
      <x:c r="V73" s="17" t="str">
        <x:v>NO</x:v>
      </x:c>
      <x:c r="W73" s="17" t="str">
        <x:v>按原子提交回退；迁移仅向前修复</x:v>
      </x:c>
      <x:c r="X73" s="17"/>
      <x:c r="Y73" s="17"/>
    </x:row>
    <x:row r="74" ht="23" customHeight="1">
      <x:c r="A74" s="17" t="str">
        <x:v>M3-P074</x:v>
      </x:c>
      <x:c r="B74" s="17" t="n">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x:c r="Q74" s="17" t="str">
        <x:v>codex/m3-m3-p074</x:v>
      </x:c>
      <x:c r="R74" s="17"/>
      <x:c r="S74" s="17"/>
      <x:c r="T74" s="17"/>
      <x:c r="U74" s="17"/>
      <x:c r="V74" s="17" t="str">
        <x:v>NO</x:v>
      </x:c>
      <x:c r="W74" s="17" t="str">
        <x:v>按原子提交回退；迁移仅向前修复</x:v>
      </x:c>
      <x:c r="X74" s="17"/>
      <x:c r="Y74" s="17"/>
    </x:row>
    <x:row r="75" ht="23" customHeight="1">
      <x:c r="A75" s="17" t="str">
        <x:v>M3-P075</x:v>
      </x:c>
      <x:c r="B75" s="17" t="n">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x:c r="Q75" s="17" t="str">
        <x:v>codex/m3-m3-p075</x:v>
      </x:c>
      <x:c r="R75" s="17"/>
      <x:c r="S75" s="17"/>
      <x:c r="T75" s="17"/>
      <x:c r="U75" s="17"/>
      <x:c r="V75" s="17" t="str">
        <x:v>NO</x:v>
      </x:c>
      <x:c r="W75" s="17" t="str">
        <x:v>按原子提交回退；迁移仅向前修复</x:v>
      </x:c>
      <x:c r="X75" s="17"/>
      <x:c r="Y75" s="17"/>
    </x:row>
    <x:row r="76" ht="23" customHeight="1">
      <x:c r="A76" s="17" t="str">
        <x:v>M3-P076</x:v>
      </x:c>
      <x:c r="B76" s="17" t="n">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x:c r="Q76" s="17" t="str">
        <x:v>codex/m3-m3-p076</x:v>
      </x:c>
      <x:c r="R76" s="17"/>
      <x:c r="S76" s="17"/>
      <x:c r="T76" s="17"/>
      <x:c r="U76" s="17"/>
      <x:c r="V76" s="17" t="str">
        <x:v>NO</x:v>
      </x:c>
      <x:c r="W76" s="17" t="str">
        <x:v>按原子提交回退；迁移仅向前修复</x:v>
      </x:c>
      <x:c r="X76" s="17"/>
      <x:c r="Y76" s="17"/>
    </x:row>
    <x:row r="77" ht="23" customHeight="1">
      <x:c r="A77" s="17" t="str">
        <x:v>M3-P077</x:v>
      </x:c>
      <x:c r="B77" s="17" t="n">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x:c r="Q77" s="17" t="str">
        <x:v>codex/m3-m3-p077</x:v>
      </x:c>
      <x:c r="R77" s="17"/>
      <x:c r="S77" s="17"/>
      <x:c r="T77" s="17"/>
      <x:c r="U77" s="17"/>
      <x:c r="V77" s="17" t="str">
        <x:v>YES</x:v>
      </x:c>
      <x:c r="W77" s="17" t="str">
        <x:v>按原子提交回退；迁移仅向前修复</x:v>
      </x:c>
      <x:c r="X77" s="17"/>
      <x:c r="Y77" s="17"/>
    </x:row>
    <x:row r="78" ht="23" customHeight="1">
      <x:c r="A78" s="17" t="str">
        <x:v>M3-P078</x:v>
      </x:c>
      <x:c r="B78" s="17" t="n">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x:c r="Q78" s="17" t="str">
        <x:v>codex/m3-m3-p078</x:v>
      </x:c>
      <x:c r="R78" s="17"/>
      <x:c r="S78" s="17"/>
      <x:c r="T78" s="17"/>
      <x:c r="U78" s="17"/>
      <x:c r="V78" s="17" t="str">
        <x:v>NO</x:v>
      </x:c>
      <x:c r="W78" s="17" t="str">
        <x:v>按原子提交回退；迁移仅向前修复</x:v>
      </x:c>
      <x:c r="X78" s="17"/>
      <x:c r="Y78" s="17"/>
    </x:row>
    <x:row r="79" ht="23" customHeight="1">
      <x:c r="A79" s="17" t="str">
        <x:v>M3-P079</x:v>
      </x:c>
      <x:c r="B79" s="17" t="n">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x:c r="Q79" s="17" t="str">
        <x:v>codex/m3-m3-p079</x:v>
      </x:c>
      <x:c r="R79" s="17"/>
      <x:c r="S79" s="17"/>
      <x:c r="T79" s="17"/>
      <x:c r="U79" s="17"/>
      <x:c r="V79" s="17" t="str">
        <x:v>NO</x:v>
      </x:c>
      <x:c r="W79" s="17" t="str">
        <x:v>按原子提交回退；迁移仅向前修复</x:v>
      </x:c>
      <x:c r="X79" s="17"/>
      <x:c r="Y79" s="17"/>
    </x:row>
    <x:row r="80" ht="23" customHeight="1">
      <x:c r="A80" s="17" t="str">
        <x:v>M3-P080</x:v>
      </x:c>
      <x:c r="B80" s="17" t="n">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x:c r="Q80" s="17" t="str">
        <x:v>codex/m3-m3-p080</x:v>
      </x:c>
      <x:c r="R80" s="17"/>
      <x:c r="S80" s="17"/>
      <x:c r="T80" s="17"/>
      <x:c r="U80" s="17"/>
      <x:c r="V80" s="17" t="str">
        <x:v>NO</x:v>
      </x:c>
      <x:c r="W80" s="17" t="str">
        <x:v>按原子提交回退；迁移仅向前修复</x:v>
      </x:c>
      <x:c r="X80" s="17"/>
      <x:c r="Y80" s="17"/>
    </x:row>
    <x:row r="81" ht="23" customHeight="1">
      <x:c r="A81" s="17" t="str">
        <x:v>M3-P081</x:v>
      </x:c>
      <x:c r="B81" s="17" t="n">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x:c r="Q81" s="17" t="str">
        <x:v>codex/m3-m3-p081</x:v>
      </x:c>
      <x:c r="R81" s="17"/>
      <x:c r="S81" s="17"/>
      <x:c r="T81" s="17"/>
      <x:c r="U81" s="17"/>
      <x:c r="V81" s="17" t="str">
        <x:v>NO</x:v>
      </x:c>
      <x:c r="W81" s="17" t="str">
        <x:v>按原子提交回退；迁移仅向前修复</x:v>
      </x:c>
      <x:c r="X81" s="17"/>
      <x:c r="Y81" s="17"/>
    </x:row>
    <x:row r="82" ht="23" customHeight="1">
      <x:c r="A82" s="17" t="str">
        <x:v>M3-P083</x:v>
      </x:c>
      <x:c r="B82" s="17" t="n">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x:c r="Q82" s="17" t="str">
        <x:v>codex/m3-m3-p083</x:v>
      </x:c>
      <x:c r="R82" s="17"/>
      <x:c r="S82" s="17"/>
      <x:c r="T82" s="17"/>
      <x:c r="U82" s="17"/>
      <x:c r="V82" s="17" t="str">
        <x:v>YES</x:v>
      </x:c>
      <x:c r="W82" s="17" t="str">
        <x:v>按原子提交回退；迁移仅向前修复</x:v>
      </x:c>
      <x:c r="X82" s="17"/>
      <x:c r="Y82" s="17"/>
    </x:row>
    <x:row r="83" ht="23" customHeight="1">
      <x:c r="A83" s="17" t="str">
        <x:v>M3-P084</x:v>
      </x:c>
      <x:c r="B83" s="17" t="n">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x:c r="Q83" s="17" t="str">
        <x:v>codex/m3-m3-p084</x:v>
      </x:c>
      <x:c r="R83" s="17"/>
      <x:c r="S83" s="17"/>
      <x:c r="T83" s="17"/>
      <x:c r="U83" s="17"/>
      <x:c r="V83" s="17" t="str">
        <x:v>YES</x:v>
      </x:c>
      <x:c r="W83" s="17" t="str">
        <x:v>按原子提交回退；迁移仅向前修复</x:v>
      </x:c>
      <x:c r="X83" s="17"/>
      <x:c r="Y83" s="17"/>
    </x:row>
    <x:row r="84" ht="23" customHeight="1">
      <x:c r="A84" s="17" t="str">
        <x:v>M3-P085</x:v>
      </x:c>
      <x:c r="B84" s="17" t="n">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x:c r="Q84" s="17" t="str">
        <x:v>codex/m3-m3-p085</x:v>
      </x:c>
      <x:c r="R84" s="17"/>
      <x:c r="S84" s="17"/>
      <x:c r="T84" s="17"/>
      <x:c r="U84" s="17"/>
      <x:c r="V84" s="17" t="str">
        <x:v>YES</x:v>
      </x:c>
      <x:c r="W84" s="17" t="str">
        <x:v>按原子提交回退；迁移仅向前修复</x:v>
      </x:c>
      <x:c r="X84" s="17"/>
      <x:c r="Y84" s="17"/>
    </x:row>
    <x:row r="85" ht="23" customHeight="1">
      <x:c r="A85" s="17" t="str">
        <x:v>M3-P086</x:v>
      </x:c>
      <x:c r="B85" s="17" t="n">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x:c r="Q85" s="17" t="str">
        <x:v>codex/m3-m3-p086</x:v>
      </x:c>
      <x:c r="R85" s="17"/>
      <x:c r="S85" s="17"/>
      <x:c r="T85" s="17"/>
      <x:c r="U85" s="17"/>
      <x:c r="V85" s="17" t="str">
        <x:v>YES</x:v>
      </x:c>
      <x:c r="W85" s="17" t="str">
        <x:v>按原子提交回退；迁移仅向前修复</x:v>
      </x:c>
      <x:c r="X85" s="17"/>
      <x:c r="Y85" s="17"/>
    </x:row>
    <x:row r="86" ht="23" customHeight="1">
      <x:c r="A86" s="17" t="str">
        <x:v>M3-P087</x:v>
      </x:c>
      <x:c r="B86" s="17" t="n">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x:c r="Q86" s="17" t="str">
        <x:v>codex/m3-m3-p087</x:v>
      </x:c>
      <x:c r="R86" s="17"/>
      <x:c r="S86" s="17"/>
      <x:c r="T86" s="17"/>
      <x:c r="U86" s="17"/>
      <x:c r="V86" s="17" t="str">
        <x:v>YES</x:v>
      </x:c>
      <x:c r="W86" s="17" t="str">
        <x:v>按原子提交回退；迁移仅向前修复</x:v>
      </x:c>
      <x:c r="X86" s="17"/>
      <x:c r="Y86" s="17"/>
    </x:row>
    <x:row r="87" ht="23" customHeight="1">
      <x:c r="A87" s="17" t="str">
        <x:v>M3-P088</x:v>
      </x:c>
      <x:c r="B87" s="17" t="n">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x:c r="Q87" s="17" t="str">
        <x:v>codex/m3-m3-p088</x:v>
      </x:c>
      <x:c r="R87" s="17"/>
      <x:c r="S87" s="17"/>
      <x:c r="T87" s="17"/>
      <x:c r="U87" s="17"/>
      <x:c r="V87" s="17" t="str">
        <x:v>YES</x:v>
      </x:c>
      <x:c r="W87" s="17" t="str">
        <x:v>按原子提交回退；迁移仅向前修复</x:v>
      </x:c>
      <x:c r="X87" s="17"/>
      <x:c r="Y87" s="17"/>
    </x:row>
    <x:row r="88" ht="23" customHeight="1">
      <x:c r="A88" s="17" t="str">
        <x:v>M3-P089</x:v>
      </x:c>
      <x:c r="B88" s="17" t="n">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x:c r="Q88" s="17" t="str">
        <x:v>codex/m3-m3-p089</x:v>
      </x:c>
      <x:c r="R88" s="17"/>
      <x:c r="S88" s="17"/>
      <x:c r="T88" s="17"/>
      <x:c r="U88" s="17"/>
      <x:c r="V88" s="17" t="str">
        <x:v>YES</x:v>
      </x:c>
      <x:c r="W88" s="17" t="str">
        <x:v>按原子提交回退；迁移仅向前修复</x:v>
      </x:c>
      <x:c r="X88" s="17"/>
      <x:c r="Y88" s="17"/>
    </x:row>
    <x:row r="89" ht="23" customHeight="1">
      <x:c r="A89" s="17" t="str">
        <x:v>M3-P090</x:v>
      </x:c>
      <x:c r="B89" s="17" t="n">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x:c r="Q89" s="17" t="str">
        <x:v>codex/m3-m3-p090</x:v>
      </x:c>
      <x:c r="R89" s="17"/>
      <x:c r="S89" s="17"/>
      <x:c r="T89" s="17"/>
      <x:c r="U89" s="17"/>
      <x:c r="V89" s="17" t="str">
        <x:v>YES</x:v>
      </x:c>
      <x:c r="W89" s="17" t="str">
        <x:v>按原子提交回退；迁移仅向前修复</x:v>
      </x:c>
      <x:c r="X89" s="17"/>
      <x:c r="Y89" s="17"/>
    </x:row>
    <x:row r="90" ht="23" customHeight="1">
      <x:c r="A90" s="17" t="str">
        <x:v>M3-P091</x:v>
      </x:c>
      <x:c r="B90" s="17" t="n">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x:c r="Q90" s="17" t="str">
        <x:v>codex/m3-m3-p091</x:v>
      </x:c>
      <x:c r="R90" s="17"/>
      <x:c r="S90" s="17"/>
      <x:c r="T90" s="17"/>
      <x:c r="U90" s="17"/>
      <x:c r="V90" s="17" t="str">
        <x:v>YES</x:v>
      </x:c>
      <x:c r="W90" s="17" t="str">
        <x:v>按原子提交回退；迁移仅向前修复</x:v>
      </x:c>
      <x:c r="X90" s="17"/>
      <x:c r="Y90" s="17"/>
    </x:row>
    <x:row r="91" ht="23" customHeight="1">
      <x:c r="A91" s="17" t="str">
        <x:v>M3-P092</x:v>
      </x:c>
      <x:c r="B91" s="17" t="n">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x:c r="Q91" s="17" t="str">
        <x:v>codex/m3-m3-p092</x:v>
      </x:c>
      <x:c r="R91" s="17"/>
      <x:c r="S91" s="17"/>
      <x:c r="T91" s="17"/>
      <x:c r="U91" s="17"/>
      <x:c r="V91" s="17" t="str">
        <x:v>YES</x:v>
      </x:c>
      <x:c r="W91" s="17" t="str">
        <x:v>按原子提交回退；迁移仅向前修复</x:v>
      </x:c>
      <x:c r="X91" s="17"/>
      <x:c r="Y91" s="17"/>
    </x:row>
    <x:row r="92" ht="23" customHeight="1">
      <x:c r="A92" s="17" t="str">
        <x:v>M3-P093</x:v>
      </x:c>
      <x:c r="B92" s="17" t="n">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x:c r="Q92" s="17" t="str">
        <x:v>codex/m3-m3-p093</x:v>
      </x:c>
      <x:c r="R92" s="17"/>
      <x:c r="S92" s="17"/>
      <x:c r="T92" s="17"/>
      <x:c r="U92" s="17"/>
      <x:c r="V92" s="17" t="str">
        <x:v>YES</x:v>
      </x:c>
      <x:c r="W92" s="17" t="str">
        <x:v>按原子提交回退；迁移仅向前修复</x:v>
      </x:c>
      <x:c r="X92" s="17"/>
      <x:c r="Y92" s="17"/>
    </x:row>
    <x:row r="93" ht="23" customHeight="1">
      <x:c r="A93" s="17" t="str">
        <x:v>M3-P094</x:v>
      </x:c>
      <x:c r="B93" s="17" t="n">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x:c r="Q93" s="17" t="str">
        <x:v>codex/m3-m3-p094</x:v>
      </x:c>
      <x:c r="R93" s="17"/>
      <x:c r="S93" s="17"/>
      <x:c r="T93" s="17"/>
      <x:c r="U93" s="17"/>
      <x:c r="V93" s="17" t="str">
        <x:v>YES</x:v>
      </x:c>
      <x:c r="W93" s="17" t="str">
        <x:v>按原子提交回退；迁移仅向前修复</x:v>
      </x:c>
      <x:c r="X93" s="17"/>
      <x:c r="Y93" s="17"/>
    </x:row>
    <x:row r="94" ht="23" customHeight="1">
      <x:c r="A94" s="17" t="str">
        <x:v>M3-P096</x:v>
      </x:c>
      <x:c r="B94" s="17" t="n">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x:c r="Q94" s="17" t="str">
        <x:v>codex/m3-m3-p096</x:v>
      </x:c>
      <x:c r="R94" s="17"/>
      <x:c r="S94" s="17"/>
      <x:c r="T94" s="17"/>
      <x:c r="U94" s="17"/>
      <x:c r="V94" s="17" t="str">
        <x:v>YES</x:v>
      </x:c>
      <x:c r="W94" s="17" t="str">
        <x:v>按原子提交回退；迁移仅向前修复</x:v>
      </x:c>
      <x:c r="X94" s="17"/>
      <x:c r="Y94" s="17"/>
    </x:row>
    <x:row r="95" ht="23" customHeight="1">
      <x:c r="A95" s="17" t="str">
        <x:v>M3-P097</x:v>
      </x:c>
      <x:c r="B95" s="17" t="n">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x:c r="Q95" s="17" t="str">
        <x:v>codex/m3-m3-p097</x:v>
      </x:c>
      <x:c r="R95" s="17"/>
      <x:c r="S95" s="17"/>
      <x:c r="T95" s="17"/>
      <x:c r="U95" s="17"/>
      <x:c r="V95" s="17" t="str">
        <x:v>YES</x:v>
      </x:c>
      <x:c r="W95" s="17" t="str">
        <x:v>按原子提交回退；迁移仅向前修复</x:v>
      </x:c>
      <x:c r="X95" s="17"/>
      <x:c r="Y95" s="17"/>
    </x:row>
    <x:row r="96" ht="23" customHeight="1">
      <x:c r="A96" s="17" t="str">
        <x:v>M3-P098</x:v>
      </x:c>
      <x:c r="B96" s="17" t="n">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x:c r="Q96" s="17" t="str">
        <x:v>codex/m3-m3-p098</x:v>
      </x:c>
      <x:c r="R96" s="17"/>
      <x:c r="S96" s="17"/>
      <x:c r="T96" s="17"/>
      <x:c r="U96" s="17"/>
      <x:c r="V96" s="17" t="str">
        <x:v>YES</x:v>
      </x:c>
      <x:c r="W96" s="17" t="str">
        <x:v>按原子提交回退；迁移仅向前修复</x:v>
      </x:c>
      <x:c r="X96" s="17"/>
      <x:c r="Y96" s="17"/>
    </x:row>
    <x:row r="97" ht="23" customHeight="1">
      <x:c r="A97" s="17" t="str">
        <x:v>M3-GATE</x:v>
      </x:c>
      <x:c r="B97" s="17" t="n">
        <x:v>96</x:v>
      </x:c>
      <x:c r="C97" s="17" t="str">
        <x:v>M3</x:v>
      </x:c>
      <x:c r="D97" s="17" t="str">
        <x:v>STAGE_GATE</x:v>
      </x:c>
      <x:c r="E97" s="17" t="str">
        <x:v>P0</x:v>
      </x:c>
      <x:c r="F97" s="17" t="str">
        <x:v>M3阶段门禁验收</x:v>
      </x:c>
      <x:c r="G97" s="17" t="str">
        <x:v>执行包§02</x:v>
      </x:c>
      <x:c r="H97" s="17"/>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x:c r="Q97" s="17" t="str">
        <x:v>codex/m3-m3</x:v>
      </x:c>
      <x:c r="R97" s="17"/>
      <x:c r="S97" s="17"/>
      <x:c r="T97" s="17"/>
      <x:c r="U97" s="17"/>
      <x:c r="V97" s="17" t="str">
        <x:v>YES</x:v>
      </x:c>
      <x:c r="W97" s="17" t="str">
        <x:v>按原子提交回退；迁移仅向前修复</x:v>
      </x:c>
      <x:c r="X97" s="17"/>
      <x:c r="Y97" s="17"/>
    </x:row>
    <x:row r="98" ht="23" customHeight="1">
      <x:c r="A98" s="17" t="str">
        <x:v>M4-000</x:v>
      </x:c>
      <x:c r="B98" s="17" t="n">
        <x:v>97</x:v>
      </x:c>
      <x:c r="C98" s="17" t="str">
        <x:v>M4</x:v>
      </x:c>
      <x:c r="D98" s="17" t="str">
        <x:v>CONTRACT_SLICE_PLAN</x:v>
      </x:c>
      <x:c r="E98" s="17" t="str">
        <x:v>P0</x:v>
      </x:c>
      <x:c r="F98" s="17" t="str">
        <x:v>冻结M4字段、状态机、权限与契约切片</x:v>
      </x:c>
      <x:c r="G98" s="17" t="str">
        <x:v>执行包字段/状态机/权限/API台账</x:v>
      </x:c>
      <x:c r="H98" s="17"/>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x:c r="Q98" s="17" t="str">
        <x:v>codex/m4-m4</x:v>
      </x:c>
      <x:c r="R98" s="17"/>
      <x:c r="S98" s="17"/>
      <x:c r="T98" s="17"/>
      <x:c r="U98" s="17"/>
      <x:c r="V98" s="17" t="str">
        <x:v>NO</x:v>
      </x:c>
      <x:c r="W98" s="17" t="str">
        <x:v>按原子提交回退；迁移仅向前修复</x:v>
      </x:c>
      <x:c r="X98" s="17"/>
      <x:c r="Y98" s="17"/>
    </x:row>
    <x:row r="99" ht="23" customHeight="1">
      <x:c r="A99" s="17" t="str">
        <x:v>M4-P032</x:v>
      </x:c>
      <x:c r="B99" s="17" t="n">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x:c r="Q99" s="17" t="str">
        <x:v>codex/m4-m4-p032</x:v>
      </x:c>
      <x:c r="R99" s="17"/>
      <x:c r="S99" s="17"/>
      <x:c r="T99" s="17"/>
      <x:c r="U99" s="17"/>
      <x:c r="V99" s="17" t="str">
        <x:v>NO</x:v>
      </x:c>
      <x:c r="W99" s="17" t="str">
        <x:v>按原子提交回退；迁移仅向前修复</x:v>
      </x:c>
      <x:c r="X99" s="17"/>
      <x:c r="Y99" s="17"/>
    </x:row>
    <x:row r="100" ht="23" customHeight="1">
      <x:c r="A100" s="17" t="str">
        <x:v>M4-P033</x:v>
      </x:c>
      <x:c r="B100" s="17" t="n">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x:c r="Q100" s="17" t="str">
        <x:v>codex/m4-m4-p033</x:v>
      </x:c>
      <x:c r="R100" s="17"/>
      <x:c r="S100" s="17"/>
      <x:c r="T100" s="17"/>
      <x:c r="U100" s="17"/>
      <x:c r="V100" s="17" t="str">
        <x:v>NO</x:v>
      </x:c>
      <x:c r="W100" s="17" t="str">
        <x:v>按原子提交回退；迁移仅向前修复</x:v>
      </x:c>
      <x:c r="X100" s="17"/>
      <x:c r="Y100" s="17"/>
    </x:row>
    <x:row r="101" ht="23" customHeight="1">
      <x:c r="A101" s="17" t="str">
        <x:v>M4-P034</x:v>
      </x:c>
      <x:c r="B101" s="17" t="n">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x:c r="Q101" s="17" t="str">
        <x:v>codex/m4-m4-p034</x:v>
      </x:c>
      <x:c r="R101" s="17"/>
      <x:c r="S101" s="17"/>
      <x:c r="T101" s="17"/>
      <x:c r="U101" s="17"/>
      <x:c r="V101" s="17" t="str">
        <x:v>NO</x:v>
      </x:c>
      <x:c r="W101" s="17" t="str">
        <x:v>按原子提交回退；迁移仅向前修复</x:v>
      </x:c>
      <x:c r="X101" s="17"/>
      <x:c r="Y101" s="17"/>
    </x:row>
    <x:row r="102" ht="23" customHeight="1">
      <x:c r="A102" s="17" t="str">
        <x:v>M4-P035</x:v>
      </x:c>
      <x:c r="B102" s="17" t="n">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x:c r="Q102" s="17" t="str">
        <x:v>codex/m4-m4-p035</x:v>
      </x:c>
      <x:c r="R102" s="17"/>
      <x:c r="S102" s="17"/>
      <x:c r="T102" s="17"/>
      <x:c r="U102" s="17"/>
      <x:c r="V102" s="17" t="str">
        <x:v>NO</x:v>
      </x:c>
      <x:c r="W102" s="17" t="str">
        <x:v>按原子提交回退；迁移仅向前修复</x:v>
      </x:c>
      <x:c r="X102" s="17"/>
      <x:c r="Y102" s="17"/>
    </x:row>
    <x:row r="103" ht="23" customHeight="1">
      <x:c r="A103" s="17" t="str">
        <x:v>M4-P036</x:v>
      </x:c>
      <x:c r="B103" s="17" t="n">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x:c r="Q103" s="17" t="str">
        <x:v>codex/m4-m4-p036</x:v>
      </x:c>
      <x:c r="R103" s="17"/>
      <x:c r="S103" s="17"/>
      <x:c r="T103" s="17"/>
      <x:c r="U103" s="17"/>
      <x:c r="V103" s="17" t="str">
        <x:v>NO</x:v>
      </x:c>
      <x:c r="W103" s="17" t="str">
        <x:v>按原子提交回退；迁移仅向前修复</x:v>
      </x:c>
      <x:c r="X103" s="17"/>
      <x:c r="Y103" s="17"/>
    </x:row>
    <x:row r="104" ht="23" customHeight="1">
      <x:c r="A104" s="17" t="str">
        <x:v>M4-P037</x:v>
      </x:c>
      <x:c r="B104" s="17" t="n">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x:c r="Q104" s="17" t="str">
        <x:v>codex/m4-m4-p037</x:v>
      </x:c>
      <x:c r="R104" s="17"/>
      <x:c r="S104" s="17"/>
      <x:c r="T104" s="17"/>
      <x:c r="U104" s="17"/>
      <x:c r="V104" s="17" t="str">
        <x:v>NO</x:v>
      </x:c>
      <x:c r="W104" s="17" t="str">
        <x:v>按原子提交回退；迁移仅向前修复</x:v>
      </x:c>
      <x:c r="X104" s="17"/>
      <x:c r="Y104" s="17"/>
    </x:row>
    <x:row r="105" ht="23" customHeight="1">
      <x:c r="A105" s="17" t="str">
        <x:v>M4-P064</x:v>
      </x:c>
      <x:c r="B105" s="17" t="n">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x:c r="Q105" s="17" t="str">
        <x:v>codex/m4-m4-p064</x:v>
      </x:c>
      <x:c r="R105" s="17"/>
      <x:c r="S105" s="17"/>
      <x:c r="T105" s="17"/>
      <x:c r="U105" s="17"/>
      <x:c r="V105" s="17" t="str">
        <x:v>YES</x:v>
      </x:c>
      <x:c r="W105" s="17" t="str">
        <x:v>按原子提交回退；迁移仅向前修复</x:v>
      </x:c>
      <x:c r="X105" s="17"/>
      <x:c r="Y105" s="17"/>
    </x:row>
    <x:row r="106" ht="23" customHeight="1">
      <x:c r="A106" s="17" t="str">
        <x:v>M4-P095</x:v>
      </x:c>
      <x:c r="B106" s="17" t="n">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x:c r="Q106" s="17" t="str">
        <x:v>codex/m4-m4-p095</x:v>
      </x:c>
      <x:c r="R106" s="17"/>
      <x:c r="S106" s="17"/>
      <x:c r="T106" s="17"/>
      <x:c r="U106" s="17"/>
      <x:c r="V106" s="17" t="str">
        <x:v>YES</x:v>
      </x:c>
      <x:c r="W106" s="17" t="str">
        <x:v>按原子提交回退；迁移仅向前修复</x:v>
      </x:c>
      <x:c r="X106" s="17"/>
      <x:c r="Y106" s="17"/>
    </x:row>
    <x:row r="107" ht="23" customHeight="1">
      <x:c r="A107" s="17" t="str">
        <x:v>M4-P099</x:v>
      </x:c>
      <x:c r="B107" s="17" t="n">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x:c r="Q107" s="17" t="str">
        <x:v>codex/m4-m4-p099</x:v>
      </x:c>
      <x:c r="R107" s="17"/>
      <x:c r="S107" s="17"/>
      <x:c r="T107" s="17"/>
      <x:c r="U107" s="17"/>
      <x:c r="V107" s="17" t="str">
        <x:v>NO</x:v>
      </x:c>
      <x:c r="W107" s="17" t="str">
        <x:v>按原子提交回退；迁移仅向前修复</x:v>
      </x:c>
      <x:c r="X107" s="17"/>
      <x:c r="Y107" s="17"/>
    </x:row>
    <x:row r="108" ht="23" customHeight="1">
      <x:c r="A108" s="17" t="str">
        <x:v>M4-P100</x:v>
      </x:c>
      <x:c r="B108" s="17" t="n">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x:c r="Q108" s="17" t="str">
        <x:v>codex/m4-m4-p100</x:v>
      </x:c>
      <x:c r="R108" s="17"/>
      <x:c r="S108" s="17"/>
      <x:c r="T108" s="17"/>
      <x:c r="U108" s="17"/>
      <x:c r="V108" s="17" t="str">
        <x:v>YES</x:v>
      </x:c>
      <x:c r="W108" s="17" t="str">
        <x:v>按原子提交回退；迁移仅向前修复</x:v>
      </x:c>
      <x:c r="X108" s="17"/>
      <x:c r="Y108" s="17"/>
    </x:row>
    <x:row r="109" ht="23" customHeight="1">
      <x:c r="A109" s="17" t="str">
        <x:v>M4-P101</x:v>
      </x:c>
      <x:c r="B109" s="17" t="n">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x:c r="Q109" s="17" t="str">
        <x:v>codex/m4-m4-p101</x:v>
      </x:c>
      <x:c r="R109" s="17"/>
      <x:c r="S109" s="17"/>
      <x:c r="T109" s="17"/>
      <x:c r="U109" s="17"/>
      <x:c r="V109" s="17" t="str">
        <x:v>YES</x:v>
      </x:c>
      <x:c r="W109" s="17" t="str">
        <x:v>按原子提交回退；迁移仅向前修复</x:v>
      </x:c>
      <x:c r="X109" s="17"/>
      <x:c r="Y109" s="17"/>
    </x:row>
    <x:row r="110" ht="23" customHeight="1">
      <x:c r="A110" s="17" t="str">
        <x:v>M4-P102</x:v>
      </x:c>
      <x:c r="B110" s="17" t="n">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x:c r="Q110" s="17" t="str">
        <x:v>codex/m4-m4-p102</x:v>
      </x:c>
      <x:c r="R110" s="17"/>
      <x:c r="S110" s="17"/>
      <x:c r="T110" s="17"/>
      <x:c r="U110" s="17"/>
      <x:c r="V110" s="17" t="str">
        <x:v>YES</x:v>
      </x:c>
      <x:c r="W110" s="17" t="str">
        <x:v>按原子提交回退；迁移仅向前修复</x:v>
      </x:c>
      <x:c r="X110" s="17"/>
      <x:c r="Y110" s="17"/>
    </x:row>
    <x:row r="111" ht="23" customHeight="1">
      <x:c r="A111" s="17" t="str">
        <x:v>M4-P103</x:v>
      </x:c>
      <x:c r="B111" s="17" t="n">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x:c r="Q111" s="17" t="str">
        <x:v>codex/m4-m4-p103</x:v>
      </x:c>
      <x:c r="R111" s="17"/>
      <x:c r="S111" s="17"/>
      <x:c r="T111" s="17"/>
      <x:c r="U111" s="17"/>
      <x:c r="V111" s="17" t="str">
        <x:v>YES</x:v>
      </x:c>
      <x:c r="W111" s="17" t="str">
        <x:v>按原子提交回退；迁移仅向前修复</x:v>
      </x:c>
      <x:c r="X111" s="17"/>
      <x:c r="Y111" s="17"/>
    </x:row>
    <x:row r="112" ht="23" customHeight="1">
      <x:c r="A112" s="17" t="str">
        <x:v>M4-P104</x:v>
      </x:c>
      <x:c r="B112" s="17" t="n">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x:c r="Q112" s="17" t="str">
        <x:v>codex/m4-m4-p104</x:v>
      </x:c>
      <x:c r="R112" s="17"/>
      <x:c r="S112" s="17"/>
      <x:c r="T112" s="17"/>
      <x:c r="U112" s="17"/>
      <x:c r="V112" s="17" t="str">
        <x:v>YES</x:v>
      </x:c>
      <x:c r="W112" s="17" t="str">
        <x:v>按原子提交回退；迁移仅向前修复</x:v>
      </x:c>
      <x:c r="X112" s="17"/>
      <x:c r="Y112" s="17"/>
    </x:row>
    <x:row r="113" ht="23" customHeight="1">
      <x:c r="A113" s="17" t="str">
        <x:v>M4-P105</x:v>
      </x:c>
      <x:c r="B113" s="17" t="n">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x:c r="Q113" s="17" t="str">
        <x:v>codex/m4-m4-p105</x:v>
      </x:c>
      <x:c r="R113" s="17"/>
      <x:c r="S113" s="17"/>
      <x:c r="T113" s="17"/>
      <x:c r="U113" s="17"/>
      <x:c r="V113" s="17" t="str">
        <x:v>YES</x:v>
      </x:c>
      <x:c r="W113" s="17" t="str">
        <x:v>按原子提交回退；迁移仅向前修复</x:v>
      </x:c>
      <x:c r="X113" s="17"/>
      <x:c r="Y113" s="17"/>
    </x:row>
    <x:row r="114" ht="23" customHeight="1">
      <x:c r="A114" s="17" t="str">
        <x:v>M4-P106</x:v>
      </x:c>
      <x:c r="B114" s="17" t="n">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x:c r="Q114" s="17" t="str">
        <x:v>codex/m4-m4-p106</x:v>
      </x:c>
      <x:c r="R114" s="17"/>
      <x:c r="S114" s="17"/>
      <x:c r="T114" s="17"/>
      <x:c r="U114" s="17"/>
      <x:c r="V114" s="17" t="str">
        <x:v>YES</x:v>
      </x:c>
      <x:c r="W114" s="17" t="str">
        <x:v>按原子提交回退；迁移仅向前修复</x:v>
      </x:c>
      <x:c r="X114" s="17"/>
      <x:c r="Y114" s="17"/>
    </x:row>
    <x:row r="115" ht="23" customHeight="1">
      <x:c r="A115" s="17" t="str">
        <x:v>M4-P107</x:v>
      </x:c>
      <x:c r="B115" s="17" t="n">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x:c r="Q115" s="17" t="str">
        <x:v>codex/m4-m4-p107</x:v>
      </x:c>
      <x:c r="R115" s="17"/>
      <x:c r="S115" s="17"/>
      <x:c r="T115" s="17"/>
      <x:c r="U115" s="17"/>
      <x:c r="V115" s="17" t="str">
        <x:v>YES</x:v>
      </x:c>
      <x:c r="W115" s="17" t="str">
        <x:v>按原子提交回退；迁移仅向前修复</x:v>
      </x:c>
      <x:c r="X115" s="17"/>
      <x:c r="Y115" s="17"/>
    </x:row>
    <x:row r="116" ht="23" customHeight="1">
      <x:c r="A116" s="17" t="str">
        <x:v>M4-P108</x:v>
      </x:c>
      <x:c r="B116" s="17" t="n">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x:c r="Q116" s="17" t="str">
        <x:v>codex/m4-m4-p108</x:v>
      </x:c>
      <x:c r="R116" s="17"/>
      <x:c r="S116" s="17"/>
      <x:c r="T116" s="17"/>
      <x:c r="U116" s="17"/>
      <x:c r="V116" s="17" t="str">
        <x:v>YES</x:v>
      </x:c>
      <x:c r="W116" s="17" t="str">
        <x:v>按原子提交回退；迁移仅向前修复</x:v>
      </x:c>
      <x:c r="X116" s="17"/>
      <x:c r="Y116" s="17"/>
    </x:row>
    <x:row r="117" ht="23" customHeight="1">
      <x:c r="A117" s="17" t="str">
        <x:v>M4-P109</x:v>
      </x:c>
      <x:c r="B117" s="17" t="n">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x:c r="Q117" s="17" t="str">
        <x:v>codex/m4-m4-p109</x:v>
      </x:c>
      <x:c r="R117" s="17"/>
      <x:c r="S117" s="17"/>
      <x:c r="T117" s="17"/>
      <x:c r="U117" s="17"/>
      <x:c r="V117" s="17" t="str">
        <x:v>YES</x:v>
      </x:c>
      <x:c r="W117" s="17" t="str">
        <x:v>按原子提交回退；迁移仅向前修复</x:v>
      </x:c>
      <x:c r="X117" s="17"/>
      <x:c r="Y117" s="17"/>
    </x:row>
    <x:row r="118" ht="23" customHeight="1">
      <x:c r="A118" s="17" t="str">
        <x:v>M4-P110</x:v>
      </x:c>
      <x:c r="B118" s="17" t="n">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x:c r="Q118" s="17" t="str">
        <x:v>codex/m4-m4-p110</x:v>
      </x:c>
      <x:c r="R118" s="17"/>
      <x:c r="S118" s="17"/>
      <x:c r="T118" s="17"/>
      <x:c r="U118" s="17"/>
      <x:c r="V118" s="17" t="str">
        <x:v>YES</x:v>
      </x:c>
      <x:c r="W118" s="17" t="str">
        <x:v>按原子提交回退；迁移仅向前修复</x:v>
      </x:c>
      <x:c r="X118" s="17"/>
      <x:c r="Y118" s="17"/>
    </x:row>
    <x:row r="119" ht="23" customHeight="1">
      <x:c r="A119" s="17" t="str">
        <x:v>M4-P111</x:v>
      </x:c>
      <x:c r="B119" s="17" t="n">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x:c r="Q119" s="17" t="str">
        <x:v>codex/m4-m4-p111</x:v>
      </x:c>
      <x:c r="R119" s="17"/>
      <x:c r="S119" s="17"/>
      <x:c r="T119" s="17"/>
      <x:c r="U119" s="17"/>
      <x:c r="V119" s="17" t="str">
        <x:v>YES</x:v>
      </x:c>
      <x:c r="W119" s="17" t="str">
        <x:v>按原子提交回退；迁移仅向前修复</x:v>
      </x:c>
      <x:c r="X119" s="17"/>
      <x:c r="Y119" s="17"/>
    </x:row>
    <x:row r="120" ht="23" customHeight="1">
      <x:c r="A120" s="17" t="str">
        <x:v>M4-P112</x:v>
      </x:c>
      <x:c r="B120" s="17" t="n">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x:c r="Q120" s="17" t="str">
        <x:v>codex/m4-m4-p112</x:v>
      </x:c>
      <x:c r="R120" s="17"/>
      <x:c r="S120" s="17"/>
      <x:c r="T120" s="17"/>
      <x:c r="U120" s="17"/>
      <x:c r="V120" s="17" t="str">
        <x:v>YES</x:v>
      </x:c>
      <x:c r="W120" s="17" t="str">
        <x:v>按原子提交回退；迁移仅向前修复</x:v>
      </x:c>
      <x:c r="X120" s="17"/>
      <x:c r="Y120" s="17"/>
    </x:row>
    <x:row r="121" ht="23" customHeight="1">
      <x:c r="A121" s="17" t="str">
        <x:v>M4-P113</x:v>
      </x:c>
      <x:c r="B121" s="17" t="n">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x:c r="Q121" s="17" t="str">
        <x:v>codex/m4-m4-p113</x:v>
      </x:c>
      <x:c r="R121" s="17"/>
      <x:c r="S121" s="17"/>
      <x:c r="T121" s="17"/>
      <x:c r="U121" s="17"/>
      <x:c r="V121" s="17" t="str">
        <x:v>YES</x:v>
      </x:c>
      <x:c r="W121" s="17" t="str">
        <x:v>按原子提交回退；迁移仅向前修复</x:v>
      </x:c>
      <x:c r="X121" s="17"/>
      <x:c r="Y121" s="17"/>
    </x:row>
    <x:row r="122" ht="23" customHeight="1">
      <x:c r="A122" s="17" t="str">
        <x:v>M4-P114</x:v>
      </x:c>
      <x:c r="B122" s="17" t="n">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x:c r="Q122" s="17" t="str">
        <x:v>codex/m4-m4-p114</x:v>
      </x:c>
      <x:c r="R122" s="17"/>
      <x:c r="S122" s="17"/>
      <x:c r="T122" s="17"/>
      <x:c r="U122" s="17"/>
      <x:c r="V122" s="17" t="str">
        <x:v>YES</x:v>
      </x:c>
      <x:c r="W122" s="17" t="str">
        <x:v>按原子提交回退；迁移仅向前修复</x:v>
      </x:c>
      <x:c r="X122" s="17"/>
      <x:c r="Y122" s="17"/>
    </x:row>
    <x:row r="123" ht="23" customHeight="1">
      <x:c r="A123" s="17" t="str">
        <x:v>M4-P115</x:v>
      </x:c>
      <x:c r="B123" s="17" t="n">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x:c r="Q123" s="17" t="str">
        <x:v>codex/m4-m4-p115</x:v>
      </x:c>
      <x:c r="R123" s="17"/>
      <x:c r="S123" s="17"/>
      <x:c r="T123" s="17"/>
      <x:c r="U123" s="17"/>
      <x:c r="V123" s="17" t="str">
        <x:v>NO</x:v>
      </x:c>
      <x:c r="W123" s="17" t="str">
        <x:v>按原子提交回退；迁移仅向前修复</x:v>
      </x:c>
      <x:c r="X123" s="17"/>
      <x:c r="Y123" s="17"/>
    </x:row>
    <x:row r="124" ht="23" customHeight="1">
      <x:c r="A124" s="17" t="str">
        <x:v>M4-P116</x:v>
      </x:c>
      <x:c r="B124" s="17" t="n">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x:c r="Q124" s="17" t="str">
        <x:v>codex/m4-m4-p116</x:v>
      </x:c>
      <x:c r="R124" s="17"/>
      <x:c r="S124" s="17"/>
      <x:c r="T124" s="17"/>
      <x:c r="U124" s="17"/>
      <x:c r="V124" s="17" t="str">
        <x:v>NO</x:v>
      </x:c>
      <x:c r="W124" s="17" t="str">
        <x:v>按原子提交回退；迁移仅向前修复</x:v>
      </x:c>
      <x:c r="X124" s="17"/>
      <x:c r="Y124" s="17"/>
    </x:row>
    <x:row r="125" ht="23" customHeight="1">
      <x:c r="A125" s="17" t="str">
        <x:v>M4-P117</x:v>
      </x:c>
      <x:c r="B125" s="17" t="n">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x:c r="Q125" s="17" t="str">
        <x:v>codex/m4-m4-p117</x:v>
      </x:c>
      <x:c r="R125" s="17"/>
      <x:c r="S125" s="17"/>
      <x:c r="T125" s="17"/>
      <x:c r="U125" s="17"/>
      <x:c r="V125" s="17" t="str">
        <x:v>NO</x:v>
      </x:c>
      <x:c r="W125" s="17" t="str">
        <x:v>按原子提交回退；迁移仅向前修复</x:v>
      </x:c>
      <x:c r="X125" s="17"/>
      <x:c r="Y125" s="17"/>
    </x:row>
    <x:row r="126" ht="23" customHeight="1">
      <x:c r="A126" s="17" t="str">
        <x:v>M4-P118</x:v>
      </x:c>
      <x:c r="B126" s="17" t="n">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x:c r="Q126" s="17" t="str">
        <x:v>codex/m4-m4-p118</x:v>
      </x:c>
      <x:c r="R126" s="17"/>
      <x:c r="S126" s="17"/>
      <x:c r="T126" s="17"/>
      <x:c r="U126" s="17"/>
      <x:c r="V126" s="17" t="str">
        <x:v>YES</x:v>
      </x:c>
      <x:c r="W126" s="17" t="str">
        <x:v>按原子提交回退；迁移仅向前修复</x:v>
      </x:c>
      <x:c r="X126" s="17"/>
      <x:c r="Y126" s="17"/>
    </x:row>
    <x:row r="127" ht="23" customHeight="1">
      <x:c r="A127" s="17" t="str">
        <x:v>M4-P119</x:v>
      </x:c>
      <x:c r="B127" s="17" t="n">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x:c r="Q127" s="17" t="str">
        <x:v>codex/m4-m4-p119</x:v>
      </x:c>
      <x:c r="R127" s="17"/>
      <x:c r="S127" s="17"/>
      <x:c r="T127" s="17"/>
      <x:c r="U127" s="17"/>
      <x:c r="V127" s="17" t="str">
        <x:v>YES</x:v>
      </x:c>
      <x:c r="W127" s="17" t="str">
        <x:v>按原子提交回退；迁移仅向前修复</x:v>
      </x:c>
      <x:c r="X127" s="17"/>
      <x:c r="Y127" s="17"/>
    </x:row>
    <x:row r="128" ht="23" customHeight="1">
      <x:c r="A128" s="17" t="str">
        <x:v>M4-GATE</x:v>
      </x:c>
      <x:c r="B128" s="17" t="n">
        <x:v>127</x:v>
      </x:c>
      <x:c r="C128" s="17" t="str">
        <x:v>M4</x:v>
      </x:c>
      <x:c r="D128" s="17" t="str">
        <x:v>STAGE_GATE</x:v>
      </x:c>
      <x:c r="E128" s="17" t="str">
        <x:v>P0</x:v>
      </x:c>
      <x:c r="F128" s="17" t="str">
        <x:v>M4阶段门禁验收</x:v>
      </x:c>
      <x:c r="G128" s="17" t="str">
        <x:v>执行包§02</x:v>
      </x:c>
      <x:c r="H128" s="17"/>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x:c r="Q128" s="17" t="str">
        <x:v>codex/m4-m4</x:v>
      </x:c>
      <x:c r="R128" s="17"/>
      <x:c r="S128" s="17"/>
      <x:c r="T128" s="17"/>
      <x:c r="U128" s="17"/>
      <x:c r="V128" s="17" t="str">
        <x:v>YES</x:v>
      </x:c>
      <x:c r="W128" s="17" t="str">
        <x:v>按原子提交回退；迁移仅向前修复</x:v>
      </x:c>
      <x:c r="X128" s="17"/>
      <x:c r="Y128" s="17"/>
    </x:row>
    <x:row r="129" ht="23" customHeight="1">
      <x:c r="A129" s="17" t="str">
        <x:v>M5-000</x:v>
      </x:c>
      <x:c r="B129" s="17" t="n">
        <x:v>128</x:v>
      </x:c>
      <x:c r="C129" s="17" t="str">
        <x:v>M5</x:v>
      </x:c>
      <x:c r="D129" s="17" t="str">
        <x:v>CONTRACT_SLICE_PLAN</x:v>
      </x:c>
      <x:c r="E129" s="17" t="str">
        <x:v>P0</x:v>
      </x:c>
      <x:c r="F129" s="17" t="str">
        <x:v>冻结M5字段、状态机、权限与契约切片</x:v>
      </x:c>
      <x:c r="G129" s="17" t="str">
        <x:v>执行包字段/状态机/权限/API台账</x:v>
      </x:c>
      <x:c r="H129" s="17"/>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x:c r="Q129" s="17" t="str">
        <x:v>codex/m5-m5</x:v>
      </x:c>
      <x:c r="R129" s="17"/>
      <x:c r="S129" s="17"/>
      <x:c r="T129" s="17"/>
      <x:c r="U129" s="17"/>
      <x:c r="V129" s="17" t="str">
        <x:v>NO</x:v>
      </x:c>
      <x:c r="W129" s="17" t="str">
        <x:v>按原子提交回退；迁移仅向前修复</x:v>
      </x:c>
      <x:c r="X129" s="17"/>
      <x:c r="Y129" s="17"/>
    </x:row>
    <x:row r="130" ht="23" customHeight="1">
      <x:c r="A130" s="17" t="str">
        <x:v>M5-P038</x:v>
      </x:c>
      <x:c r="B130" s="17" t="n">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x:c r="Q130" s="17" t="str">
        <x:v>codex/m5-m5-p038</x:v>
      </x:c>
      <x:c r="R130" s="17"/>
      <x:c r="S130" s="17"/>
      <x:c r="T130" s="17"/>
      <x:c r="U130" s="17"/>
      <x:c r="V130" s="17" t="str">
        <x:v>NO</x:v>
      </x:c>
      <x:c r="W130" s="17" t="str">
        <x:v>按原子提交回退；迁移仅向前修复</x:v>
      </x:c>
      <x:c r="X130" s="17"/>
      <x:c r="Y130" s="17"/>
    </x:row>
    <x:row r="131" ht="23" customHeight="1">
      <x:c r="A131" s="17" t="str">
        <x:v>M5-P039</x:v>
      </x:c>
      <x:c r="B131" s="17" t="n">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x:c r="Q131" s="17" t="str">
        <x:v>codex/m5-m5-p039</x:v>
      </x:c>
      <x:c r="R131" s="17"/>
      <x:c r="S131" s="17"/>
      <x:c r="T131" s="17"/>
      <x:c r="U131" s="17"/>
      <x:c r="V131" s="17" t="str">
        <x:v>NO</x:v>
      </x:c>
      <x:c r="W131" s="17" t="str">
        <x:v>按原子提交回退；迁移仅向前修复</x:v>
      </x:c>
      <x:c r="X131" s="17"/>
      <x:c r="Y131" s="17"/>
    </x:row>
    <x:row r="132" ht="23" customHeight="1">
      <x:c r="A132" s="17" t="str">
        <x:v>M5-P040</x:v>
      </x:c>
      <x:c r="B132" s="17" t="n">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x:c r="Q132" s="17" t="str">
        <x:v>codex/m5-m5-p040</x:v>
      </x:c>
      <x:c r="R132" s="17"/>
      <x:c r="S132" s="17"/>
      <x:c r="T132" s="17"/>
      <x:c r="U132" s="17"/>
      <x:c r="V132" s="17" t="str">
        <x:v>NO</x:v>
      </x:c>
      <x:c r="W132" s="17" t="str">
        <x:v>按原子提交回退；迁移仅向前修复</x:v>
      </x:c>
      <x:c r="X132" s="17"/>
      <x:c r="Y132" s="17"/>
    </x:row>
    <x:row r="133" ht="23" customHeight="1">
      <x:c r="A133" s="17" t="str">
        <x:v>M5-P041</x:v>
      </x:c>
      <x:c r="B133" s="17" t="n">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x:c r="Q133" s="17" t="str">
        <x:v>codex/m5-m5-p041</x:v>
      </x:c>
      <x:c r="R133" s="17"/>
      <x:c r="S133" s="17"/>
      <x:c r="T133" s="17"/>
      <x:c r="U133" s="17"/>
      <x:c r="V133" s="17" t="str">
        <x:v>NO</x:v>
      </x:c>
      <x:c r="W133" s="17" t="str">
        <x:v>按原子提交回退；迁移仅向前修复</x:v>
      </x:c>
      <x:c r="X133" s="17"/>
      <x:c r="Y133" s="17"/>
    </x:row>
    <x:row r="134" ht="23" customHeight="1">
      <x:c r="A134" s="17" t="str">
        <x:v>M5-P042</x:v>
      </x:c>
      <x:c r="B134" s="17" t="n">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x:c r="Q134" s="17" t="str">
        <x:v>codex/m5-m5-p042</x:v>
      </x:c>
      <x:c r="R134" s="17"/>
      <x:c r="S134" s="17"/>
      <x:c r="T134" s="17"/>
      <x:c r="U134" s="17"/>
      <x:c r="V134" s="17" t="str">
        <x:v>YES</x:v>
      </x:c>
      <x:c r="W134" s="17" t="str">
        <x:v>按原子提交回退；迁移仅向前修复</x:v>
      </x:c>
      <x:c r="X134" s="17"/>
      <x:c r="Y134" s="17"/>
    </x:row>
    <x:row r="135" ht="23" customHeight="1">
      <x:c r="A135" s="17" t="str">
        <x:v>M5-P043</x:v>
      </x:c>
      <x:c r="B135" s="17" t="n">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x:c r="Q135" s="17" t="str">
        <x:v>codex/m5-m5-p043</x:v>
      </x:c>
      <x:c r="R135" s="17"/>
      <x:c r="S135" s="17"/>
      <x:c r="T135" s="17"/>
      <x:c r="U135" s="17"/>
      <x:c r="V135" s="17" t="str">
        <x:v>NO</x:v>
      </x:c>
      <x:c r="W135" s="17" t="str">
        <x:v>按原子提交回退；迁移仅向前修复</x:v>
      </x:c>
      <x:c r="X135" s="17"/>
      <x:c r="Y135" s="17"/>
    </x:row>
    <x:row r="136" ht="23" customHeight="1">
      <x:c r="A136" s="17" t="str">
        <x:v>M5-P044</x:v>
      </x:c>
      <x:c r="B136" s="17" t="n">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x:c r="Q136" s="17" t="str">
        <x:v>codex/m5-m5-p044</x:v>
      </x:c>
      <x:c r="R136" s="17"/>
      <x:c r="S136" s="17"/>
      <x:c r="T136" s="17"/>
      <x:c r="U136" s="17"/>
      <x:c r="V136" s="17" t="str">
        <x:v>NO</x:v>
      </x:c>
      <x:c r="W136" s="17" t="str">
        <x:v>按原子提交回退；迁移仅向前修复</x:v>
      </x:c>
      <x:c r="X136" s="17"/>
      <x:c r="Y136" s="17"/>
    </x:row>
    <x:row r="137" ht="23" customHeight="1">
      <x:c r="A137" s="17" t="str">
        <x:v>M5-P060</x:v>
      </x:c>
      <x:c r="B137" s="17" t="n">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x:c r="Q137" s="17" t="str">
        <x:v>codex/m5-m5-p060</x:v>
      </x:c>
      <x:c r="R137" s="17"/>
      <x:c r="S137" s="17"/>
      <x:c r="T137" s="17"/>
      <x:c r="U137" s="17"/>
      <x:c r="V137" s="17" t="str">
        <x:v>NO</x:v>
      </x:c>
      <x:c r="W137" s="17" t="str">
        <x:v>按原子提交回退；迁移仅向前修复</x:v>
      </x:c>
      <x:c r="X137" s="17"/>
      <x:c r="Y137" s="17"/>
    </x:row>
    <x:row r="138" ht="23" customHeight="1">
      <x:c r="A138" s="17" t="str">
        <x:v>M5-P065</x:v>
      </x:c>
      <x:c r="B138" s="17" t="n">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x:c r="Q138" s="17" t="str">
        <x:v>codex/m5-m5-p065</x:v>
      </x:c>
      <x:c r="R138" s="17"/>
      <x:c r="S138" s="17"/>
      <x:c r="T138" s="17"/>
      <x:c r="U138" s="17"/>
      <x:c r="V138" s="17" t="str">
        <x:v>NO</x:v>
      </x:c>
      <x:c r="W138" s="17" t="str">
        <x:v>按原子提交回退；迁移仅向前修复</x:v>
      </x:c>
      <x:c r="X138" s="17"/>
      <x:c r="Y138" s="17"/>
    </x:row>
    <x:row r="139" ht="23" customHeight="1">
      <x:c r="A139" s="17" t="str">
        <x:v>M5-P082</x:v>
      </x:c>
      <x:c r="B139" s="17" t="n">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x:c r="Q139" s="17" t="str">
        <x:v>codex/m5-seo</x:v>
      </x:c>
      <x:c r="R139" s="17"/>
      <x:c r="S139" s="17"/>
      <x:c r="T139" s="17"/>
      <x:c r="U139" s="17"/>
      <x:c r="V139" s="17" t="str">
        <x:v>YES</x:v>
      </x:c>
      <x:c r="W139" s="17" t="str">
        <x:v>按原子提交回退；迁移仅向前修复</x:v>
      </x:c>
      <x:c r="X139" s="17"/>
      <x:c r="Y139" s="17"/>
    </x:row>
    <x:row r="140" ht="23" customHeight="1">
      <x:c r="A140" s="17" t="str">
        <x:v>M5-GATE</x:v>
      </x:c>
      <x:c r="B140" s="17" t="n">
        <x:v>139</x:v>
      </x:c>
      <x:c r="C140" s="17" t="str">
        <x:v>M5</x:v>
      </x:c>
      <x:c r="D140" s="17" t="str">
        <x:v>STAGE_GATE</x:v>
      </x:c>
      <x:c r="E140" s="17" t="str">
        <x:v>P0</x:v>
      </x:c>
      <x:c r="F140" s="17" t="str">
        <x:v>M5阶段门禁验收</x:v>
      </x:c>
      <x:c r="G140" s="17" t="str">
        <x:v>执行包§02</x:v>
      </x:c>
      <x:c r="H140" s="17"/>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x:c r="Q140" s="17" t="str">
        <x:v>codex/m5-m5</x:v>
      </x:c>
      <x:c r="R140" s="17"/>
      <x:c r="S140" s="17"/>
      <x:c r="T140" s="17"/>
      <x:c r="U140" s="17"/>
      <x:c r="V140" s="17" t="str">
        <x:v>YES</x:v>
      </x:c>
      <x:c r="W140" s="17" t="str">
        <x:v>按原子提交回退；迁移仅向前修复</x:v>
      </x:c>
      <x:c r="X140" s="17"/>
      <x:c r="Y140" s="17"/>
    </x:row>
    <x:row r="141" ht="23" customHeight="1">
      <x:c r="A141" s="17" t="str">
        <x:v>M6-000</x:v>
      </x:c>
      <x:c r="B141" s="17" t="n">
        <x:v>140</x:v>
      </x:c>
      <x:c r="C141" s="17" t="str">
        <x:v>M6</x:v>
      </x:c>
      <x:c r="D141" s="17" t="str">
        <x:v>CONTRACT_SLICE_PLAN</x:v>
      </x:c>
      <x:c r="E141" s="17" t="str">
        <x:v>P0</x:v>
      </x:c>
      <x:c r="F141" s="17" t="str">
        <x:v>冻结M6字段、状态机、权限与契约切片</x:v>
      </x:c>
      <x:c r="G141" s="17" t="str">
        <x:v>执行包字段/状态机/权限/API台账</x:v>
      </x:c>
      <x:c r="H141" s="17"/>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x:c r="Q141" s="17" t="str">
        <x:v>codex/m6-m6</x:v>
      </x:c>
      <x:c r="R141" s="17"/>
      <x:c r="S141" s="17"/>
      <x:c r="T141" s="17"/>
      <x:c r="U141" s="17"/>
      <x:c r="V141" s="17" t="str">
        <x:v>NO</x:v>
      </x:c>
      <x:c r="W141" s="17" t="str">
        <x:v>按原子提交回退；迁移仅向前修复</x:v>
      </x:c>
      <x:c r="X141" s="17"/>
      <x:c r="Y141" s="17"/>
    </x:row>
    <x:row r="142" ht="23" customHeight="1">
      <x:c r="A142" s="17" t="str">
        <x:v>M6-P048</x:v>
      </x:c>
      <x:c r="B142" s="17" t="n">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x:c r="Q142" s="17" t="str">
        <x:v>codex/m6-m6-p048</x:v>
      </x:c>
      <x:c r="R142" s="17"/>
      <x:c r="S142" s="17"/>
      <x:c r="T142" s="17"/>
      <x:c r="U142" s="17"/>
      <x:c r="V142" s="17" t="str">
        <x:v>NO</x:v>
      </x:c>
      <x:c r="W142" s="17" t="str">
        <x:v>按原子提交回退；迁移仅向前修复</x:v>
      </x:c>
      <x:c r="X142" s="17"/>
      <x:c r="Y142" s="17"/>
    </x:row>
    <x:row r="143" ht="23" customHeight="1">
      <x:c r="A143" s="17" t="str">
        <x:v>M6-P049</x:v>
      </x:c>
      <x:c r="B143" s="17" t="n">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x:c r="Q143" s="17" t="str">
        <x:v>codex/m6-m6-p049</x:v>
      </x:c>
      <x:c r="R143" s="17"/>
      <x:c r="S143" s="17"/>
      <x:c r="T143" s="17"/>
      <x:c r="U143" s="17"/>
      <x:c r="V143" s="17" t="str">
        <x:v>NO</x:v>
      </x:c>
      <x:c r="W143" s="17" t="str">
        <x:v>按原子提交回退；迁移仅向前修复</x:v>
      </x:c>
      <x:c r="X143" s="17"/>
      <x:c r="Y143" s="17"/>
    </x:row>
    <x:row r="144" ht="23" customHeight="1">
      <x:c r="A144" s="17" t="str">
        <x:v>M6-P050</x:v>
      </x:c>
      <x:c r="B144" s="17" t="n">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x:c r="Q144" s="17" t="str">
        <x:v>codex/m6-m6-p050</x:v>
      </x:c>
      <x:c r="R144" s="17"/>
      <x:c r="S144" s="17"/>
      <x:c r="T144" s="17"/>
      <x:c r="U144" s="17"/>
      <x:c r="V144" s="17" t="str">
        <x:v>NO</x:v>
      </x:c>
      <x:c r="W144" s="17" t="str">
        <x:v>按原子提交回退；迁移仅向前修复</x:v>
      </x:c>
      <x:c r="X144" s="17"/>
      <x:c r="Y144" s="17"/>
    </x:row>
    <x:row r="145" ht="23" customHeight="1">
      <x:c r="A145" s="17" t="str">
        <x:v>M6-900</x:v>
      </x:c>
      <x:c r="B145" s="17" t="n">
        <x:v>144</x:v>
      </x:c>
      <x:c r="C145" s="17" t="str">
        <x:v>M6</x:v>
      </x:c>
      <x:c r="D145" s="17" t="str">
        <x:v>RELEASE_READINESS</x:v>
      </x:c>
      <x:c r="E145" s="17" t="str">
        <x:v>P0</x:v>
      </x:c>
      <x:c r="F145" s="17" t="str">
        <x:v>全量安全与隐私复核</x:v>
      </x:c>
      <x:c r="G145" s="17" t="str">
        <x:v>§14-§17</x:v>
      </x:c>
      <x:c r="H145" s="17"/>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x:c r="Q145" s="17" t="str">
        <x:v>codex/m6-m6-900</x:v>
      </x:c>
      <x:c r="R145" s="17"/>
      <x:c r="S145" s="17"/>
      <x:c r="T145" s="17"/>
      <x:c r="U145" s="17"/>
      <x:c r="V145" s="17" t="str">
        <x:v>YES</x:v>
      </x:c>
      <x:c r="W145" s="17" t="str">
        <x:v>按原子提交回退；迁移仅向前修复</x:v>
      </x:c>
      <x:c r="X145" s="17"/>
      <x:c r="Y145" s="17"/>
    </x:row>
    <x:row r="146" ht="23" customHeight="1">
      <x:c r="A146" s="17" t="str">
        <x:v>M6-901</x:v>
      </x:c>
      <x:c r="B146" s="17" t="n">
        <x:v>145</x:v>
      </x:c>
      <x:c r="C146" s="17" t="str">
        <x:v>M6</x:v>
      </x:c>
      <x:c r="D146" s="17" t="str">
        <x:v>RELEASE_READINESS</x:v>
      </x:c>
      <x:c r="E146" s="17" t="str">
        <x:v>P0</x:v>
      </x:c>
      <x:c r="F146" s="17" t="str">
        <x:v>性能容量与并发压测</x:v>
      </x:c>
      <x:c r="G146" s="17" t="str">
        <x:v>§14-§17</x:v>
      </x:c>
      <x:c r="H146" s="17"/>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x:c r="Q146" s="17" t="str">
        <x:v>codex/m6-m6-901</x:v>
      </x:c>
      <x:c r="R146" s="17"/>
      <x:c r="S146" s="17"/>
      <x:c r="T146" s="17"/>
      <x:c r="U146" s="17"/>
      <x:c r="V146" s="17" t="str">
        <x:v>YES</x:v>
      </x:c>
      <x:c r="W146" s="17" t="str">
        <x:v>按原子提交回退；迁移仅向前修复</x:v>
      </x:c>
      <x:c r="X146" s="17"/>
      <x:c r="Y146" s="17"/>
    </x:row>
    <x:row r="147" ht="23" customHeight="1">
      <x:c r="A147" s="17" t="str">
        <x:v>M6-902</x:v>
      </x:c>
      <x:c r="B147" s="17" t="n">
        <x:v>146</x:v>
      </x:c>
      <x:c r="C147" s="17" t="str">
        <x:v>M6</x:v>
      </x:c>
      <x:c r="D147" s="17" t="str">
        <x:v>RELEASE_READINESS</x:v>
      </x:c>
      <x:c r="E147" s="17" t="str">
        <x:v>P0</x:v>
      </x:c>
      <x:c r="F147" s="17" t="str">
        <x:v>预发布迁移与备份恢复演练</x:v>
      </x:c>
      <x:c r="G147" s="17" t="str">
        <x:v>§14-§17</x:v>
      </x:c>
      <x:c r="H147" s="17"/>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x:c r="Q147" s="17" t="str">
        <x:v>codex/m6-m6-902</x:v>
      </x:c>
      <x:c r="R147" s="17"/>
      <x:c r="S147" s="17"/>
      <x:c r="T147" s="17"/>
      <x:c r="U147" s="17"/>
      <x:c r="V147" s="17" t="str">
        <x:v>YES</x:v>
      </x:c>
      <x:c r="W147" s="17" t="str">
        <x:v>按原子提交回退；迁移仅向前修复</x:v>
      </x:c>
      <x:c r="X147" s="17"/>
      <x:c r="Y147" s="17"/>
    </x:row>
    <x:row r="148" ht="23" customHeight="1">
      <x:c r="A148" s="17" t="str">
        <x:v>M6-903</x:v>
      </x:c>
      <x:c r="B148" s="17" t="n">
        <x:v>147</x:v>
      </x:c>
      <x:c r="C148" s="17" t="str">
        <x:v>M6</x:v>
      </x:c>
      <x:c r="D148" s="17" t="str">
        <x:v>RELEASE_READINESS</x:v>
      </x:c>
      <x:c r="E148" s="17" t="str">
        <x:v>P0</x:v>
      </x:c>
      <x:c r="F148" s="17" t="str">
        <x:v>五端与微信真机全链验收</x:v>
      </x:c>
      <x:c r="G148" s="17" t="str">
        <x:v>§14-§17</x:v>
      </x:c>
      <x:c r="H148" s="17"/>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x:c r="Q148" s="17" t="str">
        <x:v>codex/m6-m6-903</x:v>
      </x:c>
      <x:c r="R148" s="17"/>
      <x:c r="S148" s="17"/>
      <x:c r="T148" s="17"/>
      <x:c r="U148" s="17"/>
      <x:c r="V148" s="17" t="str">
        <x:v>YES</x:v>
      </x:c>
      <x:c r="W148" s="17" t="str">
        <x:v>按原子提交回退；迁移仅向前修复</x:v>
      </x:c>
      <x:c r="X148" s="17"/>
      <x:c r="Y148" s="17"/>
    </x:row>
    <x:row r="149" ht="23" customHeight="1">
      <x:c r="A149" s="17" t="str">
        <x:v>M6-904</x:v>
      </x:c>
      <x:c r="B149" s="17" t="n">
        <x:v>148</x:v>
      </x:c>
      <x:c r="C149" s="17" t="str">
        <x:v>M6</x:v>
      </x:c>
      <x:c r="D149" s="17" t="str">
        <x:v>RELEASE_READINESS</x:v>
      </x:c>
      <x:c r="E149" s="17" t="str">
        <x:v>P0</x:v>
      </x:c>
      <x:c r="F149" s="17" t="str">
        <x:v>形成Go/No-Go决策包</x:v>
      </x:c>
      <x:c r="G149" s="17" t="str">
        <x:v>§14-§17</x:v>
      </x:c>
      <x:c r="H149" s="17"/>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x:c r="Q149" s="17" t="str">
        <x:v>codex/m6-go-no-go</x:v>
      </x:c>
      <x:c r="R149" s="17"/>
      <x:c r="S149" s="17"/>
      <x:c r="T149" s="17"/>
      <x:c r="U149" s="17"/>
      <x:c r="V149" s="17" t="str">
        <x:v>YES</x:v>
      </x:c>
      <x:c r="W149" s="17" t="str">
        <x:v>按原子提交回退；迁移仅向前修复</x:v>
      </x:c>
      <x:c r="X149" s="17"/>
      <x:c r="Y149" s="17"/>
    </x:row>
    <x:row r="150" ht="23" customHeight="1">
      <x:c r="A150" s="18" t="str">
        <x:v>M6-GATE</x:v>
      </x:c>
      <x:c r="B150" s="18" t="n">
        <x:v>149</x:v>
      </x:c>
      <x:c r="C150" s="18" t="str">
        <x:v>M6</x:v>
      </x:c>
      <x:c r="D150" s="18" t="str">
        <x:v>STAGE_GATE</x:v>
      </x:c>
      <x:c r="E150" s="18" t="str">
        <x:v>P0</x:v>
      </x:c>
      <x:c r="F150" s="18" t="str">
        <x:v>M6阶段门禁验收</x:v>
      </x:c>
      <x:c r="G150" s="18" t="str">
        <x:v>执行包§02</x:v>
      </x:c>
      <x:c r="H150" s="18"/>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x:c r="Q150" s="18" t="str">
        <x:v>codex/m6-m6</x:v>
      </x:c>
      <x:c r="R150" s="18"/>
      <x:c r="S150" s="18"/>
      <x:c r="T150" s="18"/>
      <x:c r="U150" s="18"/>
      <x:c r="V150" s="18" t="str">
        <x:v>YES</x:v>
      </x:c>
      <x:c r="W150" s="18" t="str">
        <x:v>按原子提交回退；迁移仅向前修复</x:v>
      </x:c>
      <x:c r="X150" s="18"/>
      <x:c r="Y150" s="18"/>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3bfe82a025324c5e"/>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17" t="str">
        <x:v>P0-001</x:v>
      </x:c>
      <x:c r="B2" s="17" t="n">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n">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n">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n">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n">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n">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x:c r="P9" s="17" t="n">
        <x:v>46244.05306712963</x:v>
      </x:c>
      <x:c r="Q9" s="17" t="str">
        <x:v>PR #42精确head CI及合并后main@590a770 CI run 31346326144成功；多商品未知结果保护已进入main。</x:v>
      </x:c>
    </x:row>
    <x:row r="10" ht="23" customHeight="1">
      <x:c r="A10" s="17" t="str">
        <x:v>P0-009</x:v>
      </x:c>
      <x:c r="B10" s="17" t="n">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n">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n">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n">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46244.71050226852</x:v>
      </x:c>
      <x:c r="Q13" s="17" t="str">
        <x:v>PR #50精确head CI与合并后main CI run 31398383884通过；模板版本化、旧版不可变和当前发布绑定均为CI_PASS。staging与production未执行。</x:v>
      </x:c>
    </x:row>
    <x:row r="14" ht="23" customHeight="1">
      <x:c r="A14" s="17" t="str">
        <x:v>P0-013</x:v>
      </x:c>
      <x:c r="B14" s="17" t="n">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n">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CODEX</x:v>
      </x:c>
      <x:c r="P15" s="17" t="n">
        <x:v>46245.12520833333</x:v>
      </x:c>
      <x:c r="Q15" s="17" t="str">
        <x:v>PR #54精确head CI run 31452009986及合并后main CI run 31453656294通过；生鲜七项字段、三项SKU规格、两项枚举、公司售后和公开DTO白名单达到CI_PASS。staging、device、production未执行。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LOCAL_PASS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x:v>
      </x:c>
      <x:c r="N18" s="17" t="str"/>
      <x:c r="O18" s="17" t="str">
        <x:v>CODEX</x:v>
      </x:c>
      <x:c r="P18" s="17" t="n">
        <x:v>46245.362233796295</x:v>
      </x:c>
      <x:c r="Q18" s="17" t="str">
        <x:v>RED退出1；礼盒结构化子项、同供应商引用隔离、不可变模板/详情快照、公司售后主体、公开DTO白名单和小程序组合清单已有focused本地证据；完整门禁、PR CI、正式数据、staging/device/production未执行。</x:v>
      </x:c>
    </x:row>
    <x:row r="19" ht="23" customHeight="1">
      <x:c r="A19" s="17" t="str">
        <x:v>P0-018</x:v>
      </x:c>
      <x:c r="B19" s="17" t="n">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NOT_EXECUTED</x:v>
      </x:c>
      <x:c r="J19" s="17" t="str">
        <x:v>NEG-M2-018-01|NEG-M2-018-02|NEG-M2-018-03</x:v>
      </x:c>
      <x:c r="K19" s="17" t="str">
        <x:v>N/A</x:v>
      </x:c>
      <x:c r="L19" s="17" t="str">
        <x:v>REGULATED_DEFAULT_DENY；REGULATED_QUALIFICATION_MISSING；REGULATED_TEMPLATE_MISSING</x:v>
      </x:c>
      <x:c r="M19" s="17" t="str">
        <x:v>artifacts/verification/M2-000/m2-contract-freeze.json#negativeTests</x:v>
      </x:c>
      <x:c r="N19" s="17"/>
      <x:c r="O19" s="17"/>
      <x:c r="P19" s="17"/>
      <x:c r="Q19" s="17" t="str">
        <x:v>M2-000仅冻结测试ID、失败行为和证据要求；业务切片须逐项先RED再实现；当前仍为NOT_EXECUTED</x:v>
      </x:c>
    </x:row>
    <x:row r="20" ht="23" customHeight="1">
      <x:c r="A20" s="17" t="str">
        <x:v>P0-019</x:v>
      </x:c>
      <x:c r="B20" s="17" t="n">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NOT_EXECUTED</x:v>
      </x:c>
      <x:c r="J20" s="17" t="str">
        <x:v>NEG-M2-019-01|NEG-M2-019-02|NEG-M2-019-03|NEG-M2-019-04</x:v>
      </x:c>
      <x:c r="K20" s="17" t="str">
        <x:v>N/A</x:v>
      </x:c>
      <x:c r="L20" s="17" t="str">
        <x:v>UNAPPROVED_SUPPLY_PRICE_EFFECT；SALE_PRICE_APPROVAL_CREATED；PRICE_HISTORY_OVERWRITE；CONCURRENT_PRICE_EFFECT</x:v>
      </x:c>
      <x:c r="M20" s="17" t="str">
        <x:v>artifacts/verification/M2-000/m2-contract-freeze.json#negativeTests</x:v>
      </x:c>
      <x:c r="N20" s="17"/>
      <x:c r="O20" s="17"/>
      <x:c r="P20" s="17"/>
      <x:c r="Q20" s="17" t="str">
        <x:v>M2-000仅冻结测试ID、失败行为和证据要求；业务切片须逐项先RED再实现；当前仍为NOT_EXECUTED</x:v>
      </x:c>
    </x:row>
    <x:row r="21" ht="23" customHeight="1">
      <x:c r="A21" s="17" t="str">
        <x:v>P0-020</x:v>
      </x:c>
      <x:c r="B21" s="17" t="n">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x:c r="N21" s="17"/>
      <x:c r="O21" s="17"/>
      <x:c r="P21" s="17"/>
      <x:c r="Q21" s="17"/>
    </x:row>
    <x:row r="22" ht="23" customHeight="1">
      <x:c r="A22" s="17" t="str">
        <x:v>P0-021</x:v>
      </x:c>
      <x:c r="B22" s="17" t="n">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NOT_EXECUTED</x:v>
      </x:c>
      <x:c r="J22" s="17" t="str">
        <x:v>NEG-M2-021-01|NEG-M2-021-02|NEG-M2-021-03</x:v>
      </x:c>
      <x:c r="K22" s="17" t="str">
        <x:v>N/A</x:v>
      </x:c>
      <x:c r="L22" s="17" t="str">
        <x:v>SUPPLY_PRICE_RESPONSE_LEAK；SUPPLY_PRICE_CACHE_INDEX_LEAK；WRONG_CHANNEL_SALE_PRICE</x:v>
      </x:c>
      <x:c r="M22" s="17" t="str">
        <x:v>artifacts/verification/M2-000/m2-contract-freeze.json#negativeTests</x:v>
      </x:c>
      <x:c r="N22" s="17"/>
      <x:c r="O22" s="17"/>
      <x:c r="P22" s="17"/>
      <x:c r="Q22" s="17" t="str">
        <x:v>M2-000仅冻结测试ID、失败行为和证据要求；业务切片须逐项先RED再实现；当前仍为NOT_EXECUTED</x:v>
      </x:c>
    </x:row>
    <x:row r="23" ht="23" customHeight="1">
      <x:c r="A23" s="17" t="str">
        <x:v>P0-022</x:v>
      </x:c>
      <x:c r="B23" s="17" t="n">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x:c r="N23" s="17"/>
      <x:c r="O23" s="17"/>
      <x:c r="P23" s="17"/>
      <x:c r="Q23" s="17"/>
    </x:row>
    <x:row r="24" ht="23" customHeight="1">
      <x:c r="A24" s="17" t="str">
        <x:v>P0-023</x:v>
      </x:c>
      <x:c r="B24" s="17" t="n">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x:c r="N24" s="17"/>
      <x:c r="O24" s="17"/>
      <x:c r="P24" s="17"/>
      <x:c r="Q24" s="17"/>
    </x:row>
    <x:row r="25" ht="23" customHeight="1">
      <x:c r="A25" s="17" t="str">
        <x:v>P0-024</x:v>
      </x:c>
      <x:c r="B25" s="17" t="n">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x:c r="N25" s="17"/>
      <x:c r="O25" s="17"/>
      <x:c r="P25" s="17"/>
      <x:c r="Q25" s="17"/>
    </x:row>
    <x:row r="26" ht="23" customHeight="1">
      <x:c r="A26" s="17" t="str">
        <x:v>P0-025</x:v>
      </x:c>
      <x:c r="B26" s="17" t="n">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x:c r="N26" s="17"/>
      <x:c r="O26" s="17"/>
      <x:c r="P26" s="17"/>
      <x:c r="Q26" s="17"/>
    </x:row>
    <x:row r="27" ht="23" customHeight="1">
      <x:c r="A27" s="17" t="str">
        <x:v>P0-026</x:v>
      </x:c>
      <x:c r="B27" s="17" t="n">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x:c r="N27" s="17"/>
      <x:c r="O27" s="17"/>
      <x:c r="P27" s="17"/>
      <x:c r="Q27" s="17"/>
    </x:row>
    <x:row r="28" ht="23" customHeight="1">
      <x:c r="A28" s="17" t="str">
        <x:v>P0-027</x:v>
      </x:c>
      <x:c r="B28" s="17" t="n">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x:c r="N28" s="17"/>
      <x:c r="O28" s="17"/>
      <x:c r="P28" s="17"/>
      <x:c r="Q28" s="17"/>
    </x:row>
    <x:row r="29" ht="23" customHeight="1">
      <x:c r="A29" s="17" t="str">
        <x:v>P0-028</x:v>
      </x:c>
      <x:c r="B29" s="17" t="n">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x:c r="N29" s="17"/>
      <x:c r="O29" s="17"/>
      <x:c r="P29" s="17"/>
      <x:c r="Q29" s="17"/>
    </x:row>
    <x:row r="30" ht="23" customHeight="1">
      <x:c r="A30" s="17" t="str">
        <x:v>P0-029</x:v>
      </x:c>
      <x:c r="B30" s="17" t="n">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x:c r="N30" s="17"/>
      <x:c r="O30" s="17"/>
      <x:c r="P30" s="17"/>
      <x:c r="Q30" s="17"/>
    </x:row>
    <x:row r="31" ht="23" customHeight="1">
      <x:c r="A31" s="17" t="str">
        <x:v>P0-030</x:v>
      </x:c>
      <x:c r="B31" s="17" t="n">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x:c r="N31" s="17"/>
      <x:c r="O31" s="17"/>
      <x:c r="P31" s="17"/>
      <x:c r="Q31" s="17"/>
    </x:row>
    <x:row r="32" ht="23" customHeight="1">
      <x:c r="A32" s="17" t="str">
        <x:v>P0-031</x:v>
      </x:c>
      <x:c r="B32" s="17" t="n">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x:c r="N32" s="17"/>
      <x:c r="O32" s="17"/>
      <x:c r="P32" s="17"/>
      <x:c r="Q32" s="17"/>
    </x:row>
    <x:row r="33" ht="23" customHeight="1">
      <x:c r="A33" s="17" t="str">
        <x:v>P0-032</x:v>
      </x:c>
      <x:c r="B33" s="17" t="n">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x:c r="N33" s="17"/>
      <x:c r="O33" s="17"/>
      <x:c r="P33" s="17"/>
      <x:c r="Q33" s="17"/>
    </x:row>
    <x:row r="34" ht="23" customHeight="1">
      <x:c r="A34" s="17" t="str">
        <x:v>P0-033</x:v>
      </x:c>
      <x:c r="B34" s="17" t="n">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x:c r="N34" s="17"/>
      <x:c r="O34" s="17"/>
      <x:c r="P34" s="17"/>
      <x:c r="Q34" s="17"/>
    </x:row>
    <x:row r="35" ht="23" customHeight="1">
      <x:c r="A35" s="17" t="str">
        <x:v>P0-034</x:v>
      </x:c>
      <x:c r="B35" s="17" t="n">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x:c r="N35" s="17"/>
      <x:c r="O35" s="17"/>
      <x:c r="P35" s="17"/>
      <x:c r="Q35" s="17"/>
    </x:row>
    <x:row r="36" ht="23" customHeight="1">
      <x:c r="A36" s="17" t="str">
        <x:v>P0-035</x:v>
      </x:c>
      <x:c r="B36" s="17" t="n">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x:c r="N36" s="17"/>
      <x:c r="O36" s="17"/>
      <x:c r="P36" s="17"/>
      <x:c r="Q36" s="17"/>
    </x:row>
    <x:row r="37" ht="23" customHeight="1">
      <x:c r="A37" s="17" t="str">
        <x:v>P0-036</x:v>
      </x:c>
      <x:c r="B37" s="17" t="n">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x:c r="N37" s="17"/>
      <x:c r="O37" s="17"/>
      <x:c r="P37" s="17"/>
      <x:c r="Q37" s="17"/>
    </x:row>
    <x:row r="38" ht="23" customHeight="1">
      <x:c r="A38" s="17" t="str">
        <x:v>P0-037</x:v>
      </x:c>
      <x:c r="B38" s="17" t="n">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x:c r="N38" s="17"/>
      <x:c r="O38" s="17"/>
      <x:c r="P38" s="17"/>
      <x:c r="Q38" s="17"/>
    </x:row>
    <x:row r="39" ht="23" customHeight="1">
      <x:c r="A39" s="17" t="str">
        <x:v>P0-038</x:v>
      </x:c>
      <x:c r="B39" s="17" t="n">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x:c r="N39" s="17"/>
      <x:c r="O39" s="17"/>
      <x:c r="P39" s="17"/>
      <x:c r="Q39" s="17"/>
    </x:row>
    <x:row r="40" ht="23" customHeight="1">
      <x:c r="A40" s="17" t="str">
        <x:v>P0-039</x:v>
      </x:c>
      <x:c r="B40" s="17" t="n">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x:c r="N40" s="17"/>
      <x:c r="O40" s="17"/>
      <x:c r="P40" s="17"/>
      <x:c r="Q40" s="17"/>
    </x:row>
    <x:row r="41" ht="23" customHeight="1">
      <x:c r="A41" s="17" t="str">
        <x:v>P0-040</x:v>
      </x:c>
      <x:c r="B41" s="17" t="n">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x:c r="N41" s="17"/>
      <x:c r="O41" s="17"/>
      <x:c r="P41" s="17"/>
      <x:c r="Q41" s="17"/>
    </x:row>
    <x:row r="42" ht="23" customHeight="1">
      <x:c r="A42" s="17" t="str">
        <x:v>P0-041</x:v>
      </x:c>
      <x:c r="B42" s="17" t="n">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x:c r="N42" s="17"/>
      <x:c r="O42" s="17"/>
      <x:c r="P42" s="17"/>
      <x:c r="Q42" s="17"/>
    </x:row>
    <x:row r="43" ht="23" customHeight="1">
      <x:c r="A43" s="17" t="str">
        <x:v>P0-042</x:v>
      </x:c>
      <x:c r="B43" s="17" t="n">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x:c r="N43" s="17"/>
      <x:c r="O43" s="17"/>
      <x:c r="P43" s="17"/>
      <x:c r="Q43" s="17"/>
    </x:row>
    <x:row r="44" ht="23" customHeight="1">
      <x:c r="A44" s="17" t="str">
        <x:v>P0-043</x:v>
      </x:c>
      <x:c r="B44" s="17" t="n">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x:c r="N44" s="17"/>
      <x:c r="O44" s="17"/>
      <x:c r="P44" s="17"/>
      <x:c r="Q44" s="17"/>
    </x:row>
    <x:row r="45" ht="23" customHeight="1">
      <x:c r="A45" s="17" t="str">
        <x:v>P0-044</x:v>
      </x:c>
      <x:c r="B45" s="17" t="n">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x:c r="N45" s="17"/>
      <x:c r="O45" s="17"/>
      <x:c r="P45" s="17"/>
      <x:c r="Q45" s="17"/>
    </x:row>
    <x:row r="46" ht="23" customHeight="1">
      <x:c r="A46" s="17" t="str">
        <x:v>P0-045</x:v>
      </x:c>
      <x:c r="B46" s="17" t="n">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n">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n">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n">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x:c r="N49" s="17"/>
      <x:c r="O49" s="17"/>
      <x:c r="P49" s="17"/>
      <x:c r="Q49" s="17"/>
    </x:row>
    <x:row r="50" ht="23" customHeight="1">
      <x:c r="A50" s="17" t="str">
        <x:v>P0-049</x:v>
      </x:c>
      <x:c r="B50" s="17" t="n">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x:c r="N50" s="17"/>
      <x:c r="O50" s="17"/>
      <x:c r="P50" s="17"/>
      <x:c r="Q50" s="17"/>
    </x:row>
    <x:row r="51" ht="23" customHeight="1">
      <x:c r="A51" s="17" t="str">
        <x:v>P0-050</x:v>
      </x:c>
      <x:c r="B51" s="17" t="n">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x:c r="N51" s="17"/>
      <x:c r="O51" s="17"/>
      <x:c r="P51" s="17"/>
      <x:c r="Q51" s="17"/>
    </x:row>
    <x:row r="52" ht="23" customHeight="1">
      <x:c r="A52" s="17" t="str">
        <x:v>P0-051</x:v>
      </x:c>
      <x:c r="B52" s="17" t="n">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x:c r="N52" s="17"/>
      <x:c r="O52" s="17"/>
      <x:c r="P52" s="17"/>
      <x:c r="Q52" s="17"/>
    </x:row>
    <x:row r="53" ht="23" customHeight="1">
      <x:c r="A53" s="17" t="str">
        <x:v>P0-052</x:v>
      </x:c>
      <x:c r="B53" s="17" t="n">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x:c r="N53" s="17"/>
      <x:c r="O53" s="17"/>
      <x:c r="P53" s="17"/>
      <x:c r="Q53" s="17"/>
    </x:row>
    <x:row r="54" ht="23" customHeight="1">
      <x:c r="A54" s="17" t="str">
        <x:v>P0-053</x:v>
      </x:c>
      <x:c r="B54" s="17" t="n">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x:c r="N54" s="17"/>
      <x:c r="O54" s="17"/>
      <x:c r="P54" s="17"/>
      <x:c r="Q54" s="17"/>
    </x:row>
    <x:row r="55" ht="23" customHeight="1">
      <x:c r="A55" s="17" t="str">
        <x:v>P0-054</x:v>
      </x:c>
      <x:c r="B55" s="17" t="n">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x:c r="N55" s="17"/>
      <x:c r="O55" s="17"/>
      <x:c r="P55" s="17"/>
      <x:c r="Q55" s="17"/>
    </x:row>
    <x:row r="56" ht="23" customHeight="1">
      <x:c r="A56" s="17" t="str">
        <x:v>P0-055</x:v>
      </x:c>
      <x:c r="B56" s="17" t="n">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x:c r="N56" s="17"/>
      <x:c r="O56" s="17"/>
      <x:c r="P56" s="17"/>
      <x:c r="Q56" s="17"/>
    </x:row>
    <x:row r="57" ht="23" customHeight="1">
      <x:c r="A57" s="17" t="str">
        <x:v>P0-056</x:v>
      </x:c>
      <x:c r="B57" s="17" t="n">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x:c r="N57" s="17"/>
      <x:c r="O57" s="17"/>
      <x:c r="P57" s="17"/>
      <x:c r="Q57" s="17"/>
    </x:row>
    <x:row r="58" ht="23" customHeight="1">
      <x:c r="A58" s="17" t="str">
        <x:v>P0-057</x:v>
      </x:c>
      <x:c r="B58" s="17" t="n">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x:c r="N58" s="17"/>
      <x:c r="O58" s="17"/>
      <x:c r="P58" s="17"/>
      <x:c r="Q58" s="17"/>
    </x:row>
    <x:row r="59" ht="23" customHeight="1">
      <x:c r="A59" s="17" t="str">
        <x:v>P0-058</x:v>
      </x:c>
      <x:c r="B59" s="17" t="n">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x:c r="N59" s="17"/>
      <x:c r="O59" s="17"/>
      <x:c r="P59" s="17"/>
      <x:c r="Q59" s="17"/>
    </x:row>
    <x:row r="60" ht="23" customHeight="1">
      <x:c r="A60" s="17" t="str">
        <x:v>P0-059</x:v>
      </x:c>
      <x:c r="B60" s="17" t="n">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x:c r="N60" s="17"/>
      <x:c r="O60" s="17"/>
      <x:c r="P60" s="17"/>
      <x:c r="Q60" s="17"/>
    </x:row>
    <x:row r="61" ht="23" customHeight="1">
      <x:c r="A61" s="17" t="str">
        <x:v>P0-060</x:v>
      </x:c>
      <x:c r="B61" s="17" t="n">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x:c r="N61" s="17"/>
      <x:c r="O61" s="17"/>
      <x:c r="P61" s="17"/>
      <x:c r="Q61" s="17"/>
    </x:row>
    <x:row r="62" ht="23" customHeight="1">
      <x:c r="A62" s="17" t="str">
        <x:v>P0-061</x:v>
      </x:c>
      <x:c r="B62" s="17" t="n">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NEG-M2-061-01|NEG-M2-061-02|NEG-M2-061-03</x:v>
      </x:c>
      <x:c r="K62" s="17" t="str">
        <x:v>N/A</x:v>
      </x:c>
      <x:c r="L62" s="17" t="str">
        <x:v>DUPLICATE_CHANNEL_PRODUCT；ENTERPRISE_FLAG_DISABLED；CHANNEL_FLAG_HISTORY</x:v>
      </x:c>
      <x:c r="M62" s="17" t="str">
        <x:v>artifacts/verification/M2-000/m2-contract-freeze.json#negativeTests</x:v>
      </x:c>
      <x:c r="N62" s="17"/>
      <x:c r="O62" s="17"/>
      <x:c r="P62" s="17"/>
      <x:c r="Q62" s="17" t="str">
        <x:v>M2-000仅冻结测试ID、失败行为和证据要求；业务切片须逐项先RED再实现；当前仍为NOT_EXECUTED</x:v>
      </x:c>
    </x:row>
    <x:row r="63" ht="23" customHeight="1">
      <x:c r="A63" s="17" t="str">
        <x:v>P0-062</x:v>
      </x:c>
      <x:c r="B63" s="17" t="n">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x:c r="N63" s="17"/>
      <x:c r="O63" s="17"/>
      <x:c r="P63" s="17"/>
      <x:c r="Q63" s="17"/>
    </x:row>
    <x:row r="64" ht="23" customHeight="1">
      <x:c r="A64" s="17" t="str">
        <x:v>P0-063</x:v>
      </x:c>
      <x:c r="B64" s="17" t="n">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NEG-M2-063-01|NEG-M2-063-02|NEG-M2-063-03|NEG-M2-063-04</x:v>
      </x:c>
      <x:c r="K64" s="17" t="str">
        <x:v>N/A</x:v>
      </x:c>
      <x:c r="L64" s="17" t="str">
        <x:v>DUPLICATE_INVENTORY_BALANCE；INVENTORY_NEGATIVE；CONCURRENT_LOST_UPDATE；DUPLICATE_ADJUSTMENT</x:v>
      </x:c>
      <x:c r="M64" s="17" t="str">
        <x:v>artifacts/verification/M2-000/m2-contract-freeze.json#negativeTests</x:v>
      </x:c>
      <x:c r="N64" s="17"/>
      <x:c r="O64" s="17"/>
      <x:c r="P64" s="17"/>
      <x:c r="Q64" s="17" t="str">
        <x:v>M2-000仅冻结测试ID、失败行为和证据要求；业务切片须逐项先RED再实现；当前仍为NOT_EXECUTED</x:v>
      </x:c>
    </x:row>
    <x:row r="65" ht="23" customHeight="1">
      <x:c r="A65" s="17" t="str">
        <x:v>P0-064</x:v>
      </x:c>
      <x:c r="B65" s="17" t="n">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x:c r="N65" s="17"/>
      <x:c r="O65" s="17"/>
      <x:c r="P65" s="17"/>
      <x:c r="Q65" s="17"/>
    </x:row>
    <x:row r="66" ht="23" customHeight="1">
      <x:c r="A66" s="17" t="str">
        <x:v>P0-065</x:v>
      </x:c>
      <x:c r="B66" s="17" t="n">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x:c r="N66" s="17"/>
      <x:c r="O66" s="17"/>
      <x:c r="P66" s="17"/>
      <x:c r="Q66" s="17"/>
    </x:row>
    <x:row r="67" ht="23" customHeight="1">
      <x:c r="A67" s="17" t="str">
        <x:v>P0-066</x:v>
      </x:c>
      <x:c r="B67" s="17" t="n">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n">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n">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n">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n">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n">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NEG-M2-071-01|NEG-M2-071-02|NEG-M2-071-03|NEG-M2-071-04</x:v>
      </x:c>
      <x:c r="K72" s="17" t="str">
        <x:v>N/A</x:v>
      </x:c>
      <x:c r="L72" s="17" t="str">
        <x:v>SAME_NATURAL_PERSON_REVIEW；PRICE_PAGE_ROLE_MISMATCH；CONCURRENT_REVIEW；REASONLESS_BULK_APPROVAL</x:v>
      </x:c>
      <x:c r="M72" s="17" t="str">
        <x:v>artifacts/verification/M2-000/m2-contract-freeze.json#negativeTests</x:v>
      </x:c>
      <x:c r="N72" s="17"/>
      <x:c r="O72" s="17"/>
      <x:c r="P72" s="17"/>
      <x:c r="Q72" s="17" t="str">
        <x:v>M2-000仅冻结测试ID、失败行为和证据要求；业务切片须逐项先RED再实现；当前仍为NOT_EXECUTED</x:v>
      </x:c>
    </x:row>
    <x:row r="73" ht="23" customHeight="1">
      <x:c r="A73" s="17" t="str">
        <x:v>P0-072</x:v>
      </x:c>
      <x:c r="B73" s="17" t="n">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n">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x:c r="N74" s="17"/>
      <x:c r="O74" s="17"/>
      <x:c r="P74" s="17"/>
      <x:c r="Q74" s="17"/>
    </x:row>
    <x:row r="75" ht="23" customHeight="1">
      <x:c r="A75" s="17" t="str">
        <x:v>P0-074</x:v>
      </x:c>
      <x:c r="B75" s="17" t="n">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x:c r="N75" s="17"/>
      <x:c r="O75" s="17"/>
      <x:c r="P75" s="17"/>
      <x:c r="Q75" s="17"/>
    </x:row>
    <x:row r="76" ht="23" customHeight="1">
      <x:c r="A76" s="17" t="str">
        <x:v>P0-075</x:v>
      </x:c>
      <x:c r="B76" s="17" t="n">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x:c r="N76" s="17"/>
      <x:c r="O76" s="17"/>
      <x:c r="P76" s="17"/>
      <x:c r="Q76" s="17"/>
    </x:row>
    <x:row r="77" ht="23" customHeight="1">
      <x:c r="A77" s="17" t="str">
        <x:v>P0-076</x:v>
      </x:c>
      <x:c r="B77" s="17" t="n">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x:c r="N77" s="17"/>
      <x:c r="O77" s="17"/>
      <x:c r="P77" s="17"/>
      <x:c r="Q77" s="17"/>
    </x:row>
    <x:row r="78" ht="23" customHeight="1">
      <x:c r="A78" s="17" t="str">
        <x:v>P0-077</x:v>
      </x:c>
      <x:c r="B78" s="17" t="n">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x:c r="N78" s="17"/>
      <x:c r="O78" s="17"/>
      <x:c r="P78" s="17"/>
      <x:c r="Q78" s="17"/>
    </x:row>
    <x:row r="79" ht="23" customHeight="1">
      <x:c r="A79" s="17" t="str">
        <x:v>P0-078</x:v>
      </x:c>
      <x:c r="B79" s="17" t="n">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x:c r="N79" s="17"/>
      <x:c r="O79" s="17"/>
      <x:c r="P79" s="17"/>
      <x:c r="Q79" s="17"/>
    </x:row>
    <x:row r="80" ht="23" customHeight="1">
      <x:c r="A80" s="17" t="str">
        <x:v>P0-079</x:v>
      </x:c>
      <x:c r="B80" s="17" t="n">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x:c r="N80" s="17"/>
      <x:c r="O80" s="17"/>
      <x:c r="P80" s="17"/>
      <x:c r="Q80" s="17"/>
    </x:row>
    <x:row r="81" ht="23" customHeight="1">
      <x:c r="A81" s="17" t="str">
        <x:v>P0-080</x:v>
      </x:c>
      <x:c r="B81" s="17" t="n">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x:c r="N81" s="17"/>
      <x:c r="O81" s="17"/>
      <x:c r="P81" s="17"/>
      <x:c r="Q81" s="17"/>
    </x:row>
    <x:row r="82" ht="23" customHeight="1">
      <x:c r="A82" s="17" t="str">
        <x:v>P0-081</x:v>
      </x:c>
      <x:c r="B82" s="17" t="n">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x:c r="N82" s="17"/>
      <x:c r="O82" s="17"/>
      <x:c r="P82" s="17"/>
      <x:c r="Q82" s="17"/>
    </x:row>
    <x:row r="83" ht="23" customHeight="1">
      <x:c r="A83" s="17" t="str">
        <x:v>P0-082</x:v>
      </x:c>
      <x:c r="B83" s="17" t="n">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x:c r="N83" s="17"/>
      <x:c r="O83" s="17"/>
      <x:c r="P83" s="17"/>
      <x:c r="Q83" s="17"/>
    </x:row>
    <x:row r="84" ht="23" customHeight="1">
      <x:c r="A84" s="17" t="str">
        <x:v>P0-083</x:v>
      </x:c>
      <x:c r="B84" s="17" t="n">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x:c r="N84" s="17"/>
      <x:c r="O84" s="17"/>
      <x:c r="P84" s="17"/>
      <x:c r="Q84" s="17"/>
    </x:row>
    <x:row r="85" ht="23" customHeight="1">
      <x:c r="A85" s="17" t="str">
        <x:v>P0-084</x:v>
      </x:c>
      <x:c r="B85" s="17" t="n">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x:c r="N85" s="17"/>
      <x:c r="O85" s="17"/>
      <x:c r="P85" s="17"/>
      <x:c r="Q85" s="17"/>
    </x:row>
    <x:row r="86" ht="23" customHeight="1">
      <x:c r="A86" s="17" t="str">
        <x:v>P0-085</x:v>
      </x:c>
      <x:c r="B86" s="17" t="n">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x:c r="N86" s="17"/>
      <x:c r="O86" s="17"/>
      <x:c r="P86" s="17"/>
      <x:c r="Q86" s="17"/>
    </x:row>
    <x:row r="87" ht="23" customHeight="1">
      <x:c r="A87" s="17" t="str">
        <x:v>P0-086</x:v>
      </x:c>
      <x:c r="B87" s="17" t="n">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x:c r="N87" s="17"/>
      <x:c r="O87" s="17"/>
      <x:c r="P87" s="17"/>
      <x:c r="Q87" s="17"/>
    </x:row>
    <x:row r="88" ht="23" customHeight="1">
      <x:c r="A88" s="17" t="str">
        <x:v>P0-087</x:v>
      </x:c>
      <x:c r="B88" s="17" t="n">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x:c r="N88" s="17"/>
      <x:c r="O88" s="17"/>
      <x:c r="P88" s="17"/>
      <x:c r="Q88" s="17"/>
    </x:row>
    <x:row r="89" ht="23" customHeight="1">
      <x:c r="A89" s="17" t="str">
        <x:v>P0-088</x:v>
      </x:c>
      <x:c r="B89" s="17" t="n">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x:c r="N89" s="17"/>
      <x:c r="O89" s="17"/>
      <x:c r="P89" s="17"/>
      <x:c r="Q89" s="17"/>
    </x:row>
    <x:row r="90" ht="23" customHeight="1">
      <x:c r="A90" s="17" t="str">
        <x:v>P0-089</x:v>
      </x:c>
      <x:c r="B90" s="17" t="n">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x:c r="N90" s="17"/>
      <x:c r="O90" s="17"/>
      <x:c r="P90" s="17"/>
      <x:c r="Q90" s="17"/>
    </x:row>
    <x:row r="91" ht="23" customHeight="1">
      <x:c r="A91" s="17" t="str">
        <x:v>P0-090</x:v>
      </x:c>
      <x:c r="B91" s="17" t="n">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x:c r="N91" s="17"/>
      <x:c r="O91" s="17"/>
      <x:c r="P91" s="17"/>
      <x:c r="Q91" s="17"/>
    </x:row>
    <x:row r="92" ht="23" customHeight="1">
      <x:c r="A92" s="17" t="str">
        <x:v>P0-091</x:v>
      </x:c>
      <x:c r="B92" s="17" t="n">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x:c r="N92" s="17"/>
      <x:c r="O92" s="17"/>
      <x:c r="P92" s="17"/>
      <x:c r="Q92" s="17"/>
    </x:row>
    <x:row r="93" ht="23" customHeight="1">
      <x:c r="A93" s="17" t="str">
        <x:v>P0-092</x:v>
      </x:c>
      <x:c r="B93" s="17" t="n">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x:c r="N93" s="17"/>
      <x:c r="O93" s="17"/>
      <x:c r="P93" s="17"/>
      <x:c r="Q93" s="17"/>
    </x:row>
    <x:row r="94" ht="23" customHeight="1">
      <x:c r="A94" s="17" t="str">
        <x:v>P0-093</x:v>
      </x:c>
      <x:c r="B94" s="17" t="n">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x:c r="N94" s="17"/>
      <x:c r="O94" s="17"/>
      <x:c r="P94" s="17"/>
      <x:c r="Q94" s="17"/>
    </x:row>
    <x:row r="95" ht="23" customHeight="1">
      <x:c r="A95" s="17" t="str">
        <x:v>P0-094</x:v>
      </x:c>
      <x:c r="B95" s="17" t="n">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x:c r="N95" s="17"/>
      <x:c r="O95" s="17"/>
      <x:c r="P95" s="17"/>
      <x:c r="Q95" s="17"/>
    </x:row>
    <x:row r="96" ht="23" customHeight="1">
      <x:c r="A96" s="17" t="str">
        <x:v>P0-095</x:v>
      </x:c>
      <x:c r="B96" s="17" t="n">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x:c r="N96" s="17"/>
      <x:c r="O96" s="17"/>
      <x:c r="P96" s="17"/>
      <x:c r="Q96" s="17"/>
    </x:row>
    <x:row r="97" ht="23" customHeight="1">
      <x:c r="A97" s="17" t="str">
        <x:v>P0-096</x:v>
      </x:c>
      <x:c r="B97" s="17" t="n">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x:c r="N97" s="17"/>
      <x:c r="O97" s="17"/>
      <x:c r="P97" s="17"/>
      <x:c r="Q97" s="17"/>
    </x:row>
    <x:row r="98" ht="23" customHeight="1">
      <x:c r="A98" s="17" t="str">
        <x:v>P0-097</x:v>
      </x:c>
      <x:c r="B98" s="17" t="n">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x:c r="N98" s="17"/>
      <x:c r="O98" s="17"/>
      <x:c r="P98" s="17"/>
      <x:c r="Q98" s="17"/>
    </x:row>
    <x:row r="99" ht="23" customHeight="1">
      <x:c r="A99" s="17" t="str">
        <x:v>P0-098</x:v>
      </x:c>
      <x:c r="B99" s="17" t="n">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x:c r="N99" s="17"/>
      <x:c r="O99" s="17"/>
      <x:c r="P99" s="17"/>
      <x:c r="Q99" s="17"/>
    </x:row>
    <x:row r="100" ht="23" customHeight="1">
      <x:c r="A100" s="17" t="str">
        <x:v>P0-099</x:v>
      </x:c>
      <x:c r="B100" s="17" t="n">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x:c r="N100" s="17"/>
      <x:c r="O100" s="17"/>
      <x:c r="P100" s="17"/>
      <x:c r="Q100" s="17"/>
    </x:row>
    <x:row r="101" ht="23" customHeight="1">
      <x:c r="A101" s="17" t="str">
        <x:v>P0-100</x:v>
      </x:c>
      <x:c r="B101" s="17" t="n">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x:c r="N101" s="17"/>
      <x:c r="O101" s="17"/>
      <x:c r="P101" s="17"/>
      <x:c r="Q101" s="17"/>
    </x:row>
    <x:row r="102" ht="23" customHeight="1">
      <x:c r="A102" s="17" t="str">
        <x:v>P0-101</x:v>
      </x:c>
      <x:c r="B102" s="17" t="n">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x:c r="N102" s="17"/>
      <x:c r="O102" s="17"/>
      <x:c r="P102" s="17"/>
      <x:c r="Q102" s="17"/>
    </x:row>
    <x:row r="103" ht="23" customHeight="1">
      <x:c r="A103" s="17" t="str">
        <x:v>P0-102</x:v>
      </x:c>
      <x:c r="B103" s="17" t="n">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x:c r="N103" s="17"/>
      <x:c r="O103" s="17"/>
      <x:c r="P103" s="17"/>
      <x:c r="Q103" s="17"/>
    </x:row>
    <x:row r="104" ht="23" customHeight="1">
      <x:c r="A104" s="17" t="str">
        <x:v>P0-103</x:v>
      </x:c>
      <x:c r="B104" s="17" t="n">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x:c r="N104" s="17"/>
      <x:c r="O104" s="17"/>
      <x:c r="P104" s="17"/>
      <x:c r="Q104" s="17"/>
    </x:row>
    <x:row r="105" ht="23" customHeight="1">
      <x:c r="A105" s="17" t="str">
        <x:v>P0-104</x:v>
      </x:c>
      <x:c r="B105" s="17" t="n">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x:c r="N105" s="17"/>
      <x:c r="O105" s="17"/>
      <x:c r="P105" s="17"/>
      <x:c r="Q105" s="17"/>
    </x:row>
    <x:row r="106" ht="23" customHeight="1">
      <x:c r="A106" s="17" t="str">
        <x:v>P0-105</x:v>
      </x:c>
      <x:c r="B106" s="17" t="n">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x:c r="N106" s="17"/>
      <x:c r="O106" s="17"/>
      <x:c r="P106" s="17"/>
      <x:c r="Q106" s="17"/>
    </x:row>
    <x:row r="107" ht="23" customHeight="1">
      <x:c r="A107" s="17" t="str">
        <x:v>P0-106</x:v>
      </x:c>
      <x:c r="B107" s="17" t="n">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x:c r="N107" s="17"/>
      <x:c r="O107" s="17"/>
      <x:c r="P107" s="17"/>
      <x:c r="Q107" s="17"/>
    </x:row>
    <x:row r="108" ht="23" customHeight="1">
      <x:c r="A108" s="17" t="str">
        <x:v>P0-107</x:v>
      </x:c>
      <x:c r="B108" s="17" t="n">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x:c r="N108" s="17"/>
      <x:c r="O108" s="17"/>
      <x:c r="P108" s="17"/>
      <x:c r="Q108" s="17"/>
    </x:row>
    <x:row r="109" ht="23" customHeight="1">
      <x:c r="A109" s="17" t="str">
        <x:v>P0-108</x:v>
      </x:c>
      <x:c r="B109" s="17" t="n">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x:c r="N109" s="17"/>
      <x:c r="O109" s="17"/>
      <x:c r="P109" s="17"/>
      <x:c r="Q109" s="17"/>
    </x:row>
    <x:row r="110" ht="23" customHeight="1">
      <x:c r="A110" s="17" t="str">
        <x:v>P0-109</x:v>
      </x:c>
      <x:c r="B110" s="17" t="n">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x:c r="N110" s="17"/>
      <x:c r="O110" s="17"/>
      <x:c r="P110" s="17"/>
      <x:c r="Q110" s="17"/>
    </x:row>
    <x:row r="111" ht="23" customHeight="1">
      <x:c r="A111" s="17" t="str">
        <x:v>P0-110</x:v>
      </x:c>
      <x:c r="B111" s="17" t="n">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x:c r="N111" s="17"/>
      <x:c r="O111" s="17"/>
      <x:c r="P111" s="17"/>
      <x:c r="Q111" s="17"/>
    </x:row>
    <x:row r="112" ht="23" customHeight="1">
      <x:c r="A112" s="17" t="str">
        <x:v>P0-111</x:v>
      </x:c>
      <x:c r="B112" s="17" t="n">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x:c r="N112" s="17"/>
      <x:c r="O112" s="17"/>
      <x:c r="P112" s="17"/>
      <x:c r="Q112" s="17"/>
    </x:row>
    <x:row r="113" ht="23" customHeight="1">
      <x:c r="A113" s="17" t="str">
        <x:v>P0-112</x:v>
      </x:c>
      <x:c r="B113" s="17" t="n">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x:c r="N113" s="17"/>
      <x:c r="O113" s="17"/>
      <x:c r="P113" s="17"/>
      <x:c r="Q113" s="17"/>
    </x:row>
    <x:row r="114" ht="23" customHeight="1">
      <x:c r="A114" s="17" t="str">
        <x:v>P0-113</x:v>
      </x:c>
      <x:c r="B114" s="17" t="n">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x:c r="N114" s="17"/>
      <x:c r="O114" s="17"/>
      <x:c r="P114" s="17"/>
      <x:c r="Q114" s="17"/>
    </x:row>
    <x:row r="115" ht="23" customHeight="1">
      <x:c r="A115" s="17" t="str">
        <x:v>P0-114</x:v>
      </x:c>
      <x:c r="B115" s="17" t="n">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x:c r="N115" s="17"/>
      <x:c r="O115" s="17"/>
      <x:c r="P115" s="17"/>
      <x:c r="Q115" s="17"/>
    </x:row>
    <x:row r="116" ht="23" customHeight="1">
      <x:c r="A116" s="17" t="str">
        <x:v>P0-115</x:v>
      </x:c>
      <x:c r="B116" s="17" t="n">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x:c r="N116" s="17"/>
      <x:c r="O116" s="17"/>
      <x:c r="P116" s="17"/>
      <x:c r="Q116" s="17"/>
    </x:row>
    <x:row r="117" ht="23" customHeight="1">
      <x:c r="A117" s="17" t="str">
        <x:v>P0-116</x:v>
      </x:c>
      <x:c r="B117" s="17" t="n">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x:c r="N117" s="17"/>
      <x:c r="O117" s="17"/>
      <x:c r="P117" s="17"/>
      <x:c r="Q117" s="17"/>
    </x:row>
    <x:row r="118" ht="23" customHeight="1">
      <x:c r="A118" s="17" t="str">
        <x:v>P0-117</x:v>
      </x:c>
      <x:c r="B118" s="17" t="n">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x:c r="N118" s="17"/>
      <x:c r="O118" s="17"/>
      <x:c r="P118" s="17"/>
      <x:c r="Q118" s="17"/>
    </x:row>
    <x:row r="119" ht="23" customHeight="1">
      <x:c r="A119" s="17" t="str">
        <x:v>P0-118</x:v>
      </x:c>
      <x:c r="B119" s="17" t="n">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x:c r="N119" s="17"/>
      <x:c r="O119" s="17"/>
      <x:c r="P119" s="17"/>
      <x:c r="Q119" s="17"/>
    </x:row>
    <x:row r="120" ht="23" customHeight="1">
      <x:c r="A120" s="18" t="str">
        <x:v>P0-119</x:v>
      </x:c>
      <x:c r="B120" s="18" t="n">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x:c r="N120" s="18"/>
      <x:c r="O120" s="18"/>
      <x:c r="P120" s="18"/>
      <x:c r="Q120" s="18"/>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80ef12bd8094820"/>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按角色、对象归属及配送阶段脱敏/解密</x:v>
      </x:c>
      <x:c r="J244" s="17" t="str">
        <x:v>禁止跨供应商、越阶段或批量无审批导出</x:v>
      </x:c>
      <x:c r="K244" s="17" t="str">
        <x:v>new version only after publication; referenced versions cannot be overwritten</x:v>
      </x:c>
      <x:c r="L244" s="17" t="str">
        <x:v>按实体version或审计日志保留变更证据</x:v>
      </x:c>
      <x:c r="M244" s="4" t="str">
        <x:v>M2</x:v>
      </x:c>
      <x:c r="N244" s="4" t="str">
        <x:v>P0-012,P0-013,P0-014,P0-015,P0-016,P0-017,P0-018</x:v>
      </x:c>
      <x:c r="O244" s="4" t="str">
        <x:v>综合方案§13核心数据模型</x:v>
      </x:c>
      <x:c r="P244" s="4" t="str">
        <x:v>FROZEN_M2_000</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the GENERIC|FOOD|FRESH|APPAREL|DIGITAL|GIFT_BOX profile discriminator cannot be overwritten</x:v>
      </x:c>
      <x:c r="L247" s="17" t="str">
        <x:v>按实体version或审计日志保留变更证据</x:v>
      </x:c>
      <x:c r="M247" s="4" t="str">
        <x:v>M2</x:v>
      </x:c>
      <x:c r="N247" s="4" t="str">
        <x:v>P0-012,P0-013,P0-014,P0-015,P0-016,P0-017,P0-018</x:v>
      </x:c>
      <x:c r="O247" s="4" t="str">
        <x:v>综合方案§13核心数据模型</x:v>
      </x:c>
      <x:c r="P247" s="4" t="str">
        <x:v>IMPLEMENTED_P0_017</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INTERNAL</x:v>
      </x:c>
      <x:c r="I255" s="17" t="str">
        <x:v>按资源权限与数据域访问；公开DTO另行白名单</x:v>
      </x:c>
      <x:c r="J255" s="17" t="str">
        <x:v>数据库实体不得直接序列化为响应</x:v>
      </x:c>
      <x:c r="K255" s="17" t="str">
        <x:v>validated against frozen schema; canonicalized; dangerous rich-text content rejected</x:v>
      </x:c>
      <x:c r="L255" s="17" t="str">
        <x:v>按实体version或审计日志保留变更证据</x:v>
      </x:c>
      <x:c r="M255" s="4" t="str">
        <x:v>M2</x:v>
      </x:c>
      <x:c r="N255" s="4" t="str">
        <x:v>P0-006,P0-007,P0-008,P0-061</x:v>
      </x:c>
      <x:c r="O255" s="4" t="str">
        <x:v>综合方案§13核心数据模型</x:v>
      </x:c>
      <x:c r="P255" s="4" t="str">
        <x:v>FROZEN_M2_000</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enum value and legal transition enforced by domain state machine</x:v>
      </x:c>
      <x:c r="L279" s="17" t="str">
        <x:v>按实体version或审计日志保留变更证据</x:v>
      </x:c>
      <x:c r="M279" s="4" t="str">
        <x:v>M2</x:v>
      </x:c>
      <x:c r="N279" s="4" t="str">
        <x:v>P0-006,P0-007,P0-009,P0-010,P0-011,P0-012,P0-018,P0-021,P0-061</x:v>
      </x:c>
      <x:c r="O279" s="4" t="str">
        <x:v>综合方案§13核心数据模型</x:v>
      </x:c>
      <x:c r="P279" s="4" t="str">
        <x:v>FROZEN_M2_000</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Sku</x:v>
      </x:c>
      <x:c r="B286" s="4" t="str">
        <x:v>id</x:v>
      </x:c>
      <x:c r="C286" s="17" t="str">
        <x:v>id</x:v>
      </x:c>
      <x:c r="D286" s="4" t="str">
        <x:v>1</x:v>
      </x:c>
      <x:c r="E286" s="4" t="str">
        <x:v>String(36)</x:v>
      </x:c>
      <x:c r="F286" s="4" t="str">
        <x:v>YES</x:v>
      </x:c>
      <x:c r="G286" s="4" t="str">
        <x:v>UUID v4</x:v>
      </x:c>
      <x:c r="H286" s="17" t="str">
        <x:v>INTERNAL</x:v>
      </x:c>
      <x:c r="I286" s="17" t="str">
        <x:v>按资源权限与数据域访问；公开DTO另行白名单</x:v>
      </x:c>
      <x:c r="J286" s="17" t="str">
        <x:v>数据库实体不得直接序列化为响应</x:v>
      </x:c>
      <x:c r="K286" s="17" t="str">
        <x:v>server-owned identifier; ownership verified before lookup result</x:v>
      </x:c>
      <x:c r="L286" s="17" t="str">
        <x:v>按实体version或审计日志保留变更证据</x:v>
      </x:c>
      <x:c r="M286" s="4" t="str">
        <x:v>M2</x:v>
      </x:c>
      <x:c r="N286" s="4" t="str">
        <x:v>P0-019,P0-021,P0-063,P0-071</x:v>
      </x:c>
      <x:c r="O286" s="4" t="str">
        <x:v>综合方案§13核心数据模型</x:v>
      </x:c>
      <x:c r="P286" s="4" t="str">
        <x:v>FROZEN_M2_000</x:v>
      </x:c>
    </x:row>
    <x:row r="287" ht="23" customHeight="1">
      <x:c r="A287" s="4" t="str">
        <x:v>Sku</x:v>
      </x:c>
      <x:c r="B287" s="4" t="str">
        <x:v>productId</x:v>
      </x:c>
      <x:c r="C287" s="17" t="str">
        <x:v>productId</x:v>
      </x:c>
      <x:c r="D287" s="4" t="str">
        <x:v>2</x:v>
      </x:c>
      <x:c r="E287" s="4" t="str">
        <x:v>String(36)</x:v>
      </x:c>
      <x:c r="F287" s="4" t="str">
        <x:v>YES</x:v>
      </x:c>
      <x:c r="G287" s="4" t="str">
        <x:v>UUID v4</x:v>
      </x:c>
      <x:c r="H287" s="17" t="str">
        <x:v>INTERNAL</x:v>
      </x:c>
      <x:c r="I287" s="17" t="str">
        <x:v>按资源权限与数据域访问；公开DTO另行白名单</x:v>
      </x:c>
      <x:c r="J287" s="17" t="str">
        <x:v>数据库实体不得直接序列化为响应</x:v>
      </x:c>
      <x:c r="K287" s="17" t="str">
        <x:v>server-owned identifier; ownership verified before lookup result</x:v>
      </x:c>
      <x:c r="L287" s="17" t="str">
        <x:v>按实体version或审计日志保留变更证据</x:v>
      </x:c>
      <x:c r="M287" s="4" t="str">
        <x:v>M2</x:v>
      </x:c>
      <x:c r="N287" s="4" t="str">
        <x:v>P0-019,P0-021,P0-063,P0-071</x:v>
      </x:c>
      <x:c r="O287" s="4" t="str">
        <x:v>综合方案§13核心数据模型</x:v>
      </x:c>
      <x:c r="P287" s="4" t="str">
        <x:v>FROZEN_M2_000</x:v>
      </x:c>
    </x:row>
    <x:row r="288" ht="23" customHeight="1">
      <x:c r="A288" s="4" t="str">
        <x:v>Sku</x:v>
      </x:c>
      <x:c r="B288" s="4" t="str">
        <x:v>supplierProductSkuId</x:v>
      </x:c>
      <x:c r="C288" s="17" t="str">
        <x:v>supplierProductSkuId</x:v>
      </x:c>
      <x:c r="D288" s="4" t="str">
        <x:v>3</x:v>
      </x:c>
      <x:c r="E288" s="4" t="str">
        <x:v>String(36)</x:v>
      </x:c>
      <x:c r="F288" s="4" t="str">
        <x:v>YES</x:v>
      </x:c>
      <x:c r="G288" s="4" t="str">
        <x:v>UUID v4</x:v>
      </x:c>
      <x:c r="H288" s="17" t="str">
        <x:v>INTERNAL</x:v>
      </x:c>
      <x:c r="I288" s="17" t="str">
        <x:v>按资源权限与数据域访问；公开DTO另行白名单</x:v>
      </x:c>
      <x:c r="J288" s="17" t="str">
        <x:v>数据库实体不得直接序列化为响应</x:v>
      </x:c>
      <x:c r="K288" s="17" t="str">
        <x:v>server-owned identifier; ownership verified before lookup result</x:v>
      </x:c>
      <x:c r="L288" s="17" t="str">
        <x:v>按实体version或审计日志保留变更证据</x:v>
      </x:c>
      <x:c r="M288" s="4" t="str">
        <x:v>M2</x:v>
      </x:c>
      <x:c r="N288" s="4" t="str">
        <x:v>P0-019,P0-021,P0-063,P0-071</x:v>
      </x:c>
      <x:c r="O288" s="4" t="str">
        <x:v>综合方案§13核心数据模型</x:v>
      </x:c>
      <x:c r="P288" s="4" t="str">
        <x:v>FROZEN_M2_000</x:v>
      </x:c>
    </x:row>
    <x:row r="289" ht="23" customHeight="1">
      <x:c r="A289" s="4" t="str">
        <x:v>Sku</x:v>
      </x:c>
      <x:c r="B289" s="4" t="str">
        <x:v>skuCode</x:v>
      </x:c>
      <x:c r="C289" s="17" t="str">
        <x:v>skuCode</x:v>
      </x:c>
      <x:c r="D289" s="4" t="str">
        <x:v>4</x:v>
      </x:c>
      <x:c r="E289" s="4" t="str">
        <x:v>String(64)</x:v>
      </x:c>
      <x:c r="F289" s="4" t="str">
        <x:v>YES</x:v>
      </x:c>
      <x:c r="G289" s="4" t="str">
        <x:v>UTF-8; max 64 chars</x:v>
      </x:c>
      <x:c r="H289" s="17" t="str">
        <x:v>INTERNAL</x:v>
      </x:c>
      <x:c r="I289" s="17" t="str">
        <x:v>按资源权限与数据域访问；公开DTO另行白名单</x:v>
      </x:c>
      <x:c r="J289" s="17" t="str">
        <x:v>数据库实体不得直接序列化为响应</x:v>
      </x:c>
      <x:c r="K289" s="17" t="str">
        <x:v>DTO whitelist; length/enum/ownership/state validation; client-derived ownership rejected</x:v>
      </x:c>
      <x:c r="L289" s="17" t="str">
        <x:v>按实体version或审计日志保留变更证据</x:v>
      </x:c>
      <x:c r="M289" s="4" t="str">
        <x:v>M2</x:v>
      </x:c>
      <x:c r="N289" s="4" t="str">
        <x:v>P0-019,P0-021,P0-063,P0-071</x:v>
      </x:c>
      <x:c r="O289" s="4" t="str">
        <x:v>综合方案§13核心数据模型</x:v>
      </x:c>
      <x:c r="P289" s="4" t="str">
        <x:v>FROZEN_M2_000</x:v>
      </x:c>
    </x:row>
    <x:row r="290" ht="23" customHeight="1">
      <x:c r="A290" s="4" t="str">
        <x:v>Sku</x:v>
      </x:c>
      <x:c r="B290" s="4" t="str">
        <x:v>approvedSupplyPrice</x:v>
      </x:c>
      <x:c r="C290" s="17" t="str">
        <x:v>approvedSupplyPrice</x:v>
      </x:c>
      <x:c r="D290" s="4" t="str">
        <x:v>5</x:v>
      </x:c>
      <x:c r="E290" s="4" t="str">
        <x:v>Int</x:v>
      </x:c>
      <x:c r="F290" s="4" t="str">
        <x:v>YES</x:v>
      </x:c>
      <x:c r="G290" s="4" t="str">
        <x:v>integer cents; &gt;=0</x:v>
      </x:c>
      <x:c r="H290" s="17" t="str">
        <x:v>STRICT_INTERNAL_SUPPLY_PRICE</x:v>
      </x:c>
      <x:c r="I290" s="17" t="str">
        <x:v>仅公司价格/财务及本供应商价格/财务职能可见</x:v>
      </x:c>
      <x:c r="J290" s="17" t="str">
        <x:v>禁止出现在消费者端、企业采购端、门户公开端及非授权日志</x:v>
      </x:c>
      <x:c r="K290" s="17" t="str">
        <x:v>integer cents; supplier pricing/company price review scope only; never public</x:v>
      </x:c>
      <x:c r="L290" s="17" t="str">
        <x:v>按实体version或审计日志保留变更证据</x:v>
      </x:c>
      <x:c r="M290" s="4" t="str">
        <x:v>M2</x:v>
      </x:c>
      <x:c r="N290" s="4" t="str">
        <x:v>P0-019,P0-021,P0-063,P0-071</x:v>
      </x:c>
      <x:c r="O290" s="4" t="str">
        <x:v>综合方案§13核心数据模型</x:v>
      </x:c>
      <x:c r="P290" s="4" t="str">
        <x:v>FROZEN_M2_000</x:v>
      </x:c>
    </x:row>
    <x:row r="291" ht="23" customHeight="1">
      <x:c r="A291" s="4" t="str">
        <x:v>Sku</x:v>
      </x:c>
      <x:c r="B291" s="4" t="str">
        <x:v>currentRetailSalePrice</x:v>
      </x:c>
      <x:c r="C291" s="17" t="str">
        <x:v>currentRetailSalePrice</x:v>
      </x:c>
      <x:c r="D291" s="4" t="str">
        <x:v>6</x:v>
      </x:c>
      <x:c r="E291" s="4" t="str">
        <x:v>Int</x:v>
      </x:c>
      <x:c r="F291" s="4" t="str">
        <x:v>YES</x:v>
      </x:c>
      <x:c r="G291" s="4" t="str">
        <x:v>integer cents; &gt;=0</x:v>
      </x:c>
      <x:c r="H291" s="17" t="str">
        <x:v>INTERNAL</x:v>
      </x:c>
      <x:c r="I291" s="17" t="str">
        <x:v>按资源权限与数据域访问；公开DTO另行白名单</x:v>
      </x:c>
      <x:c r="J291" s="17" t="str">
        <x:v>数据库实体不得直接序列化为响应</x:v>
      </x:c>
      <x:c r="K291" s="17" t="str">
        <x:v>integer cents; pricing role only; versioned effective time; no approval task after listing</x:v>
      </x:c>
      <x:c r="L291" s="17" t="str">
        <x:v>按实体version或审计日志保留变更证据</x:v>
      </x:c>
      <x:c r="M291" s="4" t="str">
        <x:v>M2</x:v>
      </x:c>
      <x:c r="N291" s="4" t="str">
        <x:v>P0-019,P0-021,P0-063,P0-071</x:v>
      </x:c>
      <x:c r="O291" s="4" t="str">
        <x:v>综合方案§13核心数据模型</x:v>
      </x:c>
      <x:c r="P291" s="4" t="str">
        <x:v>FROZEN_M2_000</x:v>
      </x:c>
    </x:row>
    <x:row r="292" ht="23" customHeight="1">
      <x:c r="A292" s="4" t="str">
        <x:v>Sku</x:v>
      </x:c>
      <x:c r="B292" s="4" t="str">
        <x:v>currentEnterpriseSalePrice</x:v>
      </x:c>
      <x:c r="C292" s="17" t="str">
        <x:v>currentEnterpriseSalePrice</x:v>
      </x:c>
      <x:c r="D292" s="4" t="str">
        <x:v>7</x:v>
      </x:c>
      <x:c r="E292" s="4" t="str">
        <x:v>Int</x:v>
      </x:c>
      <x:c r="F292" s="4" t="str">
        <x:v>YES</x:v>
      </x:c>
      <x:c r="G292" s="4" t="str">
        <x:v>integer cents; &gt;=0</x:v>
      </x:c>
      <x:c r="H292" s="17" t="str">
        <x:v>INTERNAL</x:v>
      </x:c>
      <x:c r="I292" s="17" t="str">
        <x:v>按资源权限与数据域访问；公开DTO另行白名单</x:v>
      </x:c>
      <x:c r="J292" s="17" t="str">
        <x:v>数据库实体不得直接序列化为响应</x:v>
      </x:c>
      <x:c r="K292" s="17" t="str">
        <x:v>integer cents; pricing role only; versioned effective time; no approval task after listing</x:v>
      </x:c>
      <x:c r="L292" s="17" t="str">
        <x:v>按实体version或审计日志保留变更证据</x:v>
      </x:c>
      <x:c r="M292" s="4" t="str">
        <x:v>M2</x:v>
      </x:c>
      <x:c r="N292" s="4" t="str">
        <x:v>P0-019,P0-021,P0-063,P0-071</x:v>
      </x:c>
      <x:c r="O292" s="4" t="str">
        <x:v>综合方案§13核心数据模型</x:v>
      </x:c>
      <x:c r="P292" s="4" t="str">
        <x:v>FROZEN_M2_000</x:v>
      </x:c>
    </x:row>
    <x:row r="293" ht="23" customHeight="1">
      <x:c r="A293" s="4" t="str">
        <x:v>Sku</x:v>
      </x:c>
      <x:c r="B293" s="4" t="str">
        <x:v>marketPrice</x:v>
      </x:c>
      <x:c r="C293" s="17" t="str">
        <x:v>marketPrice</x:v>
      </x:c>
      <x:c r="D293" s="4" t="str">
        <x:v>8</x:v>
      </x:c>
      <x:c r="E293" s="4" t="str">
        <x:v>Int</x:v>
      </x:c>
      <x:c r="F293" s="4" t="str">
        <x:v>YES</x:v>
      </x:c>
      <x:c r="G293" s="4" t="str">
        <x:v>integer cents; &gt;=0</x:v>
      </x:c>
      <x:c r="H293" s="17" t="str">
        <x:v>INTERNAL</x:v>
      </x:c>
      <x:c r="I293" s="17" t="str">
        <x:v>按资源权限与数据域访问；公开DTO另行白名单</x:v>
      </x:c>
      <x:c r="J293" s="17" t="str">
        <x:v>数据库实体不得直接序列化为响应</x:v>
      </x:c>
      <x:c r="K293" s="17" t="str">
        <x:v>DTO whitelist; length/enum/ownership/state validation; client-derived ownership rejected</x:v>
      </x:c>
      <x:c r="L293" s="17" t="str">
        <x:v>按实体version或审计日志保留变更证据</x:v>
      </x:c>
      <x:c r="M293" s="4" t="str">
        <x:v>M2</x:v>
      </x:c>
      <x:c r="N293" s="4" t="str">
        <x:v>P0-019,P0-021,P0-063,P0-071</x:v>
      </x:c>
      <x:c r="O293" s="4" t="str">
        <x:v>综合方案§13核心数据模型</x:v>
      </x:c>
      <x:c r="P293" s="4" t="str">
        <x:v>FROZEN_M2_000</x:v>
      </x:c>
    </x:row>
    <x:row r="294" ht="23" customHeight="1">
      <x:c r="A294" s="4" t="str">
        <x:v>Sku</x:v>
      </x:c>
      <x:c r="B294" s="4" t="str">
        <x:v>supplyPriceVersion</x:v>
      </x:c>
      <x:c r="C294" s="17" t="str">
        <x:v>supplyPriceVersion</x:v>
      </x:c>
      <x:c r="D294" s="4" t="str">
        <x:v>9</x:v>
      </x:c>
      <x:c r="E294" s="4" t="str">
        <x:v>Int</x:v>
      </x:c>
      <x:c r="F294" s="4" t="str">
        <x:v>YES</x:v>
      </x:c>
      <x:c r="G294" s="4" t="str">
        <x:v>positive monotonic integer</x:v>
      </x:c>
      <x:c r="H294" s="17" t="str">
        <x:v>STRICT_INTERNAL_SUPPLY_PRICE</x:v>
      </x:c>
      <x:c r="I294" s="17" t="str">
        <x:v>仅公司价格/财务及本供应商价格/财务职能可见</x:v>
      </x:c>
      <x:c r="J294" s="17" t="str">
        <x:v>禁止出现在消费者端、企业采购端、门户公开端及非授权日志</x:v>
      </x:c>
      <x:c r="K294" s="17" t="str">
        <x:v>optimistic lock; increment exactly once per successful write</x:v>
      </x:c>
      <x:c r="L294" s="17" t="str">
        <x:v>按实体version或审计日志保留变更证据</x:v>
      </x:c>
      <x:c r="M294" s="4" t="str">
        <x:v>M2</x:v>
      </x:c>
      <x:c r="N294" s="4" t="str">
        <x:v>P0-019,P0-021,P0-063,P0-071</x:v>
      </x:c>
      <x:c r="O294" s="4" t="str">
        <x:v>综合方案§13核心数据模型</x:v>
      </x:c>
      <x:c r="P294" s="4" t="str">
        <x:v>FROZEN_M2_000</x:v>
      </x:c>
    </x:row>
    <x:row r="295" ht="23" customHeight="1">
      <x:c r="A295" s="4" t="str">
        <x:v>Sku</x:v>
      </x:c>
      <x:c r="B295" s="4" t="str">
        <x:v>retailPriceVersion</x:v>
      </x:c>
      <x:c r="C295" s="17" t="str">
        <x:v>retailPriceVersion</x:v>
      </x:c>
      <x:c r="D295" s="4" t="str">
        <x:v>10</x:v>
      </x:c>
      <x:c r="E295" s="4" t="str">
        <x:v>Int</x:v>
      </x:c>
      <x:c r="F295" s="4" t="str">
        <x:v>YES</x:v>
      </x:c>
      <x:c r="G295" s="4" t="str">
        <x:v>positive monotonic integer</x:v>
      </x:c>
      <x:c r="H295" s="17" t="str">
        <x:v>INTERNAL</x:v>
      </x:c>
      <x:c r="I295" s="17" t="str">
        <x:v>按资源权限与数据域访问；公开DTO另行白名单</x:v>
      </x:c>
      <x:c r="J295" s="17" t="str">
        <x:v>数据库实体不得直接序列化为响应</x:v>
      </x:c>
      <x:c r="K295" s="17" t="str">
        <x:v>optimistic lock; increment exactly once per successful write</x:v>
      </x:c>
      <x:c r="L295" s="17" t="str">
        <x:v>按实体version或审计日志保留变更证据</x:v>
      </x:c>
      <x:c r="M295" s="4" t="str">
        <x:v>M2</x:v>
      </x:c>
      <x:c r="N295" s="4" t="str">
        <x:v>P0-019,P0-021,P0-063,P0-071</x:v>
      </x:c>
      <x:c r="O295" s="4" t="str">
        <x:v>综合方案§13核心数据模型</x:v>
      </x:c>
      <x:c r="P295" s="4" t="str">
        <x:v>FROZEN_M2_000</x:v>
      </x:c>
    </x:row>
    <x:row r="296" ht="23" customHeight="1">
      <x:c r="A296" s="4" t="str">
        <x:v>Sku</x:v>
      </x:c>
      <x:c r="B296" s="4" t="str">
        <x:v>enterprisePriceVersion</x:v>
      </x:c>
      <x:c r="C296" s="17" t="str">
        <x:v>enterprisePriceVersion</x:v>
      </x:c>
      <x:c r="D296" s="4" t="str">
        <x:v>11</x:v>
      </x:c>
      <x:c r="E296" s="4" t="str">
        <x:v>Int</x:v>
      </x:c>
      <x:c r="F296" s="4" t="str">
        <x:v>YES</x:v>
      </x:c>
      <x:c r="G296" s="4" t="str">
        <x:v>positive monotonic integer</x:v>
      </x:c>
      <x:c r="H296" s="17" t="str">
        <x:v>INTERNAL</x:v>
      </x:c>
      <x:c r="I296" s="17" t="str">
        <x:v>按资源权限与数据域访问；公开DTO另行白名单</x:v>
      </x:c>
      <x:c r="J296" s="17" t="str">
        <x:v>数据库实体不得直接序列化为响应</x:v>
      </x:c>
      <x:c r="K296" s="17" t="str">
        <x:v>optimistic lock; increment exactly once per successful write</x:v>
      </x:c>
      <x:c r="L296" s="17" t="str">
        <x:v>按实体version或审计日志保留变更证据</x:v>
      </x:c>
      <x:c r="M296" s="4" t="str">
        <x:v>M2</x:v>
      </x:c>
      <x:c r="N296" s="4" t="str">
        <x:v>P0-019,P0-021,P0-063,P0-071</x:v>
      </x:c>
      <x:c r="O296" s="4" t="str">
        <x:v>综合方案§13核心数据模型</x:v>
      </x:c>
      <x:c r="P296" s="4" t="str">
        <x:v>FROZEN_M2_000</x:v>
      </x:c>
    </x:row>
    <x:row r="297" ht="23" customHeight="1">
      <x:c r="A297" s="4" t="str">
        <x:v>Sku</x:v>
      </x:c>
      <x:c r="B297" s="4" t="str">
        <x:v>status</x:v>
      </x:c>
      <x:c r="C297" s="17" t="str">
        <x:v>status</x:v>
      </x:c>
      <x:c r="D297" s="4" t="str">
        <x:v>12</x:v>
      </x:c>
      <x:c r="E297" s="4" t="str">
        <x:v>Enum&lt;SkuStatus&gt;</x:v>
      </x:c>
      <x:c r="F297" s="4" t="str">
        <x:v>YES</x:v>
      </x:c>
      <x:c r="G297" s="4" t="str">
        <x:v>DRAFT|ACTIVE|INACTIVE|ARCHIVED</x:v>
      </x:c>
      <x:c r="H297" s="17" t="str">
        <x:v>INTERNAL</x:v>
      </x:c>
      <x:c r="I297" s="17" t="str">
        <x:v>按资源权限与数据域访问；公开DTO另行白名单</x:v>
      </x:c>
      <x:c r="J297" s="17" t="str">
        <x:v>数据库实体不得直接序列化为响应</x:v>
      </x:c>
      <x:c r="K297" s="17" t="str">
        <x:v>enum value and legal transition enforced by domain state machine</x:v>
      </x:c>
      <x:c r="L297" s="17" t="str">
        <x:v>按实体version或审计日志保留变更证据</x:v>
      </x:c>
      <x:c r="M297" s="4" t="str">
        <x:v>M2</x:v>
      </x:c>
      <x:c r="N297" s="4" t="str">
        <x:v>P0-019,P0-021,P0-063,P0-071</x:v>
      </x:c>
      <x:c r="O297" s="4" t="str">
        <x:v>综合方案§13核心数据模型</x:v>
      </x:c>
      <x:c r="P297" s="4" t="str">
        <x:v>FROZEN_M2_000</x:v>
      </x:c>
    </x:row>
    <x:row r="298" ht="23" customHeight="1">
      <x:c r="A298" s="4" t="str">
        <x:v>SupplyPriceChangeRequest</x:v>
      </x:c>
      <x:c r="B298" s="4" t="str">
        <x:v>id</x:v>
      </x:c>
      <x:c r="C298" s="17" t="str">
        <x:v>id</x:v>
      </x:c>
      <x:c r="D298" s="4" t="str">
        <x:v>1</x:v>
      </x:c>
      <x:c r="E298" s="4" t="str">
        <x:v>String(36)</x:v>
      </x:c>
      <x:c r="F298" s="4" t="str">
        <x:v>YES</x:v>
      </x:c>
      <x:c r="G298" s="4" t="str">
        <x:v>UUID v4</x:v>
      </x:c>
      <x:c r="H298" s="17" t="str">
        <x:v>STRICT_INTERNAL_SUPPLY_PRICE</x:v>
      </x:c>
      <x:c r="I298" s="17" t="str">
        <x:v>仅公司价格/财务及本供应商价格/财务职能可见</x:v>
      </x:c>
      <x:c r="J298" s="17" t="str">
        <x:v>禁止出现在消费者端、企业采购端、门户公开端及非授权日志</x:v>
      </x:c>
      <x:c r="K298" s="17" t="str">
        <x:v>server-owned identifier; ownership verified before lookup result</x:v>
      </x:c>
      <x:c r="L298" s="17" t="str">
        <x:v>追加/版本/快照，不覆盖已生效历史</x:v>
      </x:c>
      <x:c r="M298" s="4" t="str">
        <x:v>M2</x:v>
      </x:c>
      <x:c r="N298" s="4" t="str">
        <x:v>P0-019,P0-071</x:v>
      </x:c>
      <x:c r="O298" s="4" t="str">
        <x:v>综合方案§13核心数据模型</x:v>
      </x:c>
      <x:c r="P298" s="4" t="str">
        <x:v>FROZEN_M2_000</x:v>
      </x:c>
    </x:row>
    <x:row r="299" ht="23" customHeight="1">
      <x:c r="A299" s="4" t="str">
        <x:v>SupplyPriceChangeRequest</x:v>
      </x:c>
      <x:c r="B299" s="4" t="str">
        <x:v>supplierId</x:v>
      </x:c>
      <x:c r="C299" s="17" t="str">
        <x:v>supplierId</x:v>
      </x:c>
      <x:c r="D299" s="4" t="str">
        <x:v>2</x:v>
      </x:c>
      <x:c r="E299" s="4" t="str">
        <x:v>String(36)</x:v>
      </x:c>
      <x:c r="F299" s="4" t="str">
        <x:v>YES</x:v>
      </x:c>
      <x:c r="G299" s="4" t="str">
        <x:v>UUID v4</x:v>
      </x:c>
      <x:c r="H299" s="17" t="str">
        <x:v>STRICT_INTERNAL_SUPPLY_PRICE</x:v>
      </x:c>
      <x:c r="I299" s="17" t="str">
        <x:v>仅公司价格/财务及本供应商价格/财务职能可见</x:v>
      </x:c>
      <x:c r="J299" s="17" t="str">
        <x:v>禁止出现在消费者端、企业采购端、门户公开端及非授权日志</x:v>
      </x:c>
      <x:c r="K299" s="17" t="str">
        <x:v>derived from authenticated server session; client value rejected</x:v>
      </x:c>
      <x:c r="L299" s="17" t="str">
        <x:v>追加/版本/快照，不覆盖已生效历史</x:v>
      </x:c>
      <x:c r="M299" s="4" t="str">
        <x:v>M2</x:v>
      </x:c>
      <x:c r="N299" s="4" t="str">
        <x:v>P0-019,P0-071</x:v>
      </x:c>
      <x:c r="O299" s="4" t="str">
        <x:v>综合方案§13核心数据模型</x:v>
      </x:c>
      <x:c r="P299" s="4" t="str">
        <x:v>FROZEN_M2_000</x:v>
      </x:c>
    </x:row>
    <x:row r="300" ht="23" customHeight="1">
      <x:c r="A300" s="4" t="str">
        <x:v>SupplyPriceChangeRequest</x:v>
      </x:c>
      <x:c r="B300" s="4" t="str">
        <x:v>productId</x:v>
      </x:c>
      <x:c r="C300" s="17" t="str">
        <x:v>productId</x:v>
      </x:c>
      <x:c r="D300" s="4" t="str">
        <x:v>3</x:v>
      </x:c>
      <x:c r="E300" s="4" t="str">
        <x:v>String(36)</x:v>
      </x:c>
      <x:c r="F300" s="4" t="str">
        <x:v>YES</x:v>
      </x:c>
      <x:c r="G300" s="4" t="str">
        <x:v>UUID v4</x:v>
      </x:c>
      <x:c r="H300" s="17" t="str">
        <x:v>STRICT_INTERNAL_SUPPLY_PRICE</x:v>
      </x:c>
      <x:c r="I300" s="17" t="str">
        <x:v>仅公司价格/财务及本供应商价格/财务职能可见</x:v>
      </x:c>
      <x:c r="J300" s="17" t="str">
        <x:v>禁止出现在消费者端、企业采购端、门户公开端及非授权日志</x:v>
      </x:c>
      <x:c r="K300" s="17" t="str">
        <x:v>server-owned identifier; ownership verified before lookup result</x:v>
      </x:c>
      <x:c r="L300" s="17" t="str">
        <x:v>追加/版本/快照，不覆盖已生效历史</x:v>
      </x:c>
      <x:c r="M300" s="4" t="str">
        <x:v>M2</x:v>
      </x:c>
      <x:c r="N300" s="4" t="str">
        <x:v>P0-019,P0-071</x:v>
      </x:c>
      <x:c r="O300" s="4" t="str">
        <x:v>综合方案§13核心数据模型</x:v>
      </x:c>
      <x:c r="P300" s="4" t="str">
        <x:v>FROZEN_M2_000</x:v>
      </x:c>
    </x:row>
    <x:row r="301" ht="23" customHeight="1">
      <x:c r="A301" s="4" t="str">
        <x:v>SupplyPriceChangeRequest</x:v>
      </x:c>
      <x:c r="B301" s="4" t="str">
        <x:v>skuId</x:v>
      </x:c>
      <x:c r="C301" s="17" t="str">
        <x:v>skuId</x:v>
      </x:c>
      <x:c r="D301" s="4" t="str">
        <x:v>4</x:v>
      </x:c>
      <x:c r="E301" s="4" t="str">
        <x:v>String(36)</x:v>
      </x:c>
      <x:c r="F301" s="4" t="str">
        <x:v>YES</x:v>
      </x:c>
      <x:c r="G301" s="4" t="str">
        <x:v>UUID v4</x:v>
      </x:c>
      <x:c r="H301" s="17" t="str">
        <x:v>STRICT_INTERNAL_SUPPLY_PRICE</x:v>
      </x:c>
      <x:c r="I301" s="17" t="str">
        <x:v>仅公司价格/财务及本供应商价格/财务职能可见</x:v>
      </x:c>
      <x:c r="J301" s="17" t="str">
        <x:v>禁止出现在消费者端、企业采购端、门户公开端及非授权日志</x:v>
      </x:c>
      <x:c r="K301" s="17" t="str">
        <x:v>server-owned identifier; ownership verified before lookup result</x:v>
      </x:c>
      <x:c r="L301" s="17" t="str">
        <x:v>追加/版本/快照，不覆盖已生效历史</x:v>
      </x:c>
      <x:c r="M301" s="4" t="str">
        <x:v>M2</x:v>
      </x:c>
      <x:c r="N301" s="4" t="str">
        <x:v>P0-019,P0-071</x:v>
      </x:c>
      <x:c r="O301" s="4" t="str">
        <x:v>综合方案§13核心数据模型</x:v>
      </x:c>
      <x:c r="P301" s="4" t="str">
        <x:v>FROZEN_M2_000</x:v>
      </x:c>
    </x:row>
    <x:row r="302" ht="23" customHeight="1">
      <x:c r="A302" s="4" t="str">
        <x:v>SupplyPriceChangeRequest</x:v>
      </x:c>
      <x:c r="B302" s="4" t="str">
        <x:v>oldSupplyPrice</x:v>
      </x:c>
      <x:c r="C302" s="17" t="str">
        <x:v>oldSupplyPrice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追加/版本/快照，不覆盖已生效历史</x:v>
      </x:c>
      <x:c r="M302" s="4" t="str">
        <x:v>M2</x:v>
      </x:c>
      <x:c r="N302" s="4" t="str">
        <x:v>P0-019,P0-071</x:v>
      </x:c>
      <x:c r="O302" s="4" t="str">
        <x:v>综合方案§13核心数据模型</x:v>
      </x:c>
      <x:c r="P302" s="4" t="str">
        <x:v>FROZEN_M2_000</x:v>
      </x:c>
    </x:row>
    <x:row r="303" ht="23" customHeight="1">
      <x:c r="A303" s="4" t="str">
        <x:v>SupplyPriceChangeRequest</x:v>
      </x:c>
      <x:c r="B303" s="4" t="str">
        <x:v>requestedSupplyPrice</x:v>
      </x:c>
      <x:c r="C303" s="17" t="str">
        <x:v>requestedSupplyPrice</x:v>
      </x:c>
      <x:c r="D303" s="4" t="str">
        <x:v>6</x:v>
      </x:c>
      <x:c r="E303" s="4" t="str">
        <x:v>Int</x:v>
      </x:c>
      <x:c r="F303" s="4" t="str">
        <x:v>YES</x:v>
      </x:c>
      <x:c r="G303" s="4" t="str">
        <x:v>integer cents; &gt;=0</x:v>
      </x:c>
      <x:c r="H303" s="17" t="str">
        <x:v>STRICT_INTERNAL_SUPPLY_PRICE</x:v>
      </x:c>
      <x:c r="I303" s="17" t="str">
        <x:v>仅公司价格/财务及本供应商价格/财务职能可见</x:v>
      </x:c>
      <x:c r="J303" s="17" t="str">
        <x:v>禁止出现在消费者端、企业采购端、门户公开端及非授权日志</x:v>
      </x:c>
      <x:c r="K303" s="17" t="str">
        <x:v>integer cents; supplier pricing/company price review scope only; never public</x:v>
      </x:c>
      <x:c r="L303" s="17" t="str">
        <x:v>追加/版本/快照，不覆盖已生效历史</x:v>
      </x:c>
      <x:c r="M303" s="4" t="str">
        <x:v>M2</x:v>
      </x:c>
      <x:c r="N303" s="4" t="str">
        <x:v>P0-019,P0-071</x:v>
      </x:c>
      <x:c r="O303" s="4" t="str">
        <x:v>综合方案§13核心数据模型</x:v>
      </x:c>
      <x:c r="P303" s="4" t="str">
        <x:v>FROZEN_M2_000</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UTC ISO-8601</x:v>
      </x:c>
      <x:c r="H304" s="17" t="str">
        <x:v>STRICT_INTERNAL_SUPPLY_PRICE</x:v>
      </x:c>
      <x:c r="I304" s="17" t="str">
        <x:v>仅公司价格/财务及本供应商价格/财务职能可见</x:v>
      </x:c>
      <x:c r="J304" s="17" t="str">
        <x:v>禁止出现在消费者端、企业采购端、门户公开端及非授权日志</x:v>
      </x:c>
      <x:c r="K304" s="17" t="str">
        <x:v>DTO whitelist; length/enum/ownership/state validation; client-derived ownership rejected</x:v>
      </x:c>
      <x:c r="L304" s="17" t="str">
        <x:v>追加/版本/快照，不覆盖已生效历史</x:v>
      </x:c>
      <x:c r="M304" s="4" t="str">
        <x:v>M2</x:v>
      </x:c>
      <x:c r="N304" s="4" t="str">
        <x:v>P0-019,P0-071</x:v>
      </x:c>
      <x:c r="O304" s="4" t="str">
        <x:v>综合方案§13核心数据模型</x:v>
      </x:c>
      <x:c r="P304" s="4" t="str">
        <x:v>FROZEN_M2_000</x:v>
      </x:c>
    </x:row>
    <x:row r="305" ht="23" customHeight="1">
      <x:c r="A305" s="4" t="str">
        <x:v>SupplyPriceChangeRequest</x:v>
      </x:c>
      <x:c r="B305" s="4" t="str">
        <x:v>reviewStatus</x:v>
      </x:c>
      <x:c r="C305" s="17" t="str">
        <x:v>reviewStatus</x:v>
      </x:c>
      <x:c r="D305" s="4" t="str">
        <x:v>8</x:v>
      </x:c>
      <x:c r="E305" s="4" t="str">
        <x:v>Enum&lt;SupplyPriceReviewStatus&gt;</x:v>
      </x:c>
      <x:c r="F305" s="4" t="str">
        <x:v>YES</x:v>
      </x:c>
      <x:c r="G305" s="4" t="str">
        <x:v>DRAFT|SUBMITTED|APPROVED|REJECTED|CANCELLED|EFFECTIVE</x:v>
      </x:c>
      <x:c r="H305" s="17" t="str">
        <x:v>STRICT_INTERNAL_SUPPLY_PRICE</x:v>
      </x:c>
      <x:c r="I305" s="17" t="str">
        <x:v>仅公司价格/财务及本供应商价格/财务职能可见</x:v>
      </x:c>
      <x:c r="J305" s="17" t="str">
        <x:v>禁止出现在消费者端、企业采购端、门户公开端及非授权日志</x:v>
      </x:c>
      <x:c r="K305" s="17" t="str">
        <x:v>enum value and legal transition enforced by domain state machine</x:v>
      </x:c>
      <x:c r="L305" s="17" t="str">
        <x:v>追加/版本/快照，不覆盖已生效历史</x:v>
      </x:c>
      <x:c r="M305" s="4" t="str">
        <x:v>M2</x:v>
      </x:c>
      <x:c r="N305" s="4" t="str">
        <x:v>P0-019,P0-071</x:v>
      </x:c>
      <x:c r="O305" s="4" t="str">
        <x:v>综合方案§13核心数据模型</x:v>
      </x:c>
      <x:c r="P305" s="4" t="str">
        <x:v>FROZEN_M2_000</x:v>
      </x:c>
    </x:row>
    <x:row r="306" ht="23" customHeight="1">
      <x:c r="A306" s="4" t="str">
        <x:v>SupplyPriceChangeRequest</x:v>
      </x:c>
      <x:c r="B306" s="4" t="str">
        <x:v>reviewReason</x:v>
      </x:c>
      <x:c r="C306" s="17" t="str">
        <x:v>reviewReason</x:v>
      </x:c>
      <x:c r="D306" s="4" t="str">
        <x:v>9</x:v>
      </x:c>
      <x:c r="E306" s="4" t="str">
        <x:v>String(1000)</x:v>
      </x:c>
      <x:c r="F306" s="4" t="str">
        <x:v>YES</x:v>
      </x:c>
      <x:c r="G306" s="4" t="str">
        <x:v>UTF-8; max 1000 chars</x:v>
      </x:c>
      <x:c r="H306" s="17" t="str">
        <x:v>STRICT_INTERNAL_SUPPLY_PRICE</x:v>
      </x:c>
      <x:c r="I306" s="17" t="str">
        <x:v>仅公司价格/财务及本供应商价格/财务职能可见</x:v>
      </x:c>
      <x:c r="J306" s="17" t="str">
        <x:v>禁止出现在消费者端、企业采购端、门户公开端及非授权日志</x:v>
      </x:c>
      <x:c r="K306" s="17" t="str">
        <x:v>trimmed non-empty reason for review or change</x:v>
      </x:c>
      <x:c r="L306" s="17" t="str">
        <x:v>追加/版本/快照，不覆盖已生效历史</x:v>
      </x:c>
      <x:c r="M306" s="4" t="str">
        <x:v>M2</x:v>
      </x:c>
      <x:c r="N306" s="4" t="str">
        <x:v>P0-019,P0-071</x:v>
      </x:c>
      <x:c r="O306" s="4" t="str">
        <x:v>综合方案§13核心数据模型</x:v>
      </x:c>
      <x:c r="P306" s="4" t="str">
        <x:v>FROZEN_M2_000</x:v>
      </x:c>
    </x:row>
    <x:row r="307" ht="23" customHeight="1">
      <x:c r="A307" s="4" t="str">
        <x:v>SupplyPriceChangeRequest</x:v>
      </x:c>
      <x:c r="B307" s="4" t="str">
        <x:v>reviewedBy</x:v>
      </x:c>
      <x:c r="C307" s="17" t="str">
        <x:v>reviewedBy</x:v>
      </x:c>
      <x:c r="D307" s="4" t="str">
        <x:v>10</x:v>
      </x:c>
      <x:c r="E307" s="4" t="str">
        <x:v>String(191)</x:v>
      </x:c>
      <x:c r="F307" s="4" t="str">
        <x:v>YES</x:v>
      </x:c>
      <x:c r="G307" s="4" t="str">
        <x:v>UTF-8; max 191 chars</x:v>
      </x:c>
      <x:c r="H307" s="17" t="str">
        <x:v>STRICT_INTERNAL_SUPPLY_PRICE</x:v>
      </x:c>
      <x:c r="I307" s="17" t="str">
        <x:v>仅公司价格/财务及本供应商价格/财务职能可见</x:v>
      </x:c>
      <x:c r="J307" s="17" t="str">
        <x:v>禁止出现在消费者端、企业采购端、门户公开端及非授权日志</x:v>
      </x:c>
      <x:c r="K307" s="17" t="str">
        <x:v>authenticated natural identity; must differ from applicant identity when review separation applies</x:v>
      </x:c>
      <x:c r="L307" s="17" t="str">
        <x:v>追加/版本/快照，不覆盖已生效历史</x:v>
      </x:c>
      <x:c r="M307" s="4" t="str">
        <x:v>M2</x:v>
      </x:c>
      <x:c r="N307" s="4" t="str">
        <x:v>P0-019,P0-071</x:v>
      </x:c>
      <x:c r="O307" s="4" t="str">
        <x:v>综合方案§13核心数据模型</x:v>
      </x:c>
      <x:c r="P307" s="4" t="str">
        <x:v>FROZEN_M2_000</x:v>
      </x:c>
    </x:row>
    <x:row r="308" ht="23" customHeight="1">
      <x:c r="A308" s="4" t="str">
        <x:v>SupplyPriceChangeRequest</x:v>
      </x:c>
      <x:c r="B308" s="4" t="str">
        <x:v>reviewedAt</x:v>
      </x:c>
      <x:c r="C308" s="17" t="str">
        <x:v>reviewedAt</x:v>
      </x:c>
      <x:c r="D308" s="4" t="str">
        <x:v>11</x:v>
      </x:c>
      <x:c r="E308" s="4" t="str">
        <x:v>DateTime</x:v>
      </x:c>
      <x:c r="F308" s="4" t="str">
        <x:v>YES</x:v>
      </x:c>
      <x:c r="G308" s="4" t="str">
        <x:v>UTC ISO-8601</x:v>
      </x:c>
      <x:c r="H308" s="17" t="str">
        <x:v>STRICT_INTERNAL_SUPPLY_PRICE</x:v>
      </x:c>
      <x:c r="I308" s="17" t="str">
        <x:v>仅公司价格/财务及本供应商价格/财务职能可见</x:v>
      </x:c>
      <x:c r="J308" s="17" t="str">
        <x:v>禁止出现在消费者端、企业采购端、门户公开端及非授权日志</x:v>
      </x:c>
      <x:c r="K308" s="17" t="str">
        <x:v>DTO whitelist; length/enum/ownership/state validation; client-derived ownership rejected</x:v>
      </x:c>
      <x:c r="L308" s="17" t="str">
        <x:v>追加/版本/快照，不覆盖已生效历史</x:v>
      </x:c>
      <x:c r="M308" s="4" t="str">
        <x:v>M2</x:v>
      </x:c>
      <x:c r="N308" s="4" t="str">
        <x:v>P0-019,P0-071</x:v>
      </x:c>
      <x:c r="O308" s="4" t="str">
        <x:v>综合方案§13核心数据模型</x:v>
      </x:c>
      <x:c r="P308" s="4" t="str">
        <x:v>FROZEN_M2_000</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UTC ISO-8601</x:v>
      </x:c>
      <x:c r="H309" s="17" t="str">
        <x:v>STRICT_INTERNAL_SUPPLY_PRICE</x:v>
      </x:c>
      <x:c r="I309" s="17" t="str">
        <x:v>仅公司价格/财务及本供应商价格/财务职能可见</x:v>
      </x:c>
      <x:c r="J309" s="17" t="str">
        <x:v>禁止出现在消费者端、企业采购端、门户公开端及非授权日志</x:v>
      </x:c>
      <x:c r="K309" s="17" t="str">
        <x:v>DTO whitelist; length/enum/ownership/state validation; client-derived ownership rejected</x:v>
      </x:c>
      <x:c r="L309" s="17" t="str">
        <x:v>追加/版本/快照，不覆盖已生效历史</x:v>
      </x:c>
      <x:c r="M309" s="4" t="str">
        <x:v>M2</x:v>
      </x:c>
      <x:c r="N309" s="4" t="str">
        <x:v>P0-019,P0-071</x:v>
      </x:c>
      <x:c r="O309" s="4" t="str">
        <x:v>综合方案§13核心数据模型</x:v>
      </x:c>
      <x:c r="P309" s="4" t="str">
        <x:v>FROZEN_M2_000</x:v>
      </x:c>
    </x:row>
    <x:row r="310" ht="23" customHeight="1">
      <x:c r="A310" s="4" t="str">
        <x:v>SupplyPriceChangeRequest</x:v>
      </x:c>
      <x:c r="B310" s="4" t="str">
        <x:v>version</x:v>
      </x:c>
      <x:c r="C310" s="17" t="str">
        <x:v>version</x:v>
      </x:c>
      <x:c r="D310" s="4" t="str">
        <x:v>13</x:v>
      </x:c>
      <x:c r="E310" s="4" t="str">
        <x:v>Int</x:v>
      </x:c>
      <x:c r="F310" s="4" t="str">
        <x:v>YES</x:v>
      </x:c>
      <x:c r="G310" s="4" t="str">
        <x:v>positive monotonic integer</x:v>
      </x:c>
      <x:c r="H310" s="17" t="str">
        <x:v>STRICT_INTERNAL_SUPPLY_PRICE</x:v>
      </x:c>
      <x:c r="I310" s="17" t="str">
        <x:v>仅公司价格/财务及本供应商价格/财务职能可见</x:v>
      </x:c>
      <x:c r="J310" s="17" t="str">
        <x:v>禁止出现在消费者端、企业采购端、门户公开端及非授权日志</x:v>
      </x:c>
      <x:c r="K310" s="17" t="str">
        <x:v>optimistic lock; increment exactly once per successful write</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createdAt</x:v>
      </x:c>
      <x:c r="C311" s="17" t="str">
        <x:v>createdAt</x:v>
      </x:c>
      <x:c r="D311" s="4" t="str">
        <x:v>14</x:v>
      </x:c>
      <x:c r="E311" s="4" t="str">
        <x:v>DateTime</x:v>
      </x:c>
      <x:c r="F311" s="4" t="str">
        <x:v>YES</x:v>
      </x:c>
      <x:c r="G311" s="4" t="str">
        <x:v>UTC ISO-8601</x:v>
      </x:c>
      <x:c r="H311" s="17" t="str">
        <x:v>STRICT_INTERNAL_SUPPLY_PRICE</x:v>
      </x:c>
      <x:c r="I311" s="17" t="str">
        <x:v>仅公司价格/财务及本供应商价格/财务职能可见</x:v>
      </x:c>
      <x:c r="J311" s="17" t="str">
        <x:v>禁止出现在消费者端、企业采购端、门户公开端及非授权日志</x:v>
      </x:c>
      <x:c r="K311" s="17" t="str">
        <x:v>DTO whitelist; length/enum/ownership/state validation; client-derived ownership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PriceChangeLog</x:v>
      </x:c>
      <x:c r="B312" s="4" t="str">
        <x:v>id</x:v>
      </x:c>
      <x:c r="C312" s="17" t="str">
        <x:v>id</x:v>
      </x:c>
      <x:c r="D312" s="4" t="str">
        <x:v>1</x:v>
      </x:c>
      <x:c r="E312" s="4" t="str">
        <x:v>String(36)</x:v>
      </x:c>
      <x:c r="F312" s="4" t="str">
        <x:v>YES</x:v>
      </x:c>
      <x:c r="G312" s="4" t="str">
        <x:v>UUID v4</x:v>
      </x:c>
      <x:c r="H312" s="17" t="str">
        <x:v>INTERNAL</x:v>
      </x:c>
      <x:c r="I312" s="17" t="str">
        <x:v>按资源权限与数据域访问；公开DTO另行白名单</x:v>
      </x:c>
      <x:c r="J312" s="17" t="str">
        <x:v>数据库实体不得直接序列化为响应</x:v>
      </x:c>
      <x:c r="K312" s="17" t="str">
        <x:v>server-owned identifier; ownership verified before lookup result</x:v>
      </x:c>
      <x:c r="L312" s="17" t="str">
        <x:v>追加/版本/快照，不覆盖已生效历史</x:v>
      </x:c>
      <x:c r="M312" s="4" t="str">
        <x:v>M2</x:v>
      </x:c>
      <x:c r="N312" s="4" t="str">
        <x:v>P0-019,P0-021,P0-071</x:v>
      </x:c>
      <x:c r="O312" s="4" t="str">
        <x:v>综合方案§13核心数据模型</x:v>
      </x:c>
      <x:c r="P312" s="4" t="str">
        <x:v>FROZEN_M2_000</x:v>
      </x:c>
    </x:row>
    <x:row r="313" ht="23" customHeight="1">
      <x:c r="A313" s="4" t="str">
        <x:v>PriceChangeLog</x:v>
      </x:c>
      <x:c r="B313" s="4" t="str">
        <x:v>supplierId</x:v>
      </x:c>
      <x:c r="C313" s="17" t="str">
        <x:v>supplierId</x:v>
      </x:c>
      <x:c r="D313" s="4" t="str">
        <x:v>2</x:v>
      </x:c>
      <x:c r="E313" s="4" t="str">
        <x:v>String(36)</x:v>
      </x:c>
      <x:c r="F313" s="4" t="str">
        <x:v>YES</x:v>
      </x:c>
      <x:c r="G313" s="4" t="str">
        <x:v>UUID v4</x:v>
      </x:c>
      <x:c r="H313" s="17" t="str">
        <x:v>INTERNAL</x:v>
      </x:c>
      <x:c r="I313" s="17" t="str">
        <x:v>按资源权限与数据域访问；公开DTO另行白名单</x:v>
      </x:c>
      <x:c r="J313" s="17" t="str">
        <x:v>数据库实体不得直接序列化为响应</x:v>
      </x:c>
      <x:c r="K313" s="17" t="str">
        <x:v>derived from authenticated server session; client value rejected</x:v>
      </x:c>
      <x:c r="L313" s="17" t="str">
        <x:v>追加/版本/快照，不覆盖已生效历史</x:v>
      </x:c>
      <x:c r="M313" s="4" t="str">
        <x:v>M2</x:v>
      </x:c>
      <x:c r="N313" s="4" t="str">
        <x:v>P0-019,P0-021,P0-071</x:v>
      </x:c>
      <x:c r="O313" s="4" t="str">
        <x:v>综合方案§13核心数据模型</x:v>
      </x:c>
      <x:c r="P313" s="4" t="str">
        <x:v>FROZEN_M2_000</x:v>
      </x:c>
    </x:row>
    <x:row r="314" ht="23" customHeight="1">
      <x:c r="A314" s="4" t="str">
        <x:v>PriceChangeLog</x:v>
      </x:c>
      <x:c r="B314" s="4" t="str">
        <x:v>productId</x:v>
      </x:c>
      <x:c r="C314" s="17" t="str">
        <x:v>productId</x:v>
      </x:c>
      <x:c r="D314" s="4" t="str">
        <x:v>3</x:v>
      </x:c>
      <x:c r="E314" s="4" t="str">
        <x:v>String(36)</x:v>
      </x:c>
      <x:c r="F314" s="4" t="str">
        <x:v>YES</x:v>
      </x:c>
      <x:c r="G314" s="4" t="str">
        <x:v>UUID v4</x:v>
      </x:c>
      <x:c r="H314" s="17" t="str">
        <x:v>INTERNAL</x:v>
      </x:c>
      <x:c r="I314" s="17" t="str">
        <x:v>按资源权限与数据域访问；公开DTO另行白名单</x:v>
      </x:c>
      <x:c r="J314" s="17" t="str">
        <x:v>数据库实体不得直接序列化为响应</x:v>
      </x:c>
      <x:c r="K314" s="17" t="str">
        <x:v>server-owned identifier; ownership verified before lookup result</x:v>
      </x:c>
      <x:c r="L314" s="17" t="str">
        <x:v>追加/版本/快照，不覆盖已生效历史</x:v>
      </x:c>
      <x:c r="M314" s="4" t="str">
        <x:v>M2</x:v>
      </x:c>
      <x:c r="N314" s="4" t="str">
        <x:v>P0-019,P0-021,P0-071</x:v>
      </x:c>
      <x:c r="O314" s="4" t="str">
        <x:v>综合方案§13核心数据模型</x:v>
      </x:c>
      <x:c r="P314" s="4" t="str">
        <x:v>FROZEN_M2_000</x:v>
      </x:c>
    </x:row>
    <x:row r="315" ht="23" customHeight="1">
      <x:c r="A315" s="4" t="str">
        <x:v>PriceChangeLog</x:v>
      </x:c>
      <x:c r="B315" s="4" t="str">
        <x:v>skuId</x:v>
      </x:c>
      <x:c r="C315" s="17" t="str">
        <x:v>skuId</x:v>
      </x:c>
      <x:c r="D315" s="4" t="str">
        <x:v>4</x:v>
      </x:c>
      <x:c r="E315" s="4" t="str">
        <x:v>String(36)</x:v>
      </x:c>
      <x:c r="F315" s="4" t="str">
        <x:v>YES</x:v>
      </x:c>
      <x:c r="G315" s="4" t="str">
        <x:v>UUID v4</x:v>
      </x:c>
      <x:c r="H315" s="17" t="str">
        <x:v>INTERNAL</x:v>
      </x:c>
      <x:c r="I315" s="17" t="str">
        <x:v>按资源权限与数据域访问；公开DTO另行白名单</x:v>
      </x:c>
      <x:c r="J315" s="17" t="str">
        <x:v>数据库实体不得直接序列化为响应</x:v>
      </x:c>
      <x:c r="K315" s="17" t="str">
        <x:v>server-owned identifier; ownership verified before lookup result</x:v>
      </x:c>
      <x:c r="L315" s="17" t="str">
        <x:v>追加/版本/快照，不覆盖已生效历史</x:v>
      </x:c>
      <x:c r="M315" s="4" t="str">
        <x:v>M2</x:v>
      </x:c>
      <x:c r="N315" s="4" t="str">
        <x:v>P0-019,P0-021,P0-071</x:v>
      </x:c>
      <x:c r="O315" s="4" t="str">
        <x:v>综合方案§13核心数据模型</x:v>
      </x:c>
      <x:c r="P315" s="4" t="str">
        <x:v>FROZEN_M2_000</x:v>
      </x:c>
    </x:row>
    <x:row r="316" ht="23" customHeight="1">
      <x:c r="A316" s="4" t="str">
        <x:v>PriceChangeLog</x:v>
      </x:c>
      <x:c r="B316" s="4" t="str">
        <x:v>priceType</x:v>
      </x:c>
      <x:c r="C316" s="17" t="str">
        <x:v>priceType</x:v>
      </x:c>
      <x:c r="D316" s="4" t="str">
        <x:v>5</x:v>
      </x:c>
      <x:c r="E316" s="4" t="str">
        <x:v>Enum&lt;PriceType&gt;</x:v>
      </x:c>
      <x:c r="F316" s="4" t="str">
        <x:v>YES</x:v>
      </x:c>
      <x:c r="G316" s="4" t="str">
        <x:v>SUPPLY|RETAIL_SALE|ENTERPRISE_SALE</x:v>
      </x:c>
      <x:c r="H316" s="17" t="str">
        <x:v>INTERNAL</x:v>
      </x:c>
      <x:c r="I316" s="17" t="str">
        <x:v>按资源权限与数据域访问；公开DTO另行白名单</x:v>
      </x:c>
      <x:c r="J316" s="17" t="str">
        <x:v>数据库实体不得直接序列化为响应</x:v>
      </x:c>
      <x:c r="K316" s="17" t="str">
        <x:v>DTO whitelist; length/enum/ownership/state validation; client-derived ownership rejected</x:v>
      </x:c>
      <x:c r="L316" s="17" t="str">
        <x:v>追加/版本/快照，不覆盖已生效历史</x:v>
      </x:c>
      <x:c r="M316" s="4" t="str">
        <x:v>M2</x:v>
      </x:c>
      <x:c r="N316" s="4" t="str">
        <x:v>P0-019,P0-021,P0-071</x:v>
      </x:c>
      <x:c r="O316" s="4" t="str">
        <x:v>综合方案§13核心数据模型</x:v>
      </x:c>
      <x:c r="P316" s="4" t="str">
        <x:v>FROZEN_M2_000</x:v>
      </x:c>
    </x:row>
    <x:row r="317" ht="23" customHeight="1">
      <x:c r="A317" s="4" t="str">
        <x:v>PriceChangeLog</x:v>
      </x:c>
      <x:c r="B317" s="4" t="str">
        <x:v>approvalRequestId</x:v>
      </x:c>
      <x:c r="C317" s="17" t="str">
        <x:v>approvalRequestId?</x:v>
      </x:c>
      <x:c r="D317" s="4" t="str">
        <x:v>6</x:v>
      </x:c>
      <x:c r="E317" s="4" t="str">
        <x:v>String(36)</x:v>
      </x:c>
      <x:c r="F317" s="4" t="str">
        <x:v>NO</x:v>
      </x:c>
      <x:c r="G317" s="4" t="str">
        <x:v>UUID v4; nullable</x:v>
      </x:c>
      <x:c r="H317" s="17" t="str">
        <x:v>INTERNAL</x:v>
      </x:c>
      <x:c r="I317" s="17" t="str">
        <x:v>按资源权限与数据域访问；公开DTO另行白名单</x:v>
      </x:c>
      <x:c r="J317" s="17" t="str">
        <x:v>数据库实体不得直接序列化为响应</x:v>
      </x:c>
      <x:c r="K317" s="17" t="str">
        <x:v>server-owned identifier; ownership verified before lookup result</x:v>
      </x:c>
      <x:c r="L317" s="17" t="str">
        <x:v>追加/版本/快照，不覆盖已生效历史</x:v>
      </x:c>
      <x:c r="M317" s="4" t="str">
        <x:v>M2</x:v>
      </x:c>
      <x:c r="N317" s="4" t="str">
        <x:v>P0-019,P0-021,P0-071</x:v>
      </x:c>
      <x:c r="O317" s="4" t="str">
        <x:v>综合方案§13核心数据模型</x:v>
      </x:c>
      <x:c r="P317" s="4" t="str">
        <x:v>FROZEN_M2_000</x:v>
      </x:c>
    </x:row>
    <x:row r="318" ht="23" customHeight="1">
      <x:c r="A318" s="4" t="str">
        <x:v>PriceChangeLog</x:v>
      </x:c>
      <x:c r="B318" s="4" t="str">
        <x:v>oldSupplyPrice</x:v>
      </x:c>
      <x:c r="C318" s="17" t="str">
        <x:v>oldSupplyPrice</x:v>
      </x:c>
      <x:c r="D318" s="4" t="str">
        <x:v>7</x:v>
      </x:c>
      <x:c r="E318" s="4" t="str">
        <x:v>Int</x:v>
      </x:c>
      <x:c r="F318" s="4" t="str">
        <x:v>YES</x:v>
      </x:c>
      <x:c r="G318" s="4" t="str">
        <x:v>integer cents; &gt;=0</x:v>
      </x:c>
      <x:c r="H318" s="17" t="str">
        <x:v>STRICT_INTERNAL_SUPPLY_PRICE</x:v>
      </x:c>
      <x:c r="I318" s="17" t="str">
        <x:v>仅公司价格/财务及本供应商价格/财务职能可见</x:v>
      </x:c>
      <x:c r="J318" s="17" t="str">
        <x:v>禁止出现在消费者端、企业采购端、门户公开端及非授权日志</x:v>
      </x:c>
      <x:c r="K318" s="17" t="str">
        <x:v>integer cents; supplier pricing/company price review scope only; never public</x:v>
      </x:c>
      <x:c r="L318" s="17" t="str">
        <x:v>追加/版本/快照，不覆盖已生效历史</x:v>
      </x:c>
      <x:c r="M318" s="4" t="str">
        <x:v>M2</x:v>
      </x:c>
      <x:c r="N318" s="4" t="str">
        <x:v>P0-019,P0-021,P0-071</x:v>
      </x:c>
      <x:c r="O318" s="4" t="str">
        <x:v>综合方案§13核心数据模型</x:v>
      </x:c>
      <x:c r="P318" s="4" t="str">
        <x:v>FROZEN_M2_000</x:v>
      </x:c>
    </x:row>
    <x:row r="319" ht="23" customHeight="1">
      <x:c r="A319" s="4" t="str">
        <x:v>PriceChangeLog</x:v>
      </x:c>
      <x:c r="B319" s="4" t="str">
        <x:v>newSupplyPrice</x:v>
      </x:c>
      <x:c r="C319" s="17" t="str">
        <x:v>newSupplyPrice</x:v>
      </x:c>
      <x:c r="D319" s="4" t="str">
        <x:v>8</x:v>
      </x:c>
      <x:c r="E319" s="4" t="str">
        <x:v>Int</x:v>
      </x:c>
      <x:c r="F319" s="4" t="str">
        <x:v>YES</x:v>
      </x:c>
      <x:c r="G319" s="4" t="str">
        <x:v>integer cents; &gt;=0</x:v>
      </x:c>
      <x:c r="H319" s="17" t="str">
        <x:v>STRICT_INTERNAL_SUPPLY_PRICE</x:v>
      </x:c>
      <x:c r="I319" s="17" t="str">
        <x:v>仅公司价格/财务及本供应商价格/财务职能可见</x:v>
      </x:c>
      <x:c r="J319" s="17" t="str">
        <x:v>禁止出现在消费者端、企业采购端、门户公开端及非授权日志</x:v>
      </x:c>
      <x:c r="K319" s="17" t="str">
        <x:v>integer cents; supplier pricing/company price review scope only; never public</x:v>
      </x:c>
      <x:c r="L319" s="17" t="str">
        <x:v>追加/版本/快照，不覆盖已生效历史</x:v>
      </x:c>
      <x:c r="M319" s="4" t="str">
        <x:v>M2</x:v>
      </x:c>
      <x:c r="N319" s="4" t="str">
        <x:v>P0-019,P0-021,P0-071</x:v>
      </x:c>
      <x:c r="O319" s="4" t="str">
        <x:v>综合方案§13核心数据模型</x:v>
      </x:c>
      <x:c r="P319" s="4" t="str">
        <x:v>FROZEN_M2_000</x:v>
      </x:c>
    </x:row>
    <x:row r="320" ht="23" customHeight="1">
      <x:c r="A320" s="4" t="str">
        <x:v>PriceChangeLog</x:v>
      </x:c>
      <x:c r="B320" s="4" t="str">
        <x:v>oldRetailSalePrice</x:v>
      </x:c>
      <x:c r="C320" s="17" t="str">
        <x:v>oldRetailSalePrice</x:v>
      </x:c>
      <x:c r="D320" s="4" t="str">
        <x:v>9</x:v>
      </x:c>
      <x:c r="E320" s="4" t="str">
        <x:v>Int</x:v>
      </x:c>
      <x:c r="F320" s="4" t="str">
        <x:v>YES</x:v>
      </x:c>
      <x:c r="G320" s="4" t="str">
        <x:v>integer cents; &gt;=0</x:v>
      </x:c>
      <x:c r="H320" s="17" t="str">
        <x:v>INTERNAL</x:v>
      </x:c>
      <x:c r="I320" s="17" t="str">
        <x:v>按资源权限与数据域访问；公开DTO另行白名单</x:v>
      </x:c>
      <x:c r="J320" s="17" t="str">
        <x:v>数据库实体不得直接序列化为响应</x:v>
      </x:c>
      <x:c r="K320" s="17" t="str">
        <x:v>integer cents; pricing role only; versioned effective time; no approval task after listing</x:v>
      </x:c>
      <x:c r="L320" s="17" t="str">
        <x:v>追加/版本/快照，不覆盖已生效历史</x:v>
      </x:c>
      <x:c r="M320" s="4" t="str">
        <x:v>M2</x:v>
      </x:c>
      <x:c r="N320" s="4" t="str">
        <x:v>P0-019,P0-021,P0-071</x:v>
      </x:c>
      <x:c r="O320" s="4" t="str">
        <x:v>综合方案§13核心数据模型</x:v>
      </x:c>
      <x:c r="P320" s="4" t="str">
        <x:v>FROZEN_M2_000</x:v>
      </x:c>
    </x:row>
    <x:row r="321" ht="23" customHeight="1">
      <x:c r="A321" s="4" t="str">
        <x:v>PriceChangeLog</x:v>
      </x:c>
      <x:c r="B321" s="4" t="str">
        <x:v>newRetailSalePrice</x:v>
      </x:c>
      <x:c r="C321" s="17" t="str">
        <x:v>newRetailSalePrice</x:v>
      </x:c>
      <x:c r="D321" s="4" t="str">
        <x:v>10</x:v>
      </x:c>
      <x:c r="E321" s="4" t="str">
        <x:v>Int</x:v>
      </x:c>
      <x:c r="F321" s="4" t="str">
        <x:v>YES</x:v>
      </x:c>
      <x:c r="G321" s="4" t="str">
        <x:v>integer cents; &gt;=0</x:v>
      </x:c>
      <x:c r="H321" s="17" t="str">
        <x:v>INTERNAL</x:v>
      </x:c>
      <x:c r="I321" s="17" t="str">
        <x:v>按资源权限与数据域访问；公开DTO另行白名单</x:v>
      </x:c>
      <x:c r="J321" s="17" t="str">
        <x:v>数据库实体不得直接序列化为响应</x:v>
      </x:c>
      <x:c r="K321" s="17" t="str">
        <x:v>integer cents; pricing role only; versioned effective time; no approval task after listing</x:v>
      </x:c>
      <x:c r="L321" s="17" t="str">
        <x:v>追加/版本/快照，不覆盖已生效历史</x:v>
      </x:c>
      <x:c r="M321" s="4" t="str">
        <x:v>M2</x:v>
      </x:c>
      <x:c r="N321" s="4" t="str">
        <x:v>P0-019,P0-021,P0-071</x:v>
      </x:c>
      <x:c r="O321" s="4" t="str">
        <x:v>综合方案§13核心数据模型</x:v>
      </x:c>
      <x:c r="P321" s="4" t="str">
        <x:v>FROZEN_M2_000</x:v>
      </x:c>
    </x:row>
    <x:row r="322" ht="23" customHeight="1">
      <x:c r="A322" s="4" t="str">
        <x:v>PriceChangeLog</x:v>
      </x:c>
      <x:c r="B322" s="4" t="str">
        <x:v>oldEnterpriseSalePrice</x:v>
      </x:c>
      <x:c r="C322" s="17" t="str">
        <x:v>oldEnterpriseSalePrice</x:v>
      </x:c>
      <x:c r="D322" s="4" t="str">
        <x:v>11</x:v>
      </x:c>
      <x:c r="E322" s="4" t="str">
        <x:v>Int</x:v>
      </x:c>
      <x:c r="F322" s="4" t="str">
        <x:v>YES</x:v>
      </x:c>
      <x:c r="G322" s="4" t="str">
        <x:v>integer cents; &gt;=0</x:v>
      </x:c>
      <x:c r="H322" s="17" t="str">
        <x:v>INTERNAL</x:v>
      </x:c>
      <x:c r="I322" s="17" t="str">
        <x:v>按资源权限与数据域访问；公开DTO另行白名单</x:v>
      </x:c>
      <x:c r="J322" s="17" t="str">
        <x:v>数据库实体不得直接序列化为响应</x:v>
      </x:c>
      <x:c r="K322" s="17" t="str">
        <x:v>integer cents; pricing role only; versioned effective time; no approval task after listing</x:v>
      </x:c>
      <x:c r="L322" s="17" t="str">
        <x:v>追加/版本/快照，不覆盖已生效历史</x:v>
      </x:c>
      <x:c r="M322" s="4" t="str">
        <x:v>M2</x:v>
      </x:c>
      <x:c r="N322" s="4" t="str">
        <x:v>P0-019,P0-021,P0-071</x:v>
      </x:c>
      <x:c r="O322" s="4" t="str">
        <x:v>综合方案§13核心数据模型</x:v>
      </x:c>
      <x:c r="P322" s="4" t="str">
        <x:v>FROZEN_M2_000</x:v>
      </x:c>
    </x:row>
    <x:row r="323" ht="23" customHeight="1">
      <x:c r="A323" s="4" t="str">
        <x:v>PriceChangeLog</x:v>
      </x:c>
      <x:c r="B323" s="4" t="str">
        <x:v>newEnterpriseSalePrice</x:v>
      </x:c>
      <x:c r="C323" s="17" t="str">
        <x:v>newEnterpriseSalePrice</x:v>
      </x:c>
      <x:c r="D323" s="4" t="str">
        <x:v>12</x:v>
      </x:c>
      <x:c r="E323" s="4" t="str">
        <x:v>Int</x:v>
      </x:c>
      <x:c r="F323" s="4" t="str">
        <x:v>YES</x:v>
      </x:c>
      <x:c r="G323" s="4" t="str">
        <x:v>integer cents; &gt;=0</x:v>
      </x:c>
      <x:c r="H323" s="17" t="str">
        <x:v>INTERNAL</x:v>
      </x:c>
      <x:c r="I323" s="17" t="str">
        <x:v>按资源权限与数据域访问；公开DTO另行白名单</x:v>
      </x:c>
      <x:c r="J323" s="17" t="str">
        <x:v>数据库实体不得直接序列化为响应</x:v>
      </x:c>
      <x:c r="K323" s="17" t="str">
        <x:v>integer cents; pricing role only; versioned effective time; no approval task after listing</x:v>
      </x:c>
      <x:c r="L323" s="17" t="str">
        <x:v>追加/版本/快照，不覆盖已生效历史</x:v>
      </x:c>
      <x:c r="M323" s="4" t="str">
        <x:v>M2</x:v>
      </x:c>
      <x:c r="N323" s="4" t="str">
        <x:v>P0-019,P0-021,P0-071</x:v>
      </x:c>
      <x:c r="O323" s="4" t="str">
        <x:v>综合方案§13核心数据模型</x:v>
      </x:c>
      <x:c r="P323" s="4" t="str">
        <x:v>FROZEN_M2_000</x:v>
      </x:c>
    </x:row>
    <x:row r="324" ht="23" customHeight="1">
      <x:c r="A324" s="4" t="str">
        <x:v>PriceChangeLog</x:v>
      </x:c>
      <x:c r="B324" s="4" t="str">
        <x:v>effectiveAt</x:v>
      </x:c>
      <x:c r="C324" s="17" t="str">
        <x:v>effectiveAt</x:v>
      </x:c>
      <x:c r="D324" s="4" t="str">
        <x:v>13</x:v>
      </x:c>
      <x:c r="E324" s="4" t="str">
        <x:v>DateTime</x:v>
      </x:c>
      <x:c r="F324" s="4" t="str">
        <x:v>YES</x:v>
      </x:c>
      <x:c r="G324" s="4" t="str">
        <x:v>UTC ISO-8601</x:v>
      </x:c>
      <x:c r="H324" s="17" t="str">
        <x:v>INTERNAL</x:v>
      </x:c>
      <x:c r="I324" s="17" t="str">
        <x:v>按资源权限与数据域访问；公开DTO另行白名单</x:v>
      </x:c>
      <x:c r="J324" s="17" t="str">
        <x:v>数据库实体不得直接序列化为响应</x:v>
      </x:c>
      <x:c r="K324" s="17" t="str">
        <x:v>DTO whitelist; length/enum/ownership/state validation; client-derived ownership rejected</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changedBy</x:v>
      </x:c>
      <x:c r="C325" s="17" t="str">
        <x:v>changedBy</x:v>
      </x:c>
      <x:c r="D325" s="4" t="str">
        <x:v>14</x:v>
      </x:c>
      <x:c r="E325" s="4" t="str">
        <x:v>String(191)</x:v>
      </x:c>
      <x:c r="F325" s="4" t="str">
        <x:v>YES</x:v>
      </x:c>
      <x:c r="G325" s="4" t="str">
        <x:v>UTF-8; max 191 chars</x:v>
      </x:c>
      <x:c r="H325" s="17" t="str">
        <x:v>INTERNAL</x:v>
      </x:c>
      <x:c r="I325" s="17" t="str">
        <x:v>按资源权限与数据域访问；公开DTO另行白名单</x:v>
      </x:c>
      <x:c r="J325" s="17" t="str">
        <x:v>数据库实体不得直接序列化为响应</x:v>
      </x:c>
      <x:c r="K325" s="17" t="str">
        <x:v>DTO whitelist; length/enum/ownership/state validation; client-derived ownership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changeReason</x:v>
      </x:c>
      <x:c r="C326" s="17" t="str">
        <x:v>changeReason</x:v>
      </x:c>
      <x:c r="D326" s="4" t="str">
        <x:v>15</x:v>
      </x:c>
      <x:c r="E326" s="4" t="str">
        <x:v>String(1000)</x:v>
      </x:c>
      <x:c r="F326" s="4" t="str">
        <x:v>YES</x:v>
      </x:c>
      <x:c r="G326" s="4" t="str">
        <x:v>UTF-8; max 1000 chars</x:v>
      </x:c>
      <x:c r="H326" s="17" t="str">
        <x:v>INTERNAL</x:v>
      </x:c>
      <x:c r="I326" s="17" t="str">
        <x:v>按资源权限与数据域访问；公开DTO另行白名单</x:v>
      </x:c>
      <x:c r="J326" s="17" t="str">
        <x:v>数据库实体不得直接序列化为响应</x:v>
      </x:c>
      <x:c r="K326" s="17" t="str">
        <x:v>trimmed non-empty reason for review or change</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reviewStatus</x:v>
      </x:c>
      <x:c r="C327" s="17" t="str">
        <x:v>reviewStatus</x:v>
      </x:c>
      <x:c r="D327" s="4" t="str">
        <x:v>16</x:v>
      </x:c>
      <x:c r="E327" s="4" t="str">
        <x:v>Enum&lt;PriceReviewStatus&gt;</x:v>
      </x:c>
      <x:c r="F327" s="4" t="str">
        <x:v>YES</x:v>
      </x:c>
      <x:c r="G327" s="4" t="str">
        <x:v>NOT_REQUIRED|PENDING|APPROVED|REJECTED</x:v>
      </x:c>
      <x:c r="H327" s="17" t="str">
        <x:v>INTERNAL</x:v>
      </x:c>
      <x:c r="I327" s="17" t="str">
        <x:v>按资源权限与数据域访问；公开DTO另行白名单</x:v>
      </x:c>
      <x:c r="J327" s="17" t="str">
        <x:v>数据库实体不得直接序列化为响应</x:v>
      </x:c>
      <x:c r="K327" s="17" t="str">
        <x:v>enum value and legal transition enforced by domain state machine</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riskWarning</x:v>
      </x:c>
      <x:c r="C328" s="17" t="str">
        <x:v>riskWarning</x:v>
      </x:c>
      <x:c r="D328" s="4" t="str">
        <x:v>17</x:v>
      </x:c>
      <x:c r="E328" s="4" t="str">
        <x:v>String(1000)</x:v>
      </x:c>
      <x:c r="F328" s="4" t="str">
        <x:v>YES</x:v>
      </x:c>
      <x:c r="G328" s="4" t="str">
        <x:v>UTF-8; max 1000 chars</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createdAt</x:v>
      </x:c>
      <x:c r="C329" s="17" t="str">
        <x:v>createdAt</x:v>
      </x:c>
      <x:c r="D329" s="4" t="str">
        <x:v>18</x:v>
      </x:c>
      <x:c r="E329" s="4" t="str">
        <x:v>DateTime</x:v>
      </x:c>
      <x:c r="F329" s="4" t="str">
        <x:v>YES</x:v>
      </x:c>
      <x:c r="G329" s="4" t="str">
        <x:v>UTC ISO-8601</x:v>
      </x:c>
      <x:c r="H329" s="17" t="str">
        <x:v>INTERNAL</x:v>
      </x:c>
      <x:c r="I329" s="17" t="str">
        <x:v>按资源权限与数据域访问；公开DTO另行白名单</x:v>
      </x:c>
      <x:c r="J329" s="17" t="str">
        <x:v>数据库实体不得直接序列化为响应</x:v>
      </x:c>
      <x:c r="K329" s="17" t="str">
        <x:v>DTO whitelist; length/enum/ownership/state validation; client-derived ownership rejected</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String(36)</x:v>
      </x:c>
      <x:c r="F438" s="4" t="str">
        <x:v>YES</x:v>
      </x:c>
      <x:c r="G438" s="4" t="str">
        <x:v>UUID v4</x:v>
      </x:c>
      <x:c r="H438" s="17" t="str">
        <x:v>INTERNAL</x:v>
      </x:c>
      <x:c r="I438" s="17" t="str">
        <x:v>按资源权限与数据域访问；公开DTO另行白名单</x:v>
      </x:c>
      <x:c r="J438" s="17" t="str">
        <x:v>数据库实体不得直接序列化为响应</x:v>
      </x:c>
      <x:c r="K438" s="17" t="str">
        <x:v>server-owned identifier; ownership verified before lookup result</x:v>
      </x:c>
      <x:c r="L438" s="17" t="str">
        <x:v>按实体version或审计日志保留变更证据</x:v>
      </x:c>
      <x:c r="M438" s="4" t="str">
        <x:v>M2</x:v>
      </x:c>
      <x:c r="N438" s="4" t="str">
        <x:v>P0-023,P0-063</x:v>
      </x:c>
      <x:c r="O438" s="4" t="str">
        <x:v>综合方案§13核心数据模型</x:v>
      </x:c>
      <x:c r="P438" s="4" t="str">
        <x:v>FROZEN_M2_000</x:v>
      </x:c>
    </x:row>
    <x:row r="439" ht="23" customHeight="1">
      <x:c r="A439" s="4" t="str">
        <x:v>InventoryBalance</x:v>
      </x:c>
      <x:c r="B439" s="4" t="str">
        <x:v>skuId</x:v>
      </x:c>
      <x:c r="C439" s="17" t="str">
        <x:v>skuId</x:v>
      </x:c>
      <x:c r="D439" s="4" t="str">
        <x:v>2</x:v>
      </x:c>
      <x:c r="E439" s="4" t="str">
        <x:v>String(36)</x:v>
      </x:c>
      <x:c r="F439" s="4" t="str">
        <x:v>YES</x:v>
      </x:c>
      <x:c r="G439" s="4" t="str">
        <x:v>UUID v4</x:v>
      </x:c>
      <x:c r="H439" s="17" t="str">
        <x:v>INTERNAL</x:v>
      </x:c>
      <x:c r="I439" s="17" t="str">
        <x:v>按资源权限与数据域访问；公开DTO另行白名单</x:v>
      </x:c>
      <x:c r="J439" s="17" t="str">
        <x:v>数据库实体不得直接序列化为响应</x:v>
      </x:c>
      <x:c r="K439" s="17" t="str">
        <x:v>server-resolved active Sku; unique exactly once</x:v>
      </x:c>
      <x:c r="L439" s="17" t="str">
        <x:v>按实体version或审计日志保留变更证据</x:v>
      </x:c>
      <x:c r="M439" s="4" t="str">
        <x:v>M2</x:v>
      </x:c>
      <x:c r="N439" s="4" t="str">
        <x:v>P0-023,P0-063</x:v>
      </x:c>
      <x:c r="O439" s="4" t="str">
        <x:v>综合方案§13核心数据模型</x:v>
      </x:c>
      <x:c r="P439" s="4" t="str">
        <x:v>FROZEN_M2_000</x:v>
      </x:c>
    </x:row>
    <x:row r="440" ht="23" customHeight="1">
      <x:c r="A440" s="4" t="str">
        <x:v>InventoryBalance</x:v>
      </x:c>
      <x:c r="B440" s="4" t="str">
        <x:v>availableQty</x:v>
      </x:c>
      <x:c r="C440" s="17" t="str">
        <x:v>availableQty</x:v>
      </x:c>
      <x:c r="D440" s="4" t="str">
        <x:v>3</x:v>
      </x:c>
      <x:c r="E440" s="4" t="str">
        <x:v>Int</x:v>
      </x:c>
      <x:c r="F440" s="4" t="str">
        <x:v>YES</x:v>
      </x:c>
      <x:c r="G440" s="4" t="str">
        <x:v>non-negative integer quantity</x:v>
      </x:c>
      <x:c r="H440" s="17" t="str">
        <x:v>INTERNAL</x:v>
      </x:c>
      <x:c r="I440" s="17" t="str">
        <x:v>按资源权限与数据域访问；公开DTO另行白名单</x:v>
      </x:c>
      <x:c r="J440" s="17" t="str">
        <x:v>数据库实体不得直接序列化为响应</x:v>
      </x:c>
      <x:c r="K440" s="17" t="str">
        <x:v>non-negative; transactional invariant; no lost update</x:v>
      </x:c>
      <x:c r="L440" s="17" t="str">
        <x:v>按实体version或审计日志保留变更证据</x:v>
      </x:c>
      <x:c r="M440" s="4" t="str">
        <x:v>M2</x:v>
      </x:c>
      <x:c r="N440" s="4" t="str">
        <x:v>P0-023,P0-063</x:v>
      </x:c>
      <x:c r="O440" s="4" t="str">
        <x:v>综合方案§13核心数据模型</x:v>
      </x:c>
      <x:c r="P440" s="4" t="str">
        <x:v>FROZEN_M2_000</x:v>
      </x:c>
    </x:row>
    <x:row r="441" ht="23" customHeight="1">
      <x:c r="A441" s="4" t="str">
        <x:v>InventoryBalance</x:v>
      </x:c>
      <x:c r="B441" s="4" t="str">
        <x:v>reservedQty</x:v>
      </x:c>
      <x:c r="C441" s="17" t="str">
        <x:v>reservedQty</x:v>
      </x:c>
      <x:c r="D441" s="4" t="str">
        <x:v>4</x:v>
      </x:c>
      <x:c r="E441" s="4" t="str">
        <x:v>Int</x:v>
      </x:c>
      <x:c r="F441" s="4" t="str">
        <x:v>YES</x:v>
      </x:c>
      <x:c r="G441" s="4" t="str">
        <x:v>non-negative integer quantity</x:v>
      </x:c>
      <x:c r="H441" s="17" t="str">
        <x:v>INTERNAL</x:v>
      </x:c>
      <x:c r="I441" s="17" t="str">
        <x:v>按资源权限与数据域访问；公开DTO另行白名单</x:v>
      </x:c>
      <x:c r="J441" s="17" t="str">
        <x:v>数据库实体不得直接序列化为响应</x:v>
      </x:c>
      <x:c r="K441" s="17" t="str">
        <x:v>non-negative; transactional invariant; no lost update</x:v>
      </x:c>
      <x:c r="L441" s="17" t="str">
        <x:v>按实体version或审计日志保留变更证据</x:v>
      </x:c>
      <x:c r="M441" s="4" t="str">
        <x:v>M2</x:v>
      </x:c>
      <x:c r="N441" s="4" t="str">
        <x:v>P0-023,P0-063</x:v>
      </x:c>
      <x:c r="O441" s="4" t="str">
        <x:v>综合方案§13核心数据模型</x:v>
      </x:c>
      <x:c r="P441" s="4" t="str">
        <x:v>FROZEN_M2_000</x:v>
      </x:c>
    </x:row>
    <x:row r="442" ht="23" customHeight="1">
      <x:c r="A442" s="4" t="str">
        <x:v>InventoryBalance</x:v>
      </x:c>
      <x:c r="B442" s="4" t="str">
        <x:v>soldQty</x:v>
      </x:c>
      <x:c r="C442" s="17" t="str">
        <x:v>soldQty</x:v>
      </x:c>
      <x:c r="D442" s="4" t="str">
        <x:v>5</x:v>
      </x:c>
      <x:c r="E442" s="4" t="str">
        <x:v>Int</x:v>
      </x:c>
      <x:c r="F442" s="4" t="str">
        <x:v>YES</x:v>
      </x:c>
      <x:c r="G442" s="4" t="str">
        <x:v>non-negative integer quantity</x:v>
      </x:c>
      <x:c r="H442" s="17" t="str">
        <x:v>INTERNAL</x:v>
      </x:c>
      <x:c r="I442" s="17" t="str">
        <x:v>按资源权限与数据域访问；公开DTO另行白名单</x:v>
      </x:c>
      <x:c r="J442" s="17" t="str">
        <x:v>数据库实体不得直接序列化为响应</x:v>
      </x:c>
      <x:c r="K442" s="17" t="str">
        <x:v>non-negative; transactional invariant; no lost update</x:v>
      </x:c>
      <x:c r="L442" s="17" t="str">
        <x:v>按实体version或审计日志保留变更证据</x:v>
      </x:c>
      <x:c r="M442" s="4" t="str">
        <x:v>M2</x:v>
      </x:c>
      <x:c r="N442" s="4" t="str">
        <x:v>P0-023,P0-063</x:v>
      </x:c>
      <x:c r="O442" s="4" t="str">
        <x:v>综合方案§13核心数据模型</x:v>
      </x:c>
      <x:c r="P442" s="4" t="str">
        <x:v>FROZEN_M2_000</x:v>
      </x:c>
    </x:row>
    <x:row r="443" ht="23" customHeight="1">
      <x:c r="A443" s="4" t="str">
        <x:v>InventoryBalance</x:v>
      </x:c>
      <x:c r="B443" s="4" t="str">
        <x:v>version</x:v>
      </x:c>
      <x:c r="C443" s="17" t="str">
        <x:v>version</x:v>
      </x:c>
      <x:c r="D443" s="4" t="str">
        <x:v>6</x:v>
      </x:c>
      <x:c r="E443" s="4" t="str">
        <x:v>Int</x:v>
      </x:c>
      <x:c r="F443" s="4" t="str">
        <x:v>YES</x:v>
      </x:c>
      <x:c r="G443" s="4" t="str">
        <x:v>positive monotonic integer</x:v>
      </x:c>
      <x:c r="H443" s="17" t="str">
        <x:v>INTERNAL</x:v>
      </x:c>
      <x:c r="I443" s="17" t="str">
        <x:v>按资源权限与数据域访问；公开DTO另行白名单</x:v>
      </x:c>
      <x:c r="J443" s="17" t="str">
        <x:v>数据库实体不得直接序列化为响应</x:v>
      </x:c>
      <x:c r="K443" s="17" t="str">
        <x:v>optimistic lock; increment exactly once per successful write</x:v>
      </x:c>
      <x:c r="L443" s="17" t="str">
        <x:v>按实体version或审计日志保留变更证据</x:v>
      </x:c>
      <x:c r="M443" s="4" t="str">
        <x:v>M2</x:v>
      </x:c>
      <x:c r="N443" s="4" t="str">
        <x:v>P0-023,P0-063</x:v>
      </x:c>
      <x:c r="O443" s="4" t="str">
        <x:v>综合方案§13核心数据模型</x:v>
      </x:c>
      <x:c r="P443" s="4" t="str">
        <x:v>FROZEN_M2_000</x:v>
      </x:c>
    </x:row>
    <x:row r="444" ht="23" customHeight="1">
      <x:c r="A444" s="4" t="str">
        <x:v>InventoryBalance</x:v>
      </x:c>
      <x:c r="B444" s="4" t="str">
        <x:v>updatedAt</x:v>
      </x:c>
      <x:c r="C444" s="17" t="str">
        <x:v>updatedAt</x:v>
      </x:c>
      <x:c r="D444" s="4" t="str">
        <x:v>7</x:v>
      </x:c>
      <x:c r="E444" s="4" t="str">
        <x:v>DateTime</x:v>
      </x:c>
      <x:c r="F444" s="4" t="str">
        <x:v>YES</x:v>
      </x:c>
      <x:c r="G444" s="4" t="str">
        <x:v>UTC ISO-8601</x:v>
      </x:c>
      <x:c r="H444" s="17" t="str">
        <x:v>INTERNAL</x:v>
      </x:c>
      <x:c r="I444" s="17" t="str">
        <x:v>按资源权限与数据域访问；公开DTO另行白名单</x:v>
      </x:c>
      <x:c r="J444" s="17" t="str">
        <x:v>数据库实体不得直接序列化为响应</x:v>
      </x:c>
      <x:c r="K444" s="17" t="str">
        <x:v>DTO whitelist; length/enum/ownership/state validation; client-derived ownership rejected</x:v>
      </x:c>
      <x:c r="L444" s="17" t="str">
        <x:v>按实体version或审计日志保留变更证据</x:v>
      </x:c>
      <x:c r="M444" s="4" t="str">
        <x:v>M2</x:v>
      </x:c>
      <x:c r="N444" s="4" t="str">
        <x:v>P0-023,P0-063</x:v>
      </x:c>
      <x:c r="O444" s="4" t="str">
        <x:v>综合方案§13核心数据模型</x:v>
      </x:c>
      <x:c r="P444" s="4" t="str">
        <x:v>FROZEN_M2_000</x:v>
      </x:c>
    </x:row>
    <x:row r="445" ht="23" customHeight="1">
      <x:c r="A445" s="4" t="str">
        <x:v>InventoryChangeLog</x:v>
      </x:c>
      <x:c r="B445" s="4" t="str">
        <x:v>id</x:v>
      </x:c>
      <x:c r="C445" s="17" t="str">
        <x:v>id</x:v>
      </x:c>
      <x:c r="D445" s="4" t="str">
        <x:v>1</x:v>
      </x:c>
      <x:c r="E445" s="4" t="str">
        <x:v>String(36)</x:v>
      </x:c>
      <x:c r="F445" s="4" t="str">
        <x:v>YES</x:v>
      </x:c>
      <x:c r="G445" s="4" t="str">
        <x:v>UUID v4</x:v>
      </x:c>
      <x:c r="H445" s="17" t="str">
        <x:v>INTERNAL</x:v>
      </x:c>
      <x:c r="I445" s="17" t="str">
        <x:v>按资源权限与数据域访问；公开DTO另行白名单</x:v>
      </x:c>
      <x:c r="J445" s="17" t="str">
        <x:v>数据库实体不得直接序列化为响应</x:v>
      </x:c>
      <x:c r="K445" s="17" t="str">
        <x:v>append-only; before/after arithmetic and idempotent reference must reconcile</x:v>
      </x:c>
      <x:c r="L445" s="17" t="str">
        <x:v>追加/版本/快照，不覆盖已生效历史</x:v>
      </x:c>
      <x:c r="M445" s="4" t="str">
        <x:v>M2</x:v>
      </x:c>
      <x:c r="N445" s="4" t="str">
        <x:v>P0-063</x:v>
      </x:c>
      <x:c r="O445" s="4" t="str">
        <x:v>综合方案§13核心数据模型</x:v>
      </x:c>
      <x:c r="P445" s="4" t="str">
        <x:v>FROZEN_M2_000</x:v>
      </x:c>
    </x:row>
    <x:row r="446" ht="23" customHeight="1">
      <x:c r="A446" s="4" t="str">
        <x:v>InventoryChangeLog</x:v>
      </x:c>
      <x:c r="B446" s="4" t="str">
        <x:v>supplierId</x:v>
      </x:c>
      <x:c r="C446" s="17" t="str">
        <x:v>supplierId</x:v>
      </x:c>
      <x:c r="D446" s="4" t="str">
        <x:v>2</x:v>
      </x:c>
      <x:c r="E446" s="4" t="str">
        <x:v>String(36)</x:v>
      </x:c>
      <x:c r="F446" s="4" t="str">
        <x:v>YES</x:v>
      </x:c>
      <x:c r="G446" s="4" t="str">
        <x:v>UUID v4</x:v>
      </x:c>
      <x:c r="H446" s="17" t="str">
        <x:v>INTERNAL</x:v>
      </x:c>
      <x:c r="I446" s="17" t="str">
        <x:v>按资源权限与数据域访问；公开DTO另行白名单</x:v>
      </x:c>
      <x:c r="J446" s="17" t="str">
        <x:v>数据库实体不得直接序列化为响应</x:v>
      </x:c>
      <x:c r="K446" s="17" t="str">
        <x:v>derived from authenticated server session; client value rejected</x:v>
      </x:c>
      <x:c r="L446" s="17" t="str">
        <x:v>追加/版本/快照，不覆盖已生效历史</x:v>
      </x:c>
      <x:c r="M446" s="4" t="str">
        <x:v>M2</x:v>
      </x:c>
      <x:c r="N446" s="4" t="str">
        <x:v>P0-063</x:v>
      </x:c>
      <x:c r="O446" s="4" t="str">
        <x:v>综合方案§13核心数据模型</x:v>
      </x:c>
      <x:c r="P446" s="4" t="str">
        <x:v>FROZEN_M2_000</x:v>
      </x:c>
    </x:row>
    <x:row r="447" ht="23" customHeight="1">
      <x:c r="A447" s="4" t="str">
        <x:v>InventoryChangeLog</x:v>
      </x:c>
      <x:c r="B447" s="4" t="str">
        <x:v>skuId</x:v>
      </x:c>
      <x:c r="C447" s="17" t="str">
        <x:v>skuId</x:v>
      </x:c>
      <x:c r="D447" s="4" t="str">
        <x:v>3</x:v>
      </x:c>
      <x:c r="E447" s="4" t="str">
        <x:v>String(36)</x:v>
      </x:c>
      <x:c r="F447" s="4" t="str">
        <x:v>YES</x:v>
      </x:c>
      <x:c r="G447" s="4" t="str">
        <x:v>UUID v4</x:v>
      </x:c>
      <x:c r="H447" s="17" t="str">
        <x:v>INTERNAL</x:v>
      </x:c>
      <x:c r="I447" s="17" t="str">
        <x:v>按资源权限与数据域访问；公开DTO另行白名单</x:v>
      </x:c>
      <x:c r="J447" s="17" t="str">
        <x:v>数据库实体不得直接序列化为响应</x:v>
      </x:c>
      <x:c r="K447" s="17" t="str">
        <x:v>append-only; before/after arithmetic and idempotent reference must reconcile</x:v>
      </x:c>
      <x:c r="L447" s="17" t="str">
        <x:v>追加/版本/快照，不覆盖已生效历史</x:v>
      </x:c>
      <x:c r="M447" s="4" t="str">
        <x:v>M2</x:v>
      </x:c>
      <x:c r="N447" s="4" t="str">
        <x:v>P0-063</x:v>
      </x:c>
      <x:c r="O447" s="4" t="str">
        <x:v>综合方案§13核心数据模型</x:v>
      </x:c>
      <x:c r="P447" s="4" t="str">
        <x:v>FROZEN_M2_000</x:v>
      </x:c>
    </x:row>
    <x:row r="448" ht="23" customHeight="1">
      <x:c r="A448" s="4" t="str">
        <x:v>InventoryChangeLog</x:v>
      </x:c>
      <x:c r="B448" s="4" t="str">
        <x:v>type</x:v>
      </x:c>
      <x:c r="C448" s="17" t="str">
        <x:v>type</x:v>
      </x:c>
      <x:c r="D448" s="4" t="str">
        <x:v>4</x:v>
      </x:c>
      <x:c r="E448" s="4" t="str">
        <x:v>Enum&lt;InventoryChangeType&gt;</x:v>
      </x:c>
      <x:c r="F448" s="4" t="str">
        <x:v>YES</x:v>
      </x:c>
      <x:c r="G448" s="4" t="str">
        <x:v>INCREASE|DECREASE|STOCKTAKE_GAIN|STOCKTAKE_LOSS|DAMAGE|RESERVE|RELEASE|CONFIRM_SALE</x:v>
      </x:c>
      <x:c r="H448" s="17" t="str">
        <x:v>INTERNAL</x:v>
      </x:c>
      <x:c r="I448" s="17" t="str">
        <x:v>按资源权限与数据域访问；公开DTO另行白名单</x:v>
      </x:c>
      <x:c r="J448" s="17" t="str">
        <x:v>数据库实体不得直接序列化为响应</x:v>
      </x:c>
      <x:c r="K448" s="17" t="str">
        <x:v>append-only; before/after arithmetic and idempotent reference must reconcile</x:v>
      </x:c>
      <x:c r="L448" s="17" t="str">
        <x:v>追加/版本/快照，不覆盖已生效历史</x:v>
      </x:c>
      <x:c r="M448" s="4" t="str">
        <x:v>M2</x:v>
      </x:c>
      <x:c r="N448" s="4" t="str">
        <x:v>P0-063</x:v>
      </x:c>
      <x:c r="O448" s="4" t="str">
        <x:v>综合方案§13核心数据模型</x:v>
      </x:c>
      <x:c r="P448" s="4" t="str">
        <x:v>FROZEN_M2_000</x:v>
      </x:c>
    </x:row>
    <x:row r="449" ht="23" customHeight="1">
      <x:c r="A449" s="4" t="str">
        <x:v>InventoryChangeLog</x:v>
      </x:c>
      <x:c r="B449" s="4" t="str">
        <x:v>quantityDelta</x:v>
      </x:c>
      <x:c r="C449" s="17" t="str">
        <x:v>quantityDelta</x:v>
      </x:c>
      <x:c r="D449" s="4" t="str">
        <x:v>5</x:v>
      </x:c>
      <x:c r="E449" s="4" t="str">
        <x:v>Int</x:v>
      </x:c>
      <x:c r="F449" s="4" t="str">
        <x:v>YES</x:v>
      </x:c>
      <x:c r="G449" s="4" t="str">
        <x:v>signed non-zero integer quantity</x:v>
      </x:c>
      <x:c r="H449" s="17" t="str">
        <x:v>INTERNAL</x:v>
      </x:c>
      <x:c r="I449" s="17" t="str">
        <x:v>按资源权限与数据域访问；公开DTO另行白名单</x:v>
      </x:c>
      <x:c r="J449" s="17" t="str">
        <x:v>数据库实体不得直接序列化为响应</x:v>
      </x:c>
      <x:c r="K449" s="17" t="str">
        <x:v>append-only; before/after arithmetic and idempotent reference must reconcile</x:v>
      </x:c>
      <x:c r="L449" s="17" t="str">
        <x:v>追加/版本/快照，不覆盖已生效历史</x:v>
      </x:c>
      <x:c r="M449" s="4" t="str">
        <x:v>M2</x:v>
      </x:c>
      <x:c r="N449" s="4" t="str">
        <x:v>P0-063</x:v>
      </x:c>
      <x:c r="O449" s="4" t="str">
        <x:v>综合方案§13核心数据模型</x:v>
      </x:c>
      <x:c r="P449" s="4" t="str">
        <x:v>FROZEN_M2_000</x:v>
      </x:c>
    </x:row>
    <x:row r="450" ht="23" customHeight="1">
      <x:c r="A450" s="4" t="str">
        <x:v>InventoryChangeLog</x:v>
      </x:c>
      <x:c r="B450" s="4" t="str">
        <x:v>beforeQty</x:v>
      </x:c>
      <x:c r="C450" s="17" t="str">
        <x:v>beforeQty</x:v>
      </x:c>
      <x:c r="D450" s="4" t="str">
        <x:v>6</x:v>
      </x:c>
      <x:c r="E450" s="4" t="str">
        <x:v>Int</x:v>
      </x:c>
      <x:c r="F450" s="4" t="str">
        <x:v>YES</x:v>
      </x:c>
      <x:c r="G450" s="4" t="str">
        <x:v>non-negative integer quantity</x:v>
      </x:c>
      <x:c r="H450" s="17" t="str">
        <x:v>INTERNAL</x:v>
      </x:c>
      <x:c r="I450" s="17" t="str">
        <x:v>按资源权限与数据域访问；公开DTO另行白名单</x:v>
      </x:c>
      <x:c r="J450" s="17" t="str">
        <x:v>数据库实体不得直接序列化为响应</x:v>
      </x:c>
      <x:c r="K450" s="17" t="str">
        <x:v>append-only; before/after arithmetic and idempotent reference must reconcile</x:v>
      </x:c>
      <x:c r="L450" s="17" t="str">
        <x:v>追加/版本/快照，不覆盖已生效历史</x:v>
      </x:c>
      <x:c r="M450" s="4" t="str">
        <x:v>M2</x:v>
      </x:c>
      <x:c r="N450" s="4" t="str">
        <x:v>P0-063</x:v>
      </x:c>
      <x:c r="O450" s="4" t="str">
        <x:v>综合方案§13核心数据模型</x:v>
      </x:c>
      <x:c r="P450" s="4" t="str">
        <x:v>FROZEN_M2_000</x:v>
      </x:c>
    </x:row>
    <x:row r="451" ht="23" customHeight="1">
      <x:c r="A451" s="4" t="str">
        <x:v>InventoryChangeLog</x:v>
      </x:c>
      <x:c r="B451" s="4" t="str">
        <x:v>afterQty</x:v>
      </x:c>
      <x:c r="C451" s="17" t="str">
        <x:v>afterQty</x:v>
      </x:c>
      <x:c r="D451" s="4" t="str">
        <x:v>7</x:v>
      </x:c>
      <x:c r="E451" s="4" t="str">
        <x:v>Int</x:v>
      </x:c>
      <x:c r="F451" s="4" t="str">
        <x:v>YES</x:v>
      </x:c>
      <x:c r="G451" s="4" t="str">
        <x:v>non-negative integer quantity</x:v>
      </x:c>
      <x:c r="H451" s="17" t="str">
        <x:v>INTERNAL</x:v>
      </x:c>
      <x:c r="I451" s="17" t="str">
        <x:v>按资源权限与数据域访问；公开DTO另行白名单</x:v>
      </x:c>
      <x:c r="J451" s="17" t="str">
        <x:v>数据库实体不得直接序列化为响应</x:v>
      </x:c>
      <x:c r="K451" s="17" t="str">
        <x:v>append-only; before/after arithmetic and idempotent reference must reconcile</x:v>
      </x:c>
      <x:c r="L451" s="17" t="str">
        <x:v>追加/版本/快照，不覆盖已生效历史</x:v>
      </x:c>
      <x:c r="M451" s="4" t="str">
        <x:v>M2</x:v>
      </x:c>
      <x:c r="N451" s="4" t="str">
        <x:v>P0-063</x:v>
      </x:c>
      <x:c r="O451" s="4" t="str">
        <x:v>综合方案§13核心数据模型</x:v>
      </x:c>
      <x:c r="P451" s="4" t="str">
        <x:v>FROZEN_M2_000</x:v>
      </x:c>
    </x:row>
    <x:row r="452" ht="23" customHeight="1">
      <x:c r="A452" s="4" t="str">
        <x:v>InventoryChangeLog</x:v>
      </x:c>
      <x:c r="B452" s="4" t="str">
        <x:v>referenceType</x:v>
      </x:c>
      <x:c r="C452" s="17" t="str">
        <x:v>referenceType</x:v>
      </x:c>
      <x:c r="D452" s="4" t="str">
        <x:v>8</x:v>
      </x:c>
      <x:c r="E452" s="4" t="str">
        <x:v>Enum&lt;InventoryReferenceType&gt;</x:v>
      </x:c>
      <x:c r="F452" s="4" t="str">
        <x:v>YES</x:v>
      </x:c>
      <x:c r="G452" s="4" t="str">
        <x:v>MANUAL_ADJUSTMENT|STOCKTAKE|DAMAGE|ORDER_RESERVATION|ORDER_RELEASE|ORDER_CONFIRM</x:v>
      </x:c>
      <x:c r="H452" s="17" t="str">
        <x:v>INTERNAL</x:v>
      </x:c>
      <x:c r="I452" s="17" t="str">
        <x:v>按资源权限与数据域访问；公开DTO另行白名单</x:v>
      </x:c>
      <x:c r="J452" s="17" t="str">
        <x:v>数据库实体不得直接序列化为响应</x:v>
      </x:c>
      <x:c r="K452" s="17" t="str">
        <x:v>append-only; before/after arithmetic and idempotent reference must reconcile</x:v>
      </x:c>
      <x:c r="L452" s="17" t="str">
        <x:v>追加/版本/快照，不覆盖已生效历史</x:v>
      </x:c>
      <x:c r="M452" s="4" t="str">
        <x:v>M2</x:v>
      </x:c>
      <x:c r="N452" s="4" t="str">
        <x:v>P0-063</x:v>
      </x:c>
      <x:c r="O452" s="4" t="str">
        <x:v>综合方案§13核心数据模型</x:v>
      </x:c>
      <x:c r="P452" s="4" t="str">
        <x:v>FROZEN_M2_000</x:v>
      </x:c>
    </x:row>
    <x:row r="453" ht="23" customHeight="1">
      <x:c r="A453" s="4" t="str">
        <x:v>InventoryChangeLog</x:v>
      </x:c>
      <x:c r="B453" s="4" t="str">
        <x:v>referenceId</x:v>
      </x:c>
      <x:c r="C453" s="17" t="str">
        <x:v>referenceId</x:v>
      </x:c>
      <x:c r="D453" s="4" t="str">
        <x:v>9</x:v>
      </x:c>
      <x:c r="E453" s="4" t="str">
        <x:v>String(36)</x:v>
      </x:c>
      <x:c r="F453" s="4" t="str">
        <x:v>YES</x:v>
      </x:c>
      <x:c r="G453" s="4" t="str">
        <x:v>UUID v4</x:v>
      </x:c>
      <x:c r="H453" s="17" t="str">
        <x:v>INTERNAL</x:v>
      </x:c>
      <x:c r="I453" s="17" t="str">
        <x:v>按资源权限与数据域访问；公开DTO另行白名单</x:v>
      </x:c>
      <x:c r="J453" s="17" t="str">
        <x:v>数据库实体不得直接序列化为响应</x:v>
      </x:c>
      <x:c r="K453" s="17" t="str">
        <x:v>append-only; before/after arithmetic and idempotent reference must reconcile</x:v>
      </x:c>
      <x:c r="L453" s="17" t="str">
        <x:v>追加/版本/快照，不覆盖已生效历史</x:v>
      </x:c>
      <x:c r="M453" s="4" t="str">
        <x:v>M2</x:v>
      </x:c>
      <x:c r="N453" s="4" t="str">
        <x:v>P0-063</x:v>
      </x:c>
      <x:c r="O453" s="4" t="str">
        <x:v>综合方案§13核心数据模型</x:v>
      </x:c>
      <x:c r="P453" s="4" t="str">
        <x:v>FROZEN_M2_000</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6daa31a454e4f60"/>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FROZEN_M2_000</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FROZEN_M2_000</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FROZEN_M2_000</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FROZEN_M2_000</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FROZEN_M2_000</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FROZEN_M2_000</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FROZEN_M2_000</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8ae5dd0e29a4e06"/>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FROZEN_M2_000</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FROZEN_M2_000</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FROZEN_M2_000</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FROZEN_M2_000</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FROZEN_M2_000</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b9a9991ddf04ecd"/>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P0-007,P0-011,P0-012,P0-013,P0-014,P0-015,P0-016,P0-017,P0-067,P0-068</x:v>
      </x:c>
      <x:c r="I6" s="17" t="str">
        <x:v>REQUIRED_FIXED_FUNCTIONAL_SESSION</x:v>
      </x:c>
      <x:c r="J6" s="17" t="str">
        <x:v>NEVER_RETURN</x:v>
      </x:c>
      <x:c r="K6" s="17" t="str">
        <x:v>company-admin</x:v>
      </x:c>
      <x:c r="L6" s="17" t="str">
        <x:v>loading,empty,error,permission-denied,offline-or-timeout,success；交易页增加duplicate/unknown-result</x:v>
      </x:c>
      <x:c r="M6" s="17" t="str">
        <x:v>PC admin</x:v>
      </x:c>
      <x:c r="N6" s="17" t="str">
        <x:v>IMPLEMENTED</x:v>
      </x:c>
      <x:c r="O6" s="17" t="str">
        <x:v>P0-007_CI_PASS;P0-011_CI_PASS;P0-012_CI_PASS;P0-013_CI_PASS;P0-014_CI_PASS;P0-015_CI_PASS;P0-016_CI_PASS;P0-017_LOCAL_PASS;P0-067_CI_PASS;P0-068_CI_PASS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-067-company-workspaces.spec.ts|tests/e2e/p0/p0-068-company-workspace-completeness.spec.ts</x:v>
      </x:c>
      <x:c r="Q6" s="17" t="str">
        <x:v>商品资料审核、分类树和版本化模板位于同一固定商品运营职能页面但保持独立区块；P016已合并main且CI通过，P017礼盒模板预置已有LOCAL_PASS；供应价始终NEVER_RETURN，外部正式模板数据未执行。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P0-007_LOCAL_PASS;P0-067_CI_PASS;P0-068_CI_PASS;P0-019_P0-071_NOT_EXECUTED</x:v>
      </x:c>
      <x:c r="P7" s="17" t="str">
        <x:v>tests/e2e/p0/p0-007-company-product-approvals.spec.ts|tests/e2e/p0/p0-067-company-workspaces.spec.ts|tests/e2e/p0/p0-068-company-workspace-completeness.spec.ts</x:v>
      </x:c>
      <x:c r="Q7" s="17" t="str">
        <x:v>独立初始三价审核队列、决定弹窗、整数分展示及失败恢复已实现；上架后调价和P0-071完整范围仍未执行；CI待执行。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LOCAL_PASS</x:v>
      </x:c>
      <x:c r="P18" s="17" t="str">
        <x:v>tests/e2e/p0/p0-006-product-two-layer.spec.ts|tests/e2e/p0/p0-070-supplier-workspaces.spec.ts</x:v>
      </x:c>
      <x:c r="Q18" s="17" t="str">
        <x:v>供应商商品资料草稿页面和固定职能壳已实现；只提交资料字段，归属由会话派生，不显示供应价。</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P0-008_LOCAL_PASS;P0-019_P0-071_NOT_EXECUTED</x:v>
      </x:c>
      <x:c r="P19" s="17" t="str">
        <x:v>tests/e2e/p0/p0-008-supplier-pricing.spec.ts|tests/e2e/p0/p0-070-supplier-workspaces.spec.ts</x:v>
      </x:c>
      <x:c r="Q19" s="17" t="str">
        <x:v>M2-P008独立价格页覆盖校验/权限/离线/未知结果同幂等键恢复；多商品场景在未知结果恢复前冻结其他提交，避免覆盖原body/key；pnpm verify 17/17通过。</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IMPLEMENTED</x:v>
      </x:c>
      <x:c r="O20" s="17" t="str">
        <x:v>LOCAL_PASS</x:v>
      </x:c>
      <x:c r="P20" s="17" t="str">
        <x:v>tests/e2e/p0/p0-070-supplier-workspaces.spec.ts</x:v>
      </x:c>
      <x:c r="Q20" s="17" t="str">
        <x:v>M1-P070固定页面壳、单一菜单和六态已实现；M2库存业务数据仍DEFERRED且NOT_EXECUTED；M2-000仅冻结业务契约，页面壳沿用M1证据，M2业务仍NOT_IMPLEMENTED/NOT_EXECUTED</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PARTIAL_IMPLEMENTED_M2_P017</x:v>
      </x:c>
      <x:c r="O54" s="17" t="str">
        <x:v>P0-013_CI_PASS;P0-014_CI_PASS;P0-015_CI_PASS;P0-016_CI_PASS;P0-017_LOCAL_PASS;P0-021_NOT_EXECUTED;P0-088_NOT_EXECUTED</x:v>
      </x:c>
      <x:c r="P54" s="17" t="str">
        <x:v>apps/user-miniapp/test/product-detail-build.test.mjs|tests/e2e/p0/p0-013-food-detail.spec.ts|tests/e2e/p0/p0-014-fresh-detail.spec.ts|tests/e2e/p0/p0-015-apparel-detail.spec.ts|tests/e2e/p0/p0-016-digital-detail.spec.ts|tests/e2e/p0/p0-017-gift-box-detail.spec.ts</x:v>
      </x:c>
      <x:c r="Q54" s="17" t="str">
        <x:v>P013食品、P014生鲜、P015服饰、P016数码已有CI证据；P017礼盒结构化组合清单、数量、规格、有效期下限和miniapp-kit请求契约已有LOCAL_PASS；完整商品详情P0-021/P0-088、真机与交易能力仍未执行。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fc65e84eccae44dd"/>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x:c r="L2" s="4"/>
      <x:c r="M2" s="4"/>
      <x:c r="N2" s="17"/>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x:c r="L3" s="4"/>
      <x:c r="M3" s="4"/>
      <x:c r="N3" s="17"/>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x:c r="L4" s="4"/>
      <x:c r="M4" s="4"/>
      <x:c r="N4" s="17"/>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x:c r="L5" s="4"/>
      <x:c r="M5" s="4"/>
      <x:c r="N5" s="17"/>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x:c r="L7" s="4"/>
      <x:c r="M7" s="4"/>
      <x:c r="N7" s="17"/>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x:c r="L8" s="4"/>
      <x:c r="M8" s="4"/>
      <x:c r="N8" s="17"/>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x:c r="L9" s="4"/>
      <x:c r="M9" s="4"/>
      <x:c r="N9" s="17"/>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x:c r="L10" s="4"/>
      <x:c r="M10" s="4"/>
      <x:c r="N10" s="17"/>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x:c r="L11" s="4"/>
      <x:c r="M11" s="4"/>
      <x:c r="N11" s="17"/>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x:c r="L12" s="4"/>
      <x:c r="M12" s="4"/>
      <x:c r="N12" s="17"/>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x:c r="L13" s="4"/>
      <x:c r="M13" s="4"/>
      <x:c r="N13" s="17"/>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x:c r="L14" s="4"/>
      <x:c r="M14" s="4"/>
      <x:c r="N14" s="17"/>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x:c r="L15" s="4"/>
      <x:c r="M15" s="4"/>
      <x:c r="N15" s="17"/>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x:c r="L16" s="4"/>
      <x:c r="M16" s="4"/>
      <x:c r="N16" s="17"/>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x:c r="L17" s="4"/>
      <x:c r="M17" s="4"/>
      <x:c r="N17" s="17"/>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x:c r="L18" s="4"/>
      <x:c r="M18" s="4"/>
      <x:c r="N18" s="17"/>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x:c r="L19" s="4"/>
      <x:c r="M19" s="4"/>
      <x:c r="N19" s="17"/>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x:c r="L20" s="4"/>
      <x:c r="M20" s="4"/>
      <x:c r="N20" s="17"/>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x:c r="L21" s="4"/>
      <x:c r="M21" s="4"/>
      <x:c r="N21" s="17"/>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x:c r="L22" s="4"/>
      <x:c r="M22" s="4"/>
      <x:c r="N22" s="17"/>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x:c r="L23" s="4"/>
      <x:c r="M23" s="4"/>
      <x:c r="N23" s="17"/>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x:c r="L24" s="4"/>
      <x:c r="M24" s="4"/>
      <x:c r="N24" s="17"/>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x:c r="L25" s="4"/>
      <x:c r="M25" s="4"/>
      <x:c r="N25" s="17"/>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x:c r="L26" s="4"/>
      <x:c r="M26" s="4"/>
      <x:c r="N26" s="17"/>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x:c r="L27" s="4"/>
      <x:c r="M27" s="4"/>
      <x:c r="N27" s="17"/>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x:c r="L28" s="4"/>
      <x:c r="M28" s="4"/>
      <x:c r="N28" s="17"/>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x:c r="L29" s="5"/>
      <x:c r="M29" s="5"/>
      <x:c r="N29" s="18"/>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fd3db4ae9024266"/>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CI_PASS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46244.71050226852</x:v>
      </x:c>
      <x:c r="N13" s="17" t="str">
        <x:v>4faae84321583c28abc7532f1093c7c2bbc95de1</x:v>
      </x:c>
      <x:c r="O13" s="17" t="str">
        <x:v>https://github.com/EasyStep-lee/flt1/actions/runs/31398383884</x:v>
      </x:c>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GITHUB_ACTIONS+CODEX</x:v>
      </x:c>
      <x:c r="R13" s="17" t="str">
        <x:v>MERGED_MAIN_CI_PASS</x:v>
      </x:c>
      <x:c r="S13" s="17" t="str">
        <x:v>staging与production未执行；EXT-007正式业务模板数据未提供</x:v>
      </x:c>
      <x:c r="T13" s="17" t="str">
        <x:v>YES</x:v>
      </x:c>
      <x:c r="U13" s="17" t="str">
        <x:v>P0-012达到CI_PASS；P0-013已解锁并取得行为RED，P0-014及以后仍锁定。</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RED后GREEN；PR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RED后GREEN；PR #54精确head 9bbaa92e的CI run 31452009986通过并合并；main@f2d6c1c的CI run 31453656294通过。</x:v>
      </x:c>
      <x:c r="K15" s="17" t="str">
        <x:v>LOCAL_WINDOWS_DOCKER_MYSQL_CHROMIUM+GITHUB_ACTIONS</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GITHUB_ACTIONS+CODEX</x:v>
      </x:c>
      <x:c r="R15" s="17" t="str">
        <x:v>EXACT_HEAD_CI_AND_POST_MERGE_MAIN_CI</x:v>
      </x:c>
      <x:c r="S15" s="17" t="str">
        <x:v>staging、device与production未执行；EXT-007正式生鲜模板数据未提供</x:v>
      </x:c>
      <x:c r="T15" s="17" t="str">
        <x:v>NO</x:v>
      </x:c>
      <x:c r="U15" s="17" t="str">
        <x:v>P0-014达到CI_PASS；P0-021/P0-088完整商品详情仍未完成。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RED：apparel-template-policy运行时模块缺失导致ERR_MODULE_NOT_FOUND。GREEN：unit 3/3、focused API 15/15、全量Supertest 26文件152/152、用户小程序9/9、迁移契约2/2、P015 E2E 1/1、P0全量40/40；迁移演练empty=2/upgrade=2/restore=2/product=18/cleanup=PASS。本机完整pnpm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LOCAL_PASS</x:v>
      </x:c>
      <x:c r="H18" s="17" t="str">
        <x:v>pnpm --filter @fulishe/api build；node --test apps/api/test/unit/gift-box-detail-policy.test.mjs；pnpm exec vitest run apps/api/test/supertest/category-templates-api.test.mjs --testNamePattern P0-017；pnpm exec vitest run apps/api/test/supertest/gift-box-product-detail-api.test.mjs；pnpm --filter @fulishe/api test；pnpm --filter @fulishe/user-miniapp build；pnpm --filter @fulishe/user-miniapp test；node --test tests/contracts/m2-p017-gift-box-detail.contract.test.mjs tests/migrations/m2-p017-gift-box-template-migration.contract.test.mjs；pnpm --filter @fulishe/company-admin build；pnpm exec playwright test tests/e2e/p0/p0-017-gift-box-detail.spec.ts --config playwright.p0.config.ts</x:v>
      </x:c>
      <x:c r="I18" s="17" t="str">
        <x:v>组合商品明确展示子项、数量、规格和有效期下限。</x:v>
      </x:c>
      <x:c r="J18" s="17" t="str">
        <x:v>RED：礼盒策略运行时模块缺失导致ERR_MODULE_NOT_FOUND且退出1。GREEN：unit 3/3、模板API 1/1、公开详情API 2/2、全量API unit56与Supertest160、用户小程序11/11、P017契约3/3、迁移2/2、公司页面Playwright 1/1；首次Playwright因未重建preview使用旧产物而超时，补做公司后台build后通过。</x:v>
      </x:c>
      <x:c r="K18" s="17" t="str">
        <x:v>LOCAL_WINDOWS_NODE_MYSQL_CHROMIUM</x:v>
      </x:c>
      <x:c r="L18" s="17" t="str">
        <x:v>Node 22.23.1 / MySQL 8 / Chromium</x:v>
      </x:c>
      <x:c r="M18" s="17" t="n">
        <x:v>46245.362233796295</x:v>
      </x:c>
      <x:c r="N18" s="17" t="str"/>
      <x:c r="O18" s="17" t="str"/>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x:v>
      </x:c>
      <x:c r="Q18" s="17" t="str">
        <x:v>CODEX</x:v>
      </x:c>
      <x:c r="R18" s="17" t="str">
        <x:v>FRESH_LOCAL</x:v>
      </x:c>
      <x:c r="S18" s="17" t="str">
        <x:v>完整pnpm verify、PR CI、正式礼盒数据、staging、device和production未执行</x:v>
      </x:c>
      <x:c r="T18" s="17" t="str">
        <x:v>YES</x:v>
      </x:c>
      <x:c r="U18" s="17" t="str">
        <x:v>P0-017当前为LOCAL_PASS；PR保持未创建，P018及以后锁定</x:v>
      </x:c>
    </x:row>
    <x:row r="19" ht="23" customHeight="1">
      <x:c r="A19" s="17" t="str">
        <x:v>EVD-018</x:v>
      </x:c>
      <x:c r="B19" s="17" t="str">
        <x:v>P0-018</x:v>
      </x:c>
      <x:c r="C19" s="17" t="str">
        <x:v>M2</x:v>
      </x:c>
      <x:c r="D19" s="17" t="str">
        <x:v>M2-P018</x:v>
      </x:c>
      <x:c r="E19" s="17" t="str">
        <x:v>AUTOMATED_AND_MANUAL_AS_REQUIRED</x:v>
      </x:c>
      <x:c r="F19" s="17" t="str">
        <x:v>CI_PASS</x:v>
      </x:c>
      <x:c r="G19" s="17" t="str">
        <x:v>NOT_EXECUTED</x:v>
      </x:c>
      <x:c r="H19" s="17" t="str">
        <x:v>在对应切片先登记失败测试ID，再记录focused tests与pnpm verify；真机/预发布按要求执行</x:v>
      </x:c>
      <x:c r="I19" s="17" t="str">
        <x:v>未配置公司资质、模板和人工开关的高风险品类不能交易。</x:v>
      </x:c>
      <x:c r="J19" s="17"/>
      <x:c r="K19" s="17"/>
      <x:c r="L19" s="17"/>
      <x:c r="M19" s="17"/>
      <x:c r="N19" s="17"/>
      <x:c r="O19" s="17"/>
      <x:c r="P19" s="17"/>
      <x:c r="Q19" s="17"/>
      <x:c r="R19" s="17" t="str">
        <x:v>NO_EVIDENCE_YET</x:v>
      </x:c>
      <x:c r="S19" s="17"/>
      <x:c r="T19" s="17" t="str">
        <x:v>YES</x:v>
      </x:c>
      <x:c r="U19" s="17" t="str">
        <x:v>不得以旧输出、字符串搜索、页面资产或模型自述替代</x:v>
      </x:c>
    </x:row>
    <x:row r="20" ht="23" customHeight="1">
      <x:c r="A20" s="17" t="str">
        <x:v>EVD-019</x:v>
      </x:c>
      <x:c r="B20" s="17" t="str">
        <x:v>P0-019</x:v>
      </x:c>
      <x:c r="C20" s="17" t="str">
        <x:v>M2</x:v>
      </x:c>
      <x:c r="D20" s="17" t="str">
        <x:v>M2-P019</x:v>
      </x:c>
      <x:c r="E20" s="17" t="str">
        <x:v>AUTOMATED_AND_MANUAL_AS_REQUIRED</x:v>
      </x:c>
      <x:c r="F20" s="17" t="str">
        <x:v>CI_PASS</x:v>
      </x:c>
      <x:c r="G20" s="17"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x:c r="K20" s="17"/>
      <x:c r="L20" s="17"/>
      <x:c r="M20" s="17"/>
      <x:c r="N20" s="17"/>
      <x:c r="O20" s="17"/>
      <x:c r="P20" s="17"/>
      <x:c r="Q20" s="17"/>
      <x:c r="R20" s="17" t="str">
        <x:v>NO_EVIDENCE_YET</x:v>
      </x:c>
      <x:c r="S20" s="17"/>
      <x:c r="T20" s="17" t="str">
        <x:v>YES</x:v>
      </x:c>
      <x:c r="U20" s="17" t="str">
        <x:v>不得以旧输出、字符串搜索、页面资产或模型自述替代</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x:c r="K21" s="17"/>
      <x:c r="L21" s="17"/>
      <x:c r="M21" s="17"/>
      <x:c r="N21" s="17"/>
      <x:c r="O21" s="17"/>
      <x:c r="P21" s="17"/>
      <x:c r="Q21" s="17"/>
      <x:c r="R21" s="17" t="str">
        <x:v>NO_EVIDENCE_YET</x:v>
      </x:c>
      <x:c r="S21" s="17"/>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x:c r="K22" s="17"/>
      <x:c r="L22" s="17"/>
      <x:c r="M22" s="17"/>
      <x:c r="N22" s="17"/>
      <x:c r="O22" s="17"/>
      <x:c r="P22" s="17"/>
      <x:c r="Q22" s="17"/>
      <x:c r="R22" s="17" t="str">
        <x:v>NO_EVIDENCE_YET</x:v>
      </x:c>
      <x:c r="S22" s="17"/>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x:c r="K23" s="17"/>
      <x:c r="L23" s="17"/>
      <x:c r="M23" s="17"/>
      <x:c r="N23" s="17"/>
      <x:c r="O23" s="17"/>
      <x:c r="P23" s="17"/>
      <x:c r="Q23" s="17"/>
      <x:c r="R23" s="17" t="str">
        <x:v>NO_EVIDENCE_YET</x:v>
      </x:c>
      <x:c r="S23" s="17"/>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x:c r="K24" s="17"/>
      <x:c r="L24" s="17"/>
      <x:c r="M24" s="17"/>
      <x:c r="N24" s="17"/>
      <x:c r="O24" s="17"/>
      <x:c r="P24" s="17"/>
      <x:c r="Q24" s="17"/>
      <x:c r="R24" s="17" t="str">
        <x:v>NO_EVIDENCE_YET</x:v>
      </x:c>
      <x:c r="S24" s="17"/>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x:c r="K25" s="17"/>
      <x:c r="L25" s="17"/>
      <x:c r="M25" s="17"/>
      <x:c r="N25" s="17"/>
      <x:c r="O25" s="17"/>
      <x:c r="P25" s="17"/>
      <x:c r="Q25" s="17"/>
      <x:c r="R25" s="17" t="str">
        <x:v>NO_EVIDENCE_YET</x:v>
      </x:c>
      <x:c r="S25" s="17"/>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x:c r="K26" s="17"/>
      <x:c r="L26" s="17"/>
      <x:c r="M26" s="17"/>
      <x:c r="N26" s="17"/>
      <x:c r="O26" s="17"/>
      <x:c r="P26" s="17"/>
      <x:c r="Q26" s="17"/>
      <x:c r="R26" s="17" t="str">
        <x:v>NO_EVIDENCE_YET</x:v>
      </x:c>
      <x:c r="S26" s="17"/>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x:c r="K27" s="17"/>
      <x:c r="L27" s="17"/>
      <x:c r="M27" s="17"/>
      <x:c r="N27" s="17"/>
      <x:c r="O27" s="17"/>
      <x:c r="P27" s="17"/>
      <x:c r="Q27" s="17"/>
      <x:c r="R27" s="17" t="str">
        <x:v>NO_EVIDENCE_YET</x:v>
      </x:c>
      <x:c r="S27" s="17"/>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x:c r="K28" s="17"/>
      <x:c r="L28" s="17"/>
      <x:c r="M28" s="17"/>
      <x:c r="N28" s="17"/>
      <x:c r="O28" s="17"/>
      <x:c r="P28" s="17"/>
      <x:c r="Q28" s="17"/>
      <x:c r="R28" s="17" t="str">
        <x:v>NO_EVIDENCE_YET</x:v>
      </x:c>
      <x:c r="S28" s="17"/>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x:c r="K29" s="17"/>
      <x:c r="L29" s="17"/>
      <x:c r="M29" s="17"/>
      <x:c r="N29" s="17"/>
      <x:c r="O29" s="17"/>
      <x:c r="P29" s="17"/>
      <x:c r="Q29" s="17"/>
      <x:c r="R29" s="17" t="str">
        <x:v>NO_EVIDENCE_YET</x:v>
      </x:c>
      <x:c r="S29" s="17"/>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x:c r="K30" s="17"/>
      <x:c r="L30" s="17"/>
      <x:c r="M30" s="17"/>
      <x:c r="N30" s="17"/>
      <x:c r="O30" s="17"/>
      <x:c r="P30" s="17"/>
      <x:c r="Q30" s="17"/>
      <x:c r="R30" s="17" t="str">
        <x:v>NO_EVIDENCE_YET</x:v>
      </x:c>
      <x:c r="S30" s="17"/>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x:c r="K31" s="17"/>
      <x:c r="L31" s="17"/>
      <x:c r="M31" s="17"/>
      <x:c r="N31" s="17"/>
      <x:c r="O31" s="17"/>
      <x:c r="P31" s="17"/>
      <x:c r="Q31" s="17"/>
      <x:c r="R31" s="17" t="str">
        <x:v>NO_EVIDENCE_YET</x:v>
      </x:c>
      <x:c r="S31" s="17"/>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x:c r="K32" s="17"/>
      <x:c r="L32" s="17"/>
      <x:c r="M32" s="17"/>
      <x:c r="N32" s="17"/>
      <x:c r="O32" s="17"/>
      <x:c r="P32" s="17"/>
      <x:c r="Q32" s="17"/>
      <x:c r="R32" s="17" t="str">
        <x:v>NO_EVIDENCE_YET</x:v>
      </x:c>
      <x:c r="S32" s="17"/>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x:c r="K33" s="17"/>
      <x:c r="L33" s="17"/>
      <x:c r="M33" s="17"/>
      <x:c r="N33" s="17"/>
      <x:c r="O33" s="17"/>
      <x:c r="P33" s="17"/>
      <x:c r="Q33" s="17"/>
      <x:c r="R33" s="17" t="str">
        <x:v>NO_EVIDENCE_YET</x:v>
      </x:c>
      <x:c r="S33" s="17"/>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x:c r="K34" s="17"/>
      <x:c r="L34" s="17"/>
      <x:c r="M34" s="17"/>
      <x:c r="N34" s="17"/>
      <x:c r="O34" s="17"/>
      <x:c r="P34" s="17"/>
      <x:c r="Q34" s="17"/>
      <x:c r="R34" s="17" t="str">
        <x:v>NO_EVIDENCE_YET</x:v>
      </x:c>
      <x:c r="S34" s="17"/>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x:c r="K35" s="17"/>
      <x:c r="L35" s="17"/>
      <x:c r="M35" s="17"/>
      <x:c r="N35" s="17"/>
      <x:c r="O35" s="17"/>
      <x:c r="P35" s="17"/>
      <x:c r="Q35" s="17"/>
      <x:c r="R35" s="17" t="str">
        <x:v>NO_EVIDENCE_YET</x:v>
      </x:c>
      <x:c r="S35" s="17"/>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x:c r="K36" s="17"/>
      <x:c r="L36" s="17"/>
      <x:c r="M36" s="17"/>
      <x:c r="N36" s="17"/>
      <x:c r="O36" s="17"/>
      <x:c r="P36" s="17"/>
      <x:c r="Q36" s="17"/>
      <x:c r="R36" s="17" t="str">
        <x:v>NO_EVIDENCE_YET</x:v>
      </x:c>
      <x:c r="S36" s="17"/>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x:c r="K37" s="17"/>
      <x:c r="L37" s="17"/>
      <x:c r="M37" s="17"/>
      <x:c r="N37" s="17"/>
      <x:c r="O37" s="17"/>
      <x:c r="P37" s="17"/>
      <x:c r="Q37" s="17"/>
      <x:c r="R37" s="17" t="str">
        <x:v>NO_EVIDENCE_YET</x:v>
      </x:c>
      <x:c r="S37" s="17"/>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x:c r="K38" s="17"/>
      <x:c r="L38" s="17"/>
      <x:c r="M38" s="17"/>
      <x:c r="N38" s="17"/>
      <x:c r="O38" s="17"/>
      <x:c r="P38" s="17"/>
      <x:c r="Q38" s="17"/>
      <x:c r="R38" s="17" t="str">
        <x:v>NO_EVIDENCE_YET</x:v>
      </x:c>
      <x:c r="S38" s="17"/>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x:c r="K39" s="17"/>
      <x:c r="L39" s="17"/>
      <x:c r="M39" s="17"/>
      <x:c r="N39" s="17"/>
      <x:c r="O39" s="17"/>
      <x:c r="P39" s="17"/>
      <x:c r="Q39" s="17"/>
      <x:c r="R39" s="17" t="str">
        <x:v>NO_EVIDENCE_YET</x:v>
      </x:c>
      <x:c r="S39" s="17"/>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x:c r="K40" s="17"/>
      <x:c r="L40" s="17"/>
      <x:c r="M40" s="17"/>
      <x:c r="N40" s="17"/>
      <x:c r="O40" s="17"/>
      <x:c r="P40" s="17"/>
      <x:c r="Q40" s="17"/>
      <x:c r="R40" s="17" t="str">
        <x:v>NO_EVIDENCE_YET</x:v>
      </x:c>
      <x:c r="S40" s="17"/>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x:c r="K41" s="17"/>
      <x:c r="L41" s="17"/>
      <x:c r="M41" s="17"/>
      <x:c r="N41" s="17"/>
      <x:c r="O41" s="17"/>
      <x:c r="P41" s="17"/>
      <x:c r="Q41" s="17"/>
      <x:c r="R41" s="17" t="str">
        <x:v>NO_EVIDENCE_YET</x:v>
      </x:c>
      <x:c r="S41" s="17"/>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x:c r="K42" s="17"/>
      <x:c r="L42" s="17"/>
      <x:c r="M42" s="17"/>
      <x:c r="N42" s="17"/>
      <x:c r="O42" s="17"/>
      <x:c r="P42" s="17"/>
      <x:c r="Q42" s="17"/>
      <x:c r="R42" s="17" t="str">
        <x:v>NO_EVIDENCE_YET</x:v>
      </x:c>
      <x:c r="S42" s="17"/>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x:c r="K43" s="17"/>
      <x:c r="L43" s="17"/>
      <x:c r="M43" s="17"/>
      <x:c r="N43" s="17"/>
      <x:c r="O43" s="17"/>
      <x:c r="P43" s="17"/>
      <x:c r="Q43" s="17"/>
      <x:c r="R43" s="17" t="str">
        <x:v>NO_EVIDENCE_YET</x:v>
      </x:c>
      <x:c r="S43" s="17"/>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x:c r="K44" s="17"/>
      <x:c r="L44" s="17"/>
      <x:c r="M44" s="17"/>
      <x:c r="N44" s="17"/>
      <x:c r="O44" s="17"/>
      <x:c r="P44" s="17"/>
      <x:c r="Q44" s="17"/>
      <x:c r="R44" s="17" t="str">
        <x:v>NO_EVIDENCE_YET</x:v>
      </x:c>
      <x:c r="S44" s="17"/>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x:c r="K45" s="17"/>
      <x:c r="L45" s="17"/>
      <x:c r="M45" s="17"/>
      <x:c r="N45" s="17"/>
      <x:c r="O45" s="17"/>
      <x:c r="P45" s="17"/>
      <x:c r="Q45" s="17"/>
      <x:c r="R45" s="17" t="str">
        <x:v>NO_EVIDENCE_YET</x:v>
      </x:c>
      <x:c r="S45" s="17"/>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x:c r="K49" s="17"/>
      <x:c r="L49" s="17"/>
      <x:c r="M49" s="17"/>
      <x:c r="N49" s="17"/>
      <x:c r="O49" s="17"/>
      <x:c r="P49" s="17"/>
      <x:c r="Q49" s="17"/>
      <x:c r="R49" s="17" t="str">
        <x:v>NO_EVIDENCE_YET</x:v>
      </x:c>
      <x:c r="S49" s="17"/>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x:c r="K50" s="17"/>
      <x:c r="L50" s="17"/>
      <x:c r="M50" s="17"/>
      <x:c r="N50" s="17"/>
      <x:c r="O50" s="17"/>
      <x:c r="P50" s="17"/>
      <x:c r="Q50" s="17"/>
      <x:c r="R50" s="17" t="str">
        <x:v>NO_EVIDENCE_YET</x:v>
      </x:c>
      <x:c r="S50" s="17"/>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x:c r="K51" s="17"/>
      <x:c r="L51" s="17"/>
      <x:c r="M51" s="17"/>
      <x:c r="N51" s="17"/>
      <x:c r="O51" s="17"/>
      <x:c r="P51" s="17"/>
      <x:c r="Q51" s="17"/>
      <x:c r="R51" s="17" t="str">
        <x:v>NO_EVIDENCE_YET</x:v>
      </x:c>
      <x:c r="S51" s="17"/>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x:c r="K52" s="17"/>
      <x:c r="L52" s="17"/>
      <x:c r="M52" s="17"/>
      <x:c r="N52" s="17"/>
      <x:c r="O52" s="17"/>
      <x:c r="P52" s="17"/>
      <x:c r="Q52" s="17"/>
      <x:c r="R52" s="17" t="str">
        <x:v>NO_EVIDENCE_YET</x:v>
      </x:c>
      <x:c r="S52" s="17"/>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x:c r="K53" s="17"/>
      <x:c r="L53" s="17"/>
      <x:c r="M53" s="17"/>
      <x:c r="N53" s="17"/>
      <x:c r="O53" s="17"/>
      <x:c r="P53" s="17"/>
      <x:c r="Q53" s="17"/>
      <x:c r="R53" s="17" t="str">
        <x:v>NO_EVIDENCE_YET</x:v>
      </x:c>
      <x:c r="S53" s="17"/>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x:c r="K54" s="17"/>
      <x:c r="L54" s="17"/>
      <x:c r="M54" s="17"/>
      <x:c r="N54" s="17"/>
      <x:c r="O54" s="17"/>
      <x:c r="P54" s="17"/>
      <x:c r="Q54" s="17"/>
      <x:c r="R54" s="17" t="str">
        <x:v>NO_EVIDENCE_YET</x:v>
      </x:c>
      <x:c r="S54" s="17"/>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x:c r="K55" s="17"/>
      <x:c r="L55" s="17"/>
      <x:c r="M55" s="17"/>
      <x:c r="N55" s="17"/>
      <x:c r="O55" s="17"/>
      <x:c r="P55" s="17"/>
      <x:c r="Q55" s="17"/>
      <x:c r="R55" s="17" t="str">
        <x:v>NO_EVIDENCE_YET</x:v>
      </x:c>
      <x:c r="S55" s="17"/>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x:c r="K56" s="17"/>
      <x:c r="L56" s="17"/>
      <x:c r="M56" s="17"/>
      <x:c r="N56" s="17"/>
      <x:c r="O56" s="17"/>
      <x:c r="P56" s="17"/>
      <x:c r="Q56" s="17"/>
      <x:c r="R56" s="17" t="str">
        <x:v>NO_EVIDENCE_YET</x:v>
      </x:c>
      <x:c r="S56" s="17"/>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x:c r="K57" s="17"/>
      <x:c r="L57" s="17"/>
      <x:c r="M57" s="17"/>
      <x:c r="N57" s="17"/>
      <x:c r="O57" s="17"/>
      <x:c r="P57" s="17"/>
      <x:c r="Q57" s="17"/>
      <x:c r="R57" s="17" t="str">
        <x:v>NO_EVIDENCE_YET</x:v>
      </x:c>
      <x:c r="S57" s="17"/>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x:c r="K58" s="17"/>
      <x:c r="L58" s="17"/>
      <x:c r="M58" s="17"/>
      <x:c r="N58" s="17"/>
      <x:c r="O58" s="17"/>
      <x:c r="P58" s="17"/>
      <x:c r="Q58" s="17"/>
      <x:c r="R58" s="17" t="str">
        <x:v>NO_EVIDENCE_YET</x:v>
      </x:c>
      <x:c r="S58" s="17"/>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x:c r="K59" s="17"/>
      <x:c r="L59" s="17"/>
      <x:c r="M59" s="17"/>
      <x:c r="N59" s="17"/>
      <x:c r="O59" s="17"/>
      <x:c r="P59" s="17"/>
      <x:c r="Q59" s="17"/>
      <x:c r="R59" s="17" t="str">
        <x:v>NO_EVIDENCE_YET</x:v>
      </x:c>
      <x:c r="S59" s="17"/>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x:c r="K60" s="17"/>
      <x:c r="L60" s="17"/>
      <x:c r="M60" s="17"/>
      <x:c r="N60" s="17"/>
      <x:c r="O60" s="17"/>
      <x:c r="P60" s="17"/>
      <x:c r="Q60" s="17"/>
      <x:c r="R60" s="17" t="str">
        <x:v>NO_EVIDENCE_YET</x:v>
      </x:c>
      <x:c r="S60" s="17"/>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x:c r="K61" s="17"/>
      <x:c r="L61" s="17"/>
      <x:c r="M61" s="17"/>
      <x:c r="N61" s="17"/>
      <x:c r="O61" s="17"/>
      <x:c r="P61" s="17"/>
      <x:c r="Q61" s="17"/>
      <x:c r="R61" s="17" t="str">
        <x:v>NO_EVIDENCE_YET</x:v>
      </x:c>
      <x:c r="S61" s="17"/>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x:c r="K62" s="17"/>
      <x:c r="L62" s="17"/>
      <x:c r="M62" s="17"/>
      <x:c r="N62" s="17"/>
      <x:c r="O62" s="17"/>
      <x:c r="P62" s="17"/>
      <x:c r="Q62" s="17"/>
      <x:c r="R62" s="17" t="str">
        <x:v>NO_EVIDENCE_YET</x:v>
      </x:c>
      <x:c r="S62" s="17"/>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x:c r="K63" s="17"/>
      <x:c r="L63" s="17"/>
      <x:c r="M63" s="17"/>
      <x:c r="N63" s="17"/>
      <x:c r="O63" s="17"/>
      <x:c r="P63" s="17"/>
      <x:c r="Q63" s="17"/>
      <x:c r="R63" s="17" t="str">
        <x:v>NO_EVIDENCE_YET</x:v>
      </x:c>
      <x:c r="S63" s="17"/>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x:c r="K64" s="17"/>
      <x:c r="L64" s="17"/>
      <x:c r="M64" s="17"/>
      <x:c r="N64" s="17"/>
      <x:c r="O64" s="17"/>
      <x:c r="P64" s="17"/>
      <x:c r="Q64" s="17"/>
      <x:c r="R64" s="17" t="str">
        <x:v>NO_EVIDENCE_YET</x:v>
      </x:c>
      <x:c r="S64" s="17"/>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x:c r="K65" s="17"/>
      <x:c r="L65" s="17"/>
      <x:c r="M65" s="17"/>
      <x:c r="N65" s="17"/>
      <x:c r="O65" s="17"/>
      <x:c r="P65" s="17"/>
      <x:c r="Q65" s="17"/>
      <x:c r="R65" s="17" t="str">
        <x:v>NO_EVIDENCE_YET</x:v>
      </x:c>
      <x:c r="S65" s="17"/>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x:c r="K66" s="17"/>
      <x:c r="L66" s="17"/>
      <x:c r="M66" s="17"/>
      <x:c r="N66" s="17"/>
      <x:c r="O66" s="17"/>
      <x:c r="P66" s="17"/>
      <x:c r="Q66" s="17"/>
      <x:c r="R66" s="17" t="str">
        <x:v>NO_EVIDENCE_YET</x:v>
      </x:c>
      <x:c r="S66" s="17"/>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x:c r="K72" s="17"/>
      <x:c r="L72" s="17"/>
      <x:c r="M72" s="17"/>
      <x:c r="N72" s="17"/>
      <x:c r="O72" s="17"/>
      <x:c r="P72" s="17"/>
      <x:c r="Q72" s="17"/>
      <x:c r="R72" s="17" t="str">
        <x:v>NO_EVIDENCE_YET</x:v>
      </x:c>
      <x:c r="S72" s="17"/>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x:c r="K75" s="17"/>
      <x:c r="L75" s="17"/>
      <x:c r="M75" s="17"/>
      <x:c r="N75" s="17"/>
      <x:c r="O75" s="17"/>
      <x:c r="P75" s="17"/>
      <x:c r="Q75" s="17"/>
      <x:c r="R75" s="17" t="str">
        <x:v>NO_EVIDENCE_YET</x:v>
      </x:c>
      <x:c r="S75" s="17"/>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x:c r="K76" s="17"/>
      <x:c r="L76" s="17"/>
      <x:c r="M76" s="17"/>
      <x:c r="N76" s="17"/>
      <x:c r="O76" s="17"/>
      <x:c r="P76" s="17"/>
      <x:c r="Q76" s="17"/>
      <x:c r="R76" s="17" t="str">
        <x:v>NO_EVIDENCE_YET</x:v>
      </x:c>
      <x:c r="S76" s="17"/>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x:c r="K77" s="17"/>
      <x:c r="L77" s="17"/>
      <x:c r="M77" s="17"/>
      <x:c r="N77" s="17"/>
      <x:c r="O77" s="17"/>
      <x:c r="P77" s="17"/>
      <x:c r="Q77" s="17"/>
      <x:c r="R77" s="17" t="str">
        <x:v>NO_EVIDENCE_YET</x:v>
      </x:c>
      <x:c r="S77" s="17"/>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x:c r="K78" s="17"/>
      <x:c r="L78" s="17"/>
      <x:c r="M78" s="17"/>
      <x:c r="N78" s="17"/>
      <x:c r="O78" s="17"/>
      <x:c r="P78" s="17"/>
      <x:c r="Q78" s="17"/>
      <x:c r="R78" s="17" t="str">
        <x:v>NO_EVIDENCE_YET</x:v>
      </x:c>
      <x:c r="S78" s="17"/>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x:c r="K79" s="17"/>
      <x:c r="L79" s="17"/>
      <x:c r="M79" s="17"/>
      <x:c r="N79" s="17"/>
      <x:c r="O79" s="17"/>
      <x:c r="P79" s="17"/>
      <x:c r="Q79" s="17"/>
      <x:c r="R79" s="17" t="str">
        <x:v>NO_EVIDENCE_YET</x:v>
      </x:c>
      <x:c r="S79" s="17"/>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x:c r="K80" s="17"/>
      <x:c r="L80" s="17"/>
      <x:c r="M80" s="17"/>
      <x:c r="N80" s="17"/>
      <x:c r="O80" s="17"/>
      <x:c r="P80" s="17"/>
      <x:c r="Q80" s="17"/>
      <x:c r="R80" s="17" t="str">
        <x:v>NO_EVIDENCE_YET</x:v>
      </x:c>
      <x:c r="S80" s="17"/>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x:c r="K81" s="17"/>
      <x:c r="L81" s="17"/>
      <x:c r="M81" s="17"/>
      <x:c r="N81" s="17"/>
      <x:c r="O81" s="17"/>
      <x:c r="P81" s="17"/>
      <x:c r="Q81" s="17"/>
      <x:c r="R81" s="17" t="str">
        <x:v>NO_EVIDENCE_YET</x:v>
      </x:c>
      <x:c r="S81" s="17"/>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x:c r="K82" s="17"/>
      <x:c r="L82" s="17"/>
      <x:c r="M82" s="17"/>
      <x:c r="N82" s="17"/>
      <x:c r="O82" s="17"/>
      <x:c r="P82" s="17"/>
      <x:c r="Q82" s="17"/>
      <x:c r="R82" s="17" t="str">
        <x:v>NO_EVIDENCE_YET</x:v>
      </x:c>
      <x:c r="S82" s="17"/>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x:c r="K83" s="17"/>
      <x:c r="L83" s="17"/>
      <x:c r="M83" s="17"/>
      <x:c r="N83" s="17"/>
      <x:c r="O83" s="17"/>
      <x:c r="P83" s="17"/>
      <x:c r="Q83" s="17"/>
      <x:c r="R83" s="17" t="str">
        <x:v>NO_EVIDENCE_YET</x:v>
      </x:c>
      <x:c r="S83" s="17"/>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x:c r="K84" s="17"/>
      <x:c r="L84" s="17"/>
      <x:c r="M84" s="17"/>
      <x:c r="N84" s="17"/>
      <x:c r="O84" s="17"/>
      <x:c r="P84" s="17"/>
      <x:c r="Q84" s="17"/>
      <x:c r="R84" s="17" t="str">
        <x:v>NO_EVIDENCE_YET</x:v>
      </x:c>
      <x:c r="S84" s="17"/>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x:c r="K85" s="17"/>
      <x:c r="L85" s="17"/>
      <x:c r="M85" s="17"/>
      <x:c r="N85" s="17"/>
      <x:c r="O85" s="17"/>
      <x:c r="P85" s="17"/>
      <x:c r="Q85" s="17"/>
      <x:c r="R85" s="17" t="str">
        <x:v>NO_EVIDENCE_YET</x:v>
      </x:c>
      <x:c r="S85" s="17"/>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x:c r="K86" s="17"/>
      <x:c r="L86" s="17"/>
      <x:c r="M86" s="17"/>
      <x:c r="N86" s="17"/>
      <x:c r="O86" s="17"/>
      <x:c r="P86" s="17"/>
      <x:c r="Q86" s="17"/>
      <x:c r="R86" s="17" t="str">
        <x:v>NO_EVIDENCE_YET</x:v>
      </x:c>
      <x:c r="S86" s="17"/>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x:c r="K87" s="17"/>
      <x:c r="L87" s="17"/>
      <x:c r="M87" s="17"/>
      <x:c r="N87" s="17"/>
      <x:c r="O87" s="17"/>
      <x:c r="P87" s="17"/>
      <x:c r="Q87" s="17"/>
      <x:c r="R87" s="17" t="str">
        <x:v>NO_EVIDENCE_YET</x:v>
      </x:c>
      <x:c r="S87" s="17"/>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x:c r="K88" s="17"/>
      <x:c r="L88" s="17"/>
      <x:c r="M88" s="17"/>
      <x:c r="N88" s="17"/>
      <x:c r="O88" s="17"/>
      <x:c r="P88" s="17"/>
      <x:c r="Q88" s="17"/>
      <x:c r="R88" s="17" t="str">
        <x:v>NO_EVIDENCE_YET</x:v>
      </x:c>
      <x:c r="S88" s="17"/>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x:c r="K89" s="17"/>
      <x:c r="L89" s="17"/>
      <x:c r="M89" s="17"/>
      <x:c r="N89" s="17"/>
      <x:c r="O89" s="17"/>
      <x:c r="P89" s="17"/>
      <x:c r="Q89" s="17"/>
      <x:c r="R89" s="17" t="str">
        <x:v>NO_EVIDENCE_YET</x:v>
      </x:c>
      <x:c r="S89" s="17"/>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x:c r="K90" s="17"/>
      <x:c r="L90" s="17"/>
      <x:c r="M90" s="17"/>
      <x:c r="N90" s="17"/>
      <x:c r="O90" s="17"/>
      <x:c r="P90" s="17"/>
      <x:c r="Q90" s="17"/>
      <x:c r="R90" s="17" t="str">
        <x:v>NO_EVIDENCE_YET</x:v>
      </x:c>
      <x:c r="S90" s="17"/>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x:c r="K91" s="17"/>
      <x:c r="L91" s="17"/>
      <x:c r="M91" s="17"/>
      <x:c r="N91" s="17"/>
      <x:c r="O91" s="17"/>
      <x:c r="P91" s="17"/>
      <x:c r="Q91" s="17"/>
      <x:c r="R91" s="17" t="str">
        <x:v>NO_EVIDENCE_YET</x:v>
      </x:c>
      <x:c r="S91" s="17"/>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x:c r="K92" s="17"/>
      <x:c r="L92" s="17"/>
      <x:c r="M92" s="17"/>
      <x:c r="N92" s="17"/>
      <x:c r="O92" s="17"/>
      <x:c r="P92" s="17"/>
      <x:c r="Q92" s="17"/>
      <x:c r="R92" s="17" t="str">
        <x:v>NO_EVIDENCE_YET</x:v>
      </x:c>
      <x:c r="S92" s="17"/>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x:c r="K93" s="17"/>
      <x:c r="L93" s="17"/>
      <x:c r="M93" s="17"/>
      <x:c r="N93" s="17"/>
      <x:c r="O93" s="17"/>
      <x:c r="P93" s="17"/>
      <x:c r="Q93" s="17"/>
      <x:c r="R93" s="17" t="str">
        <x:v>NO_EVIDENCE_YET</x:v>
      </x:c>
      <x:c r="S93" s="17"/>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x:c r="K94" s="17"/>
      <x:c r="L94" s="17"/>
      <x:c r="M94" s="17"/>
      <x:c r="N94" s="17"/>
      <x:c r="O94" s="17"/>
      <x:c r="P94" s="17"/>
      <x:c r="Q94" s="17"/>
      <x:c r="R94" s="17" t="str">
        <x:v>NO_EVIDENCE_YET</x:v>
      </x:c>
      <x:c r="S94" s="17"/>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x:c r="K95" s="17"/>
      <x:c r="L95" s="17"/>
      <x:c r="M95" s="17"/>
      <x:c r="N95" s="17"/>
      <x:c r="O95" s="17"/>
      <x:c r="P95" s="17"/>
      <x:c r="Q95" s="17"/>
      <x:c r="R95" s="17" t="str">
        <x:v>NO_EVIDENCE_YET</x:v>
      </x:c>
      <x:c r="S95" s="17"/>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x:c r="K96" s="17"/>
      <x:c r="L96" s="17"/>
      <x:c r="M96" s="17"/>
      <x:c r="N96" s="17"/>
      <x:c r="O96" s="17"/>
      <x:c r="P96" s="17"/>
      <x:c r="Q96" s="17"/>
      <x:c r="R96" s="17" t="str">
        <x:v>NO_EVIDENCE_YET</x:v>
      </x:c>
      <x:c r="S96" s="17"/>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x:c r="K97" s="17"/>
      <x:c r="L97" s="17"/>
      <x:c r="M97" s="17"/>
      <x:c r="N97" s="17"/>
      <x:c r="O97" s="17"/>
      <x:c r="P97" s="17"/>
      <x:c r="Q97" s="17"/>
      <x:c r="R97" s="17" t="str">
        <x:v>NO_EVIDENCE_YET</x:v>
      </x:c>
      <x:c r="S97" s="17"/>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x:c r="K98" s="17"/>
      <x:c r="L98" s="17"/>
      <x:c r="M98" s="17"/>
      <x:c r="N98" s="17"/>
      <x:c r="O98" s="17"/>
      <x:c r="P98" s="17"/>
      <x:c r="Q98" s="17"/>
      <x:c r="R98" s="17" t="str">
        <x:v>NO_EVIDENCE_YET</x:v>
      </x:c>
      <x:c r="S98" s="17"/>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x:c r="K99" s="17"/>
      <x:c r="L99" s="17"/>
      <x:c r="M99" s="17"/>
      <x:c r="N99" s="17"/>
      <x:c r="O99" s="17"/>
      <x:c r="P99" s="17"/>
      <x:c r="Q99" s="17"/>
      <x:c r="R99" s="17" t="str">
        <x:v>NO_EVIDENCE_YET</x:v>
      </x:c>
      <x:c r="S99" s="17"/>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x:c r="K100" s="17"/>
      <x:c r="L100" s="17"/>
      <x:c r="M100" s="17"/>
      <x:c r="N100" s="17"/>
      <x:c r="O100" s="17"/>
      <x:c r="P100" s="17"/>
      <x:c r="Q100" s="17"/>
      <x:c r="R100" s="17" t="str">
        <x:v>NO_EVIDENCE_YET</x:v>
      </x:c>
      <x:c r="S100" s="17"/>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x:c r="K101" s="17"/>
      <x:c r="L101" s="17"/>
      <x:c r="M101" s="17"/>
      <x:c r="N101" s="17"/>
      <x:c r="O101" s="17"/>
      <x:c r="P101" s="17"/>
      <x:c r="Q101" s="17"/>
      <x:c r="R101" s="17" t="str">
        <x:v>NO_EVIDENCE_YET</x:v>
      </x:c>
      <x:c r="S101" s="17"/>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x:c r="K102" s="17"/>
      <x:c r="L102" s="17"/>
      <x:c r="M102" s="17"/>
      <x:c r="N102" s="17"/>
      <x:c r="O102" s="17"/>
      <x:c r="P102" s="17"/>
      <x:c r="Q102" s="17"/>
      <x:c r="R102" s="17" t="str">
        <x:v>NO_EVIDENCE_YET</x:v>
      </x:c>
      <x:c r="S102" s="17"/>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x:c r="K103" s="17"/>
      <x:c r="L103" s="17"/>
      <x:c r="M103" s="17"/>
      <x:c r="N103" s="17"/>
      <x:c r="O103" s="17"/>
      <x:c r="P103" s="17"/>
      <x:c r="Q103" s="17"/>
      <x:c r="R103" s="17" t="str">
        <x:v>NO_EVIDENCE_YET</x:v>
      </x:c>
      <x:c r="S103" s="17"/>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x:c r="K104" s="17"/>
      <x:c r="L104" s="17"/>
      <x:c r="M104" s="17"/>
      <x:c r="N104" s="17"/>
      <x:c r="O104" s="17"/>
      <x:c r="P104" s="17"/>
      <x:c r="Q104" s="17"/>
      <x:c r="R104" s="17" t="str">
        <x:v>NO_EVIDENCE_YET</x:v>
      </x:c>
      <x:c r="S104" s="17"/>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x:c r="K105" s="17"/>
      <x:c r="L105" s="17"/>
      <x:c r="M105" s="17"/>
      <x:c r="N105" s="17"/>
      <x:c r="O105" s="17"/>
      <x:c r="P105" s="17"/>
      <x:c r="Q105" s="17"/>
      <x:c r="R105" s="17" t="str">
        <x:v>NO_EVIDENCE_YET</x:v>
      </x:c>
      <x:c r="S105" s="17"/>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x:c r="K106" s="17"/>
      <x:c r="L106" s="17"/>
      <x:c r="M106" s="17"/>
      <x:c r="N106" s="17"/>
      <x:c r="O106" s="17"/>
      <x:c r="P106" s="17"/>
      <x:c r="Q106" s="17"/>
      <x:c r="R106" s="17" t="str">
        <x:v>NO_EVIDENCE_YET</x:v>
      </x:c>
      <x:c r="S106" s="17"/>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x:c r="K107" s="17"/>
      <x:c r="L107" s="17"/>
      <x:c r="M107" s="17"/>
      <x:c r="N107" s="17"/>
      <x:c r="O107" s="17"/>
      <x:c r="P107" s="17"/>
      <x:c r="Q107" s="17"/>
      <x:c r="R107" s="17" t="str">
        <x:v>NO_EVIDENCE_YET</x:v>
      </x:c>
      <x:c r="S107" s="17"/>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x:c r="K108" s="17"/>
      <x:c r="L108" s="17"/>
      <x:c r="M108" s="17"/>
      <x:c r="N108" s="17"/>
      <x:c r="O108" s="17"/>
      <x:c r="P108" s="17"/>
      <x:c r="Q108" s="17"/>
      <x:c r="R108" s="17" t="str">
        <x:v>NO_EVIDENCE_YET</x:v>
      </x:c>
      <x:c r="S108" s="17"/>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x:c r="K109" s="17"/>
      <x:c r="L109" s="17"/>
      <x:c r="M109" s="17"/>
      <x:c r="N109" s="17"/>
      <x:c r="O109" s="17"/>
      <x:c r="P109" s="17"/>
      <x:c r="Q109" s="17"/>
      <x:c r="R109" s="17" t="str">
        <x:v>NO_EVIDENCE_YET</x:v>
      </x:c>
      <x:c r="S109" s="17"/>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x:c r="K110" s="17"/>
      <x:c r="L110" s="17"/>
      <x:c r="M110" s="17"/>
      <x:c r="N110" s="17"/>
      <x:c r="O110" s="17"/>
      <x:c r="P110" s="17"/>
      <x:c r="Q110" s="17"/>
      <x:c r="R110" s="17" t="str">
        <x:v>NO_EVIDENCE_YET</x:v>
      </x:c>
      <x:c r="S110" s="17"/>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x:c r="K111" s="17"/>
      <x:c r="L111" s="17"/>
      <x:c r="M111" s="17"/>
      <x:c r="N111" s="17"/>
      <x:c r="O111" s="17"/>
      <x:c r="P111" s="17"/>
      <x:c r="Q111" s="17"/>
      <x:c r="R111" s="17" t="str">
        <x:v>NO_EVIDENCE_YET</x:v>
      </x:c>
      <x:c r="S111" s="17"/>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x:c r="K112" s="17"/>
      <x:c r="L112" s="17"/>
      <x:c r="M112" s="17"/>
      <x:c r="N112" s="17"/>
      <x:c r="O112" s="17"/>
      <x:c r="P112" s="17"/>
      <x:c r="Q112" s="17"/>
      <x:c r="R112" s="17" t="str">
        <x:v>NO_EVIDENCE_YET</x:v>
      </x:c>
      <x:c r="S112" s="17"/>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x:c r="K113" s="17"/>
      <x:c r="L113" s="17"/>
      <x:c r="M113" s="17"/>
      <x:c r="N113" s="17"/>
      <x:c r="O113" s="17"/>
      <x:c r="P113" s="17"/>
      <x:c r="Q113" s="17"/>
      <x:c r="R113" s="17" t="str">
        <x:v>NO_EVIDENCE_YET</x:v>
      </x:c>
      <x:c r="S113" s="17"/>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x:c r="K114" s="17"/>
      <x:c r="L114" s="17"/>
      <x:c r="M114" s="17"/>
      <x:c r="N114" s="17"/>
      <x:c r="O114" s="17"/>
      <x:c r="P114" s="17"/>
      <x:c r="Q114" s="17"/>
      <x:c r="R114" s="17" t="str">
        <x:v>NO_EVIDENCE_YET</x:v>
      </x:c>
      <x:c r="S114" s="17"/>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x:c r="K115" s="17"/>
      <x:c r="L115" s="17"/>
      <x:c r="M115" s="17"/>
      <x:c r="N115" s="17"/>
      <x:c r="O115" s="17"/>
      <x:c r="P115" s="17"/>
      <x:c r="Q115" s="17"/>
      <x:c r="R115" s="17" t="str">
        <x:v>NO_EVIDENCE_YET</x:v>
      </x:c>
      <x:c r="S115" s="17"/>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x:c r="K116" s="17"/>
      <x:c r="L116" s="17"/>
      <x:c r="M116" s="17"/>
      <x:c r="N116" s="17"/>
      <x:c r="O116" s="17"/>
      <x:c r="P116" s="17"/>
      <x:c r="Q116" s="17"/>
      <x:c r="R116" s="17" t="str">
        <x:v>NO_EVIDENCE_YET</x:v>
      </x:c>
      <x:c r="S116" s="17"/>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x:c r="K117" s="17"/>
      <x:c r="L117" s="17"/>
      <x:c r="M117" s="17"/>
      <x:c r="N117" s="17"/>
      <x:c r="O117" s="17"/>
      <x:c r="P117" s="17"/>
      <x:c r="Q117" s="17"/>
      <x:c r="R117" s="17" t="str">
        <x:v>NO_EVIDENCE_YET</x:v>
      </x:c>
      <x:c r="S117" s="17"/>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x:c r="K118" s="17"/>
      <x:c r="L118" s="17"/>
      <x:c r="M118" s="17"/>
      <x:c r="N118" s="17"/>
      <x:c r="O118" s="17"/>
      <x:c r="P118" s="17"/>
      <x:c r="Q118" s="17"/>
      <x:c r="R118" s="17" t="str">
        <x:v>NO_EVIDENCE_YET</x:v>
      </x:c>
      <x:c r="S118" s="17"/>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x:c r="K119" s="17"/>
      <x:c r="L119" s="17"/>
      <x:c r="M119" s="17"/>
      <x:c r="N119" s="17"/>
      <x:c r="O119" s="17"/>
      <x:c r="P119" s="17"/>
      <x:c r="Q119" s="17"/>
      <x:c r="R119" s="17" t="str">
        <x:v>NO_EVIDENCE_YET</x:v>
      </x:c>
      <x:c r="S119" s="17"/>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x:c r="K120" s="18"/>
      <x:c r="L120" s="18"/>
      <x:c r="M120" s="18"/>
      <x:c r="N120" s="18"/>
      <x:c r="O120" s="18"/>
      <x:c r="P120" s="18"/>
      <x:c r="Q120" s="18"/>
      <x:c r="R120" s="18" t="str">
        <x:v>NO_EVIDENCE_YET</x:v>
      </x:c>
      <x:c r="S120" s="18"/>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x:c r="K121"/>
      <x:c r="L121"/>
      <x:c r="M121"/>
      <x:c r="N121"/>
      <x:c r="O121"/>
      <x:c r="P121"/>
      <x:c r="Q121"/>
      <x:c r="R121" t="str">
        <x:v>NO_EVIDENCE_YET</x:v>
      </x:c>
      <x:c r="S121"/>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88887508d774ee4"/>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x:c r="O2" s="17"/>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x:c r="O3" s="17"/>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x:c r="O4" s="17"/>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x:c r="O5" s="17"/>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x:v>
      </x:c>
      <x:c r="D6" s="17" t="str">
        <x:v>MIG-007</x:v>
      </x:c>
      <x:c r="E6" s="17" t="str">
        <x:v>Category/CategoryHistory/CategoryCommand/CategoryTemplate/CategoryTemplateHistory/CategoryTemplateCommand/CategoryTemplate.profile</x:v>
      </x:c>
      <x:c r="F6" s="17" t="str">
        <x:v>三级分类树、模板版本及食品/生鲜/服饰/数码/礼盒类型</x:v>
      </x:c>
      <x:c r="G6" s="17" t="str">
        <x:v>先建立公司范围三级分类与引用保护；再增加模板版本、唯一槽位和商品复合外键；P013增加GENERIC|FOOD不可变profile；P014扩展FRESH；P015扩展APPAREL；P016扩展DIGITAL；P017以前向迁移将CHECK扩展为GENERIC|FOOD|FRESH|APPAREL|DIGITAL|GIFT_BOX，已发布模板更新保护触发器保持有效</x:v>
      </x:c>
      <x:c r="H6" s="17" t="str">
        <x:v>已发布迁移不回改；失败前恢复备份或创建向前修复迁移；应用版本可回退时保持schema兼容窗口</x:v>
      </x:c>
      <x:c r="I6" s="17" t="str">
        <x:v>既有模板自动回填GENERIC；无正式FOOD/FRESH/APPAREL/DIGITAL/GIFT_BOX数据回填；正式数据由授权运营/合规录入</x:v>
      </x:c>
      <x:c r="J6" s="17" t="str">
        <x:v>同公司启用末级绑定；模板状态机/唯一槽位/不可变历史/当前发布绑定；profile CHECK与已发布不可变；prisma validate；空库/升级/恢复dry-run；真实MySQL关键不变量探针</x:v>
      </x:c>
      <x:c r="K6" s="17" t="str">
        <x:v>BEFORE_STAGING_OR_PRODUCTION</x:v>
      </x:c>
      <x:c r="L6" s="17" t="str">
        <x:v>LOCAL_PASS</x:v>
      </x:c>
      <x:c r="M6" s="17" t="n">
        <x:v>46245.362233796295</x:v>
      </x:c>
      <x:c r="N6" s="17" t="str"/>
      <x:c r="O6" s="17" t="str"/>
      <x:c r="P6" s="17" t="str"/>
      <x:c r="Q6" s="17" t="str">
        <x:v>packages/db/prisma/migrations/20260810062000_m2_category_tree/migration.sql|packages/db/prisma/migrations/20260810094000_m2_category_templates/migration.sql|packages/db/prisma/migrations/20260810110000_m2_food_template_profile/migration.sql|packages/db/prisma/migrations/20260810213000_m2_fresh_template_profile/migration.sql|packages/db/prisma/migrations/20260810230500_m2_apparel_template_profile/migration.sql|packages/db/prisma/migrations/20260811060000_m2_digital_template_profile/migration.sql|packages/db/prisma/migrations/20260811090000_m2_gift_box_template_profile/migration.sql|tests/migrations/m2-p017-gift-box-template-migration.contract.test.mjs|artifacts/verification/M2-P017/gift-box-detail.json</x:v>
      </x:c>
      <x:c r="R6" s="17" t="str">
        <x:v>七个已发布前向迁移组成分类/模板逻辑迁移组；P017迁移契约2/2通过，完整MySQL迁移演练和CI待执行；staging/production应用未执行。</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x:c r="O7" s="17"/>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x:c r="O8" s="17"/>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0204_price_history_approval</x:v>
      </x:c>
      <x:c r="D9" s="17" t="str">
        <x:v>MIG-007</x:v>
      </x:c>
      <x:c r="E9" s="17" t="str">
        <x:v>SupplyPriceChangeRequest/PriceChangeLog</x:v>
      </x:c>
      <x:c r="F9" s="17"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17" t="str">
        <x:v>BEFORE_STAGING_OR_PRODUCTION</x:v>
      </x:c>
      <x:c r="L9" s="17" t="str">
        <x:v>PLANNED</x:v>
      </x:c>
      <x:c r="M9" s="17"/>
      <x:c r="N9" s="17"/>
      <x:c r="O9" s="17"/>
      <x:c r="P9" s="17"/>
      <x:c r="Q9" s="17" t="str">
        <x:v>artifacts/verification/M2-000/m2-contract-freeze.json#migrationContract</x:v>
      </x:c>
      <x:c r="R9" s="17" t="str">
        <x:v>M2-000仅冻结迁移顺序、不变量与恢复策略；未创建或应用任何M2迁移</x:v>
      </x:c>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x:c r="N10" s="17"/>
      <x:c r="O10" s="17"/>
      <x:c r="P10" s="17"/>
      <x:c r="Q10" s="17" t="str">
        <x:v>artifacts/verification/M2-000/m2-contract-freeze.json#migrationContract</x:v>
      </x:c>
      <x:c r="R10" s="17" t="str">
        <x:v>M2-000仅冻结迁移顺序、不变量与恢复策略；未创建或应用任何M2迁移</x:v>
      </x:c>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x:c r="N11" s="17"/>
      <x:c r="O11" s="17"/>
      <x:c r="P11" s="17"/>
      <x:c r="Q11" s="17"/>
      <x:c r="R11" s="17"/>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x:c r="N12" s="17"/>
      <x:c r="O12" s="17"/>
      <x:c r="P12" s="17"/>
      <x:c r="Q12" s="17"/>
      <x:c r="R12" s="17"/>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x:c r="N13" s="17"/>
      <x:c r="O13" s="17"/>
      <x:c r="P13" s="17"/>
      <x:c r="Q13" s="17"/>
      <x:c r="R13" s="17"/>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x:c r="N14" s="17"/>
      <x:c r="O14" s="17"/>
      <x:c r="P14" s="17"/>
      <x:c r="Q14" s="17"/>
      <x:c r="R14" s="17"/>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x:c r="N15" s="17"/>
      <x:c r="O15" s="17"/>
      <x:c r="P15" s="17"/>
      <x:c r="Q15" s="17"/>
      <x:c r="R15" s="17"/>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x:c r="N16" s="17"/>
      <x:c r="O16" s="17"/>
      <x:c r="P16" s="17"/>
      <x:c r="Q16" s="17"/>
      <x:c r="R16" s="17"/>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x:c r="N17" s="17"/>
      <x:c r="O17" s="17"/>
      <x:c r="P17" s="17"/>
      <x:c r="Q17" s="17"/>
      <x:c r="R17" s="17"/>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x:c r="N18" s="17"/>
      <x:c r="O18" s="17"/>
      <x:c r="P18" s="17"/>
      <x:c r="Q18" s="17"/>
      <x:c r="R18" s="17"/>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x:c r="N19" s="17"/>
      <x:c r="O19" s="17"/>
      <x:c r="P19" s="17"/>
      <x:c r="Q19" s="17"/>
      <x:c r="R19" s="17"/>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x:c r="N20" s="17"/>
      <x:c r="O20" s="17"/>
      <x:c r="P20" s="17"/>
      <x:c r="Q20" s="17"/>
      <x:c r="R20" s="17"/>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x:c r="N21" s="17"/>
      <x:c r="O21" s="17"/>
      <x:c r="P21" s="17"/>
      <x:c r="Q21" s="17"/>
      <x:c r="R21" s="17"/>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x:c r="N22" s="17"/>
      <x:c r="O22" s="17"/>
      <x:c r="P22" s="17"/>
      <x:c r="Q22" s="17"/>
      <x:c r="R22" s="17"/>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x:c r="N23" s="18"/>
      <x:c r="O23" s="18"/>
      <x:c r="P23" s="18"/>
      <x:c r="Q23" s="18"/>
      <x:c r="R23" s="18"/>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213ed06808d4398"/>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CompanyLoginRequestDto</x:v>
      </x:c>
      <x:c r="H4" s="17" t="str">
        <x:v>WorkspaceChoiceResponseDto</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GENERATED</x:v>
      </x:c>
      <x:c r="P4" s="17" t="str">
        <x:v>IMPLEMENTED</x:v>
      </x:c>
      <x:c r="Q4" s="17" t="str">
        <x:v>IMPLEMENTED</x:v>
      </x:c>
      <x:c r="R4" s="17" t="str">
        <x:v>tests/openapi/m1-p066-company-auth-contract.test.mjs;apps/api/test/supertest/company-auth-api.test.mjs</x:v>
      </x:c>
      <x:c r="S4" s="17" t="str">
        <x:v>CODEX</x:v>
      </x:c>
      <x:c r="T4" s="17" t="str">
        <x:v>独立公司登录；未知账号与错误凭证统一错误；5次失败后限流；单一有效账号直签Cookie，多账号返回服务端列表；生产凭证校验器未接入时失败关闭</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SelectWorkspaceRequestDto</x:v>
      </x:c>
      <x:c r="H5" s="17" t="str">
        <x:v>SessionResponseDto</x:v>
      </x:c>
      <x:c r="I5" s="17" t="str">
        <x:v>{success,data,error:{code,message,details?},requestId}</x:v>
      </x:c>
      <x:c r="J5" s="17" t="str">
        <x:v>WORKSPACE_FORBIDDEN|SECOND_VERIFICATION_REQUIRED|WORKSPACE_SESSION_CONFLICT</x:v>
      </x:c>
      <x:c r="K5" s="17" t="str">
        <x:v>selectionNonce</x:v>
      </x:c>
      <x:c r="L5" s="17" t="str">
        <x:v>NEVER_RETURN; DTO白名单；对象归属校验先于查询结果返回</x:v>
      </x:c>
      <x:c r="M5" s="17" t="str">
        <x:v>N/A</x:v>
      </x:c>
      <x:c r="N5" s="17" t="str">
        <x:v>P0-066,P0-067</x:v>
      </x:c>
      <x:c r="O5" s="17" t="str">
        <x:v>GENERATED</x:v>
      </x:c>
      <x:c r="P5" s="17" t="str">
        <x:v>IMPLEMENTED</x:v>
      </x:c>
      <x:c r="Q5" s="17" t="str">
        <x:v>IMPLEMENTED</x:v>
      </x:c>
      <x:c r="R5" s="17" t="str">
        <x:v>tests/openapi/m1-p066-company-auth-contract.test.mjs;apps/api/test/supertest/company-auth-api.test.mjs</x:v>
      </x:c>
      <x:c r="S5" s="17" t="str">
        <x:v>CODEX</x:v>
      </x:c>
      <x:c r="T5" s="17" t="str">
        <x:v>选择nonce只存哈希且同requestId返回同值；客户端owner字段先拒绝；停用/过期账号不可选；同nonce改选其他账号冲突；原始会话令牌仅写Secure HttpOnly Cookie</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SupplierRegistrationRequestDto</x:v>
      </x:c>
      <x:c r="H6" s="17" t="str">
        <x:v>SupplierRegistrationResponseDto</x:v>
      </x:c>
      <x:c r="I6" s="17" t="str">
        <x:v>SupplierRegistrationResponseDto；错误={statusCode|code|message|details?|requestId}</x:v>
      </x:c>
      <x:c r="J6" s="17" t="str">
        <x:v>SUPPLIER_DUPLICATE|VALIDATION_FAILED|FIELD_FORBIDDEN|SINGLE_MERCHANT_VIOLATION|IDEMPOTENCY_CONFLICT|SERVICE_UNAVAILABLE</x:v>
      </x:c>
      <x:c r="K6" s="17" t="str">
        <x:v>Idempotency-Key</x:v>
      </x:c>
      <x:c r="L6" s="17" t="str">
        <x:v>NEVER_RETURN；DTO白名单；verificationCode仅写；响应不返回联系方式/完整资质/companyId/supplierId/供应价</x:v>
      </x:c>
      <x:c r="M6" s="17" t="str">
        <x:v>N/A</x:v>
      </x:c>
      <x:c r="N6" s="17" t="str">
        <x:v>P0-003,P0-069</x:v>
      </x:c>
      <x:c r="O6" s="17" t="str">
        <x:v>GENERATED</x:v>
      </x:c>
      <x:c r="P6" s="17" t="str">
        <x:v>IMPLEMENTED</x:v>
      </x:c>
      <x:c r="Q6" s="17" t="str">
        <x:v>IMPLEMENTED</x:v>
      </x:c>
      <x:c r="R6" s="17" t="str">
        <x:v>apps/api/test/supertest/supplier-onboarding-api.test.mjs；tests/contracts/m1-p003-supplier-onboarding.contract.test.mjs</x:v>
      </x:c>
      <x:c r="S6" s="17" t="str">
        <x:v>CODEX</x:v>
      </x:c>
      <x:c r="T6" s="17" t="str">
        <x:v>M1-P003任务内契约细化；公开注册只创建可编辑草稿；真实短信核验未接入时生产默认503；不授予供应商业务会话</x:v>
      </x:c>
    </x:row>
    <x:row r="7" ht="23" customHeight="1">
      <x:c r="A7" s="17" t="str">
        <x:v>API-006</x:v>
      </x:c>
      <x:c r="B7" s="17" t="str">
        <x:v>M1</x:v>
      </x:c>
      <x:c r="C7" s="17" t="str">
        <x:v>supplier-auth</x:v>
      </x:c>
      <x:c r="D7" s="17" t="str">
        <x:v>POST</x:v>
      </x:c>
      <x:c r="E7" s="17" t="str">
        <x:v>/v1/supplier-auth/login</x:v>
      </x:c>
      <x:c r="F7" s="17" t="str">
        <x:v>SUPPLIER_USER</x:v>
      </x:c>
      <x:c r="G7" s="17" t="str">
        <x:v>SupplierLoginRequestDto</x:v>
      </x:c>
      <x:c r="H7" s="17" t="str">
        <x:v>SupplierWorkspaceChoiceResponseDto</x:v>
      </x:c>
      <x:c r="I7" s="17" t="str">
        <x:v>{success,data,error:{code,message,details?},requestId}</x:v>
      </x:c>
      <x:c r="J7" s="17" t="str">
        <x:v>AUTH_INVALID|SUPPLIER_NOT_ACTIVE|ACCOUNT_SUSPENDED|RATE_LIMITED|VALIDATION_FAILED|DATA_SCOPE_FORBIDDEN</x:v>
      </x:c>
      <x:c r="K7" s="17" t="str">
        <x:v>requestId</x:v>
      </x:c>
      <x:c r="L7" s="17" t="str">
        <x:v>NEVER_RETURN; DTO白名单；对象归属校验先于查询结果返回</x:v>
      </x:c>
      <x:c r="M7" s="17" t="str">
        <x:v>N/A</x:v>
      </x:c>
      <x:c r="N7" s="17" t="str">
        <x:v>P0-069</x:v>
      </x:c>
      <x:c r="O7" s="17" t="str">
        <x:v>GENERATED</x:v>
      </x:c>
      <x:c r="P7" s="17" t="str">
        <x:v>IMPLEMENTED</x:v>
      </x:c>
      <x:c r="Q7" s="17" t="str">
        <x:v>IMPLEMENTED</x:v>
      </x:c>
      <x:c r="R7" s="17" t="str">
        <x:v>apps/api/test/supertest/supplier-auth-api.test.mjs;tests/openapi/m1-p069-supplier-auth-contract.test.mjs</x:v>
      </x:c>
      <x:c r="S7" s="17" t="str">
        <x:v>CODEX</x:v>
      </x:c>
      <x:c r="T7"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8" ht="23" customHeight="1">
      <x:c r="A8" s="17" t="str">
        <x:v>API-007</x:v>
      </x:c>
      <x:c r="B8" s="17" t="str">
        <x:v>M1</x:v>
      </x:c>
      <x:c r="C8" s="17" t="str">
        <x:v>supplier-auth</x:v>
      </x:c>
      <x:c r="D8" s="17" t="str">
        <x:v>POST</x:v>
      </x:c>
      <x:c r="E8" s="17" t="str">
        <x:v>/v1/supplier-auth/workspaces/{accountId}/select</x:v>
      </x:c>
      <x:c r="F8" s="17" t="str">
        <x:v>SUPPLIER_USER</x:v>
      </x:c>
      <x:c r="G8" s="17" t="str">
        <x:v>SupplierSelectWorkspaceRequestDto</x:v>
      </x:c>
      <x:c r="H8" s="17" t="str">
        <x:v>SupplierSessionResponseDto</x:v>
      </x:c>
      <x:c r="I8" s="17" t="str">
        <x:v>{success,data,error:{code,message,details?},requestId}</x:v>
      </x:c>
      <x:c r="J8" s="17" t="str">
        <x:v>WORKSPACE_FORBIDDEN|SECOND_VERIFICATION_REQUIRED|WORKSPACE_SESSION_CONFLICT|VALIDATION_FAILED|DATA_SCOPE_FORBIDDEN</x:v>
      </x:c>
      <x:c r="K8" s="17" t="str">
        <x:v>selectionNonce</x:v>
      </x:c>
      <x:c r="L8" s="17" t="str">
        <x:v>NEVER_RETURN; DTO白名单；对象归属校验先于查询结果返回</x:v>
      </x:c>
      <x:c r="M8" s="17" t="str">
        <x:v>N/A</x:v>
      </x:c>
      <x:c r="N8" s="17" t="str">
        <x:v>P0-069,P0-070</x:v>
      </x:c>
      <x:c r="O8" s="17" t="str">
        <x:v>GENERATED</x:v>
      </x:c>
      <x:c r="P8" s="17" t="str">
        <x:v>IMPLEMENTED</x:v>
      </x:c>
      <x:c r="Q8" s="17" t="str">
        <x:v>IMPLEMENTED</x:v>
      </x:c>
      <x:c r="R8" s="17" t="str">
        <x:v>apps/api/test/supertest/supplier-auth-api.test.mjs;tests/openapi/m1-p069-supplier-auth-contract.test.mjs</x:v>
      </x:c>
      <x:c r="S8" s="17" t="str">
        <x:v>CODEX</x:v>
      </x:c>
      <x:c r="T8"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SupplierProfileResponseDto</x:v>
      </x:c>
      <x:c r="I9" s="17" t="str">
        <x:v>ApiErrorResponseDto</x:v>
      </x:c>
      <x:c r="J9" s="17" t="str">
        <x:v>SUPPLIER_SCOPE_FORBIDDEN|AUTHENTICATION_REQUIRED</x:v>
      </x:c>
      <x:c r="K9" s="17" t="str">
        <x:v>NONE</x:v>
      </x:c>
      <x:c r="L9" s="17" t="str">
        <x:v>NEVER_RETURN；DTO白名单；无supplierId查询参数；对象归属校验先于响应</x:v>
      </x:c>
      <x:c r="M9" s="17" t="str">
        <x:v>N/A</x:v>
      </x:c>
      <x:c r="N9" s="17" t="str">
        <x:v>P0-004,P0-005</x:v>
      </x:c>
      <x:c r="O9" s="17" t="str">
        <x:v>GENERATED</x:v>
      </x:c>
      <x:c r="P9" s="17" t="str">
        <x:v>IMPLEMENTED</x:v>
      </x:c>
      <x:c r="Q9" s="17" t="str">
        <x:v>IMPLEMENTED</x:v>
      </x:c>
      <x:c r="R9" s="17" t="str">
        <x:v>apps/api/test/supertest/supplier-onboarding-api.test.mjs；tests/contracts/m1-p004-supplier-isolation.contract.test.mjs</x:v>
      </x:c>
      <x:c r="S9" s="17" t="str">
        <x:v>CODEX</x:v>
      </x:c>
      <x:c r="T9" s="17" t="str">
        <x:v>M1-P004实现服务端会话绑定的本人资料读取；生产职能会话解析器仍默认401；账号业务仍归M1-P005/P069/P070</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SupplierProfilePatchRequestDto</x:v>
      </x:c>
      <x:c r="H10" s="17" t="str">
        <x:v>SupplierProfileResponseDto</x:v>
      </x:c>
      <x:c r="I10" s="17" t="str">
        <x:v>SupplierProfileResponseDto；错误={statusCode|code|message|details?|requestId}</x:v>
      </x:c>
      <x:c r="J10" s="17" t="str">
        <x:v>AUTHENTICATION_REQUIRED|ACCESS_DENIED|SUPPLIER_SCOPE_FORBIDDEN|FIELD_FORBIDDEN|STATE_TRANSITION_INVALID|VERSION_CONFLICT|RESOURCE_NOT_FOUND|VALIDATION_FAILED|IDEMPOTENCY_CONFLICT|SECOND_VERIFICATION_REQUIRED</x:v>
      </x:c>
      <x:c r="K10" s="17" t="str">
        <x:v>Idempotency-Key</x:v>
      </x:c>
      <x:c r="L10" s="17" t="str">
        <x:v>NEVER_RETURN；supplierId仅取服务端会话；DTO白名单；不返回供应价或完整内部资质</x:v>
      </x:c>
      <x:c r="M10" s="17" t="str">
        <x:v>N/A</x:v>
      </x:c>
      <x:c r="N10" s="17" t="str">
        <x:v>P0-003,P0-005</x:v>
      </x:c>
      <x:c r="O10" s="17" t="str">
        <x:v>GENERATED</x:v>
      </x:c>
      <x:c r="P10" s="17" t="str">
        <x:v>IMPLEMENTED</x:v>
      </x:c>
      <x:c r="Q10" s="17" t="str">
        <x:v>IMPLEMENTED</x:v>
      </x:c>
      <x:c r="R10" s="17" t="str">
        <x:v>apps/api/test/supertest/supplier-onboarding-api.test.mjs；tests/contracts/m1-p003-supplier-onboarding.contract.test.mjs；tests/contracts/m1-p004-supplier-isolation.contract.test.mjs</x:v>
      </x:c>
      <x:c r="S10" s="17" t="str">
        <x:v>CODEX</x:v>
      </x:c>
      <x:c r="T10" s="17" t="str">
        <x:v>M1-P047将运行时结算账户变更的428二次验证要求补入确定性OpenAPI；仅DRAFT或CORRECTION_REQUIRED可按乐观版本补正；生产会话解析器默认拒绝</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SubmitReviewRequestDto</x:v>
      </x:c>
      <x:c r="H11" s="17" t="str">
        <x:v>ApprovalTaskResponseDto</x:v>
      </x:c>
      <x:c r="I11" s="17" t="str">
        <x:v>ApprovalTaskResponseDto；错误={statusCode|code|message|details?|requestId}</x:v>
      </x:c>
      <x:c r="J11" s="17" t="str">
        <x:v>AUTHENTICATION_REQUIRED|ACCESS_DENIED|SUPPLIER_SCOPE_FORBIDDEN|VALIDATION_FAILED|STATE_TRANSITION_INVALID|VERSION_CONFLICT|IDEMPOTENCY_CONFLICT</x:v>
      </x:c>
      <x:c r="K11" s="17" t="str">
        <x:v>Idempotency-Key</x:v>
      </x:c>
      <x:c r="L11" s="17" t="str">
        <x:v>NEVER_RETURN；supplierId与申请自然人仅取服务端会话；不返回供应价或结算资料</x:v>
      </x:c>
      <x:c r="M11" s="17" t="str">
        <x:v>N/A</x:v>
      </x:c>
      <x:c r="N11" s="17" t="str">
        <x:v>P0-003</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M1-P003实现提交审核；M1-P004补齐客户端归属字段篡改403契约；资料完整才创建追加式审核任务并进入PENDING_REVIEW；EXT-006正式资质规则未提供</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SupplierQueryDto</x:v>
      </x:c>
      <x:c r="H12" s="17" t="str">
        <x:v>SupplierPageResponseDto</x:v>
      </x:c>
      <x:c r="I12" s="17" t="str">
        <x:v>SupplierPageResponseDto；错误={statusCode|code|message|details?|requestId}</x:v>
      </x:c>
      <x:c r="J12" s="17" t="str">
        <x:v>AUTHENTICATION_REQUIRED|ACCESS_DENIED|VALIDATION_FAILED</x:v>
      </x:c>
      <x:c r="K12" s="17" t="str">
        <x:v>NONE</x:v>
      </x:c>
      <x:c r="L12" s="17" t="str">
        <x:v>NEVER_RETURN；仅公司供应商运营固定职能；信用代码脱敏；不返回联系方式/完整资质/供应价</x:v>
      </x:c>
      <x:c r="M12" s="17" t="str">
        <x:v>N/A</x:v>
      </x:c>
      <x:c r="N12" s="17" t="str">
        <x:v>P0-003,P0-004</x:v>
      </x:c>
      <x:c r="O12" s="17" t="str">
        <x:v>GENERATED</x:v>
      </x:c>
      <x:c r="P12" s="17" t="str">
        <x:v>IMPLEMENTED</x:v>
      </x:c>
      <x:c r="Q12" s="17" t="str">
        <x:v>IMPLEMENTED</x:v>
      </x:c>
      <x:c r="R12" s="17" t="str">
        <x:v>apps/api/test/supertest/supplier-onboarding-api.test.mjs；tests/contracts/m1-p003-supplier-onboarding.contract.test.mjs</x:v>
      </x:c>
      <x:c r="S12" s="17" t="str">
        <x:v>CODEX</x:v>
      </x:c>
      <x:c r="T12" s="17" t="str">
        <x:v>M1-P003任务内契约细化；仅提供入驻状态筛选和资质摘要；生产会话解析器默认拒绝；P0-004跨供应商业务隔离未执行</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SupplierReviewRequestDto</x:v>
      </x:c>
      <x:c r="H13" s="17" t="str">
        <x:v>SupplierResponseDto</x:v>
      </x:c>
      <x:c r="I13" s="17" t="str">
        <x:v>SupplierResponseDto；错误={statusCode|code|message|details?|requestId}</x:v>
      </x:c>
      <x:c r="J13" s="17" t="str">
        <x:v>AUTHENTICATION_REQUIRED|ACCESS_DENIED|VALIDATION_FAILED|STATE_TRANSITION_INVALID|APPROVAL_VERSION_CONFLICT|SECOND_VERIFICATION_REQUIRED|IDEMPOTENCY_CONFLICT</x:v>
      </x:c>
      <x:c r="K13" s="17" t="str">
        <x:v>Idempotency-Key</x:v>
      </x:c>
      <x:c r="L13" s="17" t="str">
        <x:v>NEVER_RETURN；审核自然人仅取服务端会话；DTO白名单；不返回供应价/联系方式/完整资质</x:v>
      </x:c>
      <x:c r="M13" s="17" t="str">
        <x:v>N/A</x:v>
      </x:c>
      <x:c r="N13" s="17" t="str">
        <x:v>P0-003</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M1-P003任务内契约细化；只允许REQUEST_CORRECTION或APPROVE并按版本推进；历史状态和审核证据追加留痕</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FunctionalAccountQueryDto</x:v>
      </x:c>
      <x:c r="H14" s="17" t="str">
        <x:v>FunctionalAccountPageResponseDto</x:v>
      </x:c>
      <x:c r="I14" s="17" t="str">
        <x:v>{success,data,error:{code,message,details?},requestId}</x:v>
      </x:c>
      <x:c r="J14" s="17" t="str">
        <x:v>DATA_SCOPE_FORBIDDEN|WORKSPACE_FORBIDDEN</x:v>
      </x:c>
      <x:c r="K14" s="17" t="str">
        <x:v>NONE</x:v>
      </x:c>
      <x:c r="L14" s="17" t="str">
        <x:v>NEVER_RETURN; DTO白名单；对象归属校验先于查询结果返回</x:v>
      </x:c>
      <x:c r="M14" s="17" t="str">
        <x:v>N/A</x:v>
      </x:c>
      <x:c r="N14" s="17" t="str">
        <x:v>P0-005,P0-067,P0-070</x:v>
      </x:c>
      <x:c r="O14" s="17" t="str">
        <x:v>GENERATED</x:v>
      </x:c>
      <x:c r="P14" s="17" t="str">
        <x:v>IMPLEMENTED</x:v>
      </x:c>
      <x:c r="Q14" s="17" t="str">
        <x:v>IMPLEMENTED</x:v>
      </x:c>
      <x:c r="R14" s="17" t="str">
        <x:v>FREEZE:tests/contracts/m1-contract-freeze.contract.test.mjs;RUNTIME:apps/api/test/supertest/supplier-functional-accounts-api.test.mjs;apps/api/test/supertest/company-workspace-api.test.mjs</x:v>
      </x:c>
      <x:c r="S14" s="17" t="str">
        <x:v>CODEX</x:v>
      </x:c>
      <x:c r="T14" s="17" t="str">
        <x:v>M1-P067任务内完成company归属分支；仅COMPANY_SUPER_ADMIN固定会话可列出唯一公司职能账号；供应商分支保持原合同</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CreateFunctionalAccountRequestDto</x:v>
      </x:c>
      <x:c r="H15" s="17" t="str">
        <x:v>FunctionalAccountResponseDto</x:v>
      </x:c>
      <x:c r="I15" s="17" t="str">
        <x:v>{success,data,error:{code,message,details?},requestId}</x:v>
      </x:c>
      <x:c r="J15" s="17" t="str">
        <x:v>ACCOUNT_TYPE_INVALID|SECOND_VERIFICATION_REQUIRED|DATA_SCOPE_FORBIDDEN|WORKSPACE_FORBIDDEN|STATE_TRANSITION_INVALID|IDEMPOTENCY_CONFLICT|VALIDATION_FAILED</x:v>
      </x:c>
      <x:c r="K15" s="17" t="str">
        <x:v>Idempotency-Key</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M1-P067任务内完成company归属分支；公司邀请需二次验证、幂等、追加状态历史和审计；所有权字段禁止；供应商激活/登录仍归M1-P069</x:v>
      </x:c>
    </x:row>
    <x:row r="16" ht="23" customHeight="1">
      <x:c r="A16" s="17" t="str">
        <x:v>API-015</x:v>
      </x:c>
      <x:c r="B16" s="17" t="str">
        <x:v>M1</x:v>
      </x:c>
      <x:c r="C16" s="17" t="str">
        <x:v>audit</x:v>
      </x:c>
      <x:c r="D16" s="17" t="str">
        <x:v>GET</x:v>
      </x:c>
      <x:c r="E16" s="17" t="str">
        <x:v>/v1/audit/events</x:v>
      </x:c>
      <x:c r="F16" s="17" t="str">
        <x:v>AUTHORIZED_AUDITOR</x:v>
      </x:c>
      <x:c r="G16" s="17" t="str">
        <x:v>AuditQueryDto</x:v>
      </x:c>
      <x:c r="H16" s="17" t="str">
        <x:v>AuditEventPageResponseDto</x:v>
      </x:c>
      <x:c r="I16" s="17" t="str">
        <x:v>{success,data,error:{code,message,details?},requestId}</x:v>
      </x:c>
      <x:c r="J16" s="17" t="str">
        <x:v>FIELD_FORBIDDEN|WORKSPACE_FORBIDDEN</x:v>
      </x:c>
      <x:c r="K16" s="17" t="str">
        <x:v>NONE</x:v>
      </x:c>
      <x:c r="L16" s="17" t="str">
        <x:v>NEVER_RETURN; DTO白名单；供应商查询在数据库前加入会话supplierId；公司审计全局只读</x:v>
      </x:c>
      <x:c r="M16" s="17" t="str">
        <x:v>N/A</x:v>
      </x:c>
      <x:c r="N16" s="17" t="str">
        <x:v>P0-045,P0-072</x:v>
      </x:c>
      <x:c r="O16" s="17" t="str">
        <x:v>GENERATED</x:v>
      </x:c>
      <x:c r="P16" s="17" t="str">
        <x:v>IMPLEMENTED</x:v>
      </x:c>
      <x:c r="Q16" s="17" t="str">
        <x:v>IMPLEMENTED</x:v>
      </x:c>
      <x:c r="R16" s="17" t="str">
        <x:v>tests/contracts/m1-p045-sensitive-audit.contract.test.mjs;apps/api/test/supertest/audit-log-api.test.mjs;tests/e2e/p0/p0-072-sensitive-operations-audit.spec.ts</x:v>
      </x:c>
      <x:c r="S16" s="17" t="str">
        <x:v>CODEX</x:v>
      </x:c>
      <x:c r="T16" s="17" t="str">
        <x:v>M1-P072扩展为公司审计全局脱敏只读与供应商审计本方只读；响应不返回supplierId/functionalAccountId/IP/敏感原文</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CategoryQuery(status?)</x:v>
      </x:c>
      <x:c r="H17" s="17" t="str">
        <x:v>CategoryTreeResponseDto</x:v>
      </x:c>
      <x:c r="I17" s="17" t="str">
        <x:v>{success,data,error:{code,message,details?},requestId}</x:v>
      </x:c>
      <x:c r="J17" s="17" t="str">
        <x:v>COMMON_AUTH_VALIDATION_ERRORS</x:v>
      </x:c>
      <x:c r="K17" s="17" t="str">
        <x:v>NONE</x:v>
      </x:c>
      <x:c r="L17" s="17" t="str">
        <x:v>NEVER_RETURN; DTO白名单；companyId和职能均从会话派生；不返回供应价</x:v>
      </x:c>
      <x:c r="M17" s="17" t="str">
        <x:v>不适用金额；禁止客户端提交companyId/functionalAccountId</x:v>
      </x:c>
      <x:c r="N17" s="17" t="str">
        <x:v>P0-011</x:v>
      </x:c>
      <x:c r="O17" s="17" t="str">
        <x:v>GENERATED</x:v>
      </x:c>
      <x:c r="P17" s="17" t="str">
        <x:v>IMPLEMENTED</x:v>
      </x:c>
      <x:c r="Q17" s="17" t="str">
        <x:v>IMPLEMENTED</x:v>
      </x:c>
      <x:c r="R17" s="17" t="str">
        <x:v>FREEZE:tests/contracts/m2-contract-freeze.contract.test.mjs;RUNTIME:apps/api/test/supertest/categories-api.test.mjs|tests/contracts/m2-p011-category-tree.contract.test.mjs</x:v>
      </x:c>
      <x:c r="S17" s="17" t="str">
        <x:v>CODEX</x:v>
      </x:c>
      <x:c r="T17" s="17" t="str">
        <x:v>递归树按sortWeight/name/id确定性排序；仅COMPANY_PRODUCT_OPS固定职能可访问；OpenAPI与生成类型已更新。</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CategoryCreateRequestDto</x:v>
      </x:c>
      <x:c r="H18" s="17" t="str">
        <x:v>CategoryResponseDto</x:v>
      </x:c>
      <x:c r="I18" s="17" t="str">
        <x:v>{success,data,error:{code,message,details?},requestId}</x:v>
      </x:c>
      <x:c r="J18" s="17" t="str">
        <x:v>CATEGORY_PARENT_INVALID|CATEGORY_LEVEL_INVALID|CATEGORY_DUPLICATE|IDEMPOTENCY_CONFLICT</x:v>
      </x:c>
      <x:c r="K18" s="17" t="str">
        <x:v>Idempotency-Key</x:v>
      </x:c>
      <x:c r="L18" s="17" t="str">
        <x:v>NEVER_RETURN; DTO白名单；companyId和操作者均从会话派生；不返回供应价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PATCH/DELETE同路径categoryId补充管理操作已实现；版本冲突、幂等重放/冲突、引用删除保护和追加审计均有运行证据。</x:v>
      </x:c>
    </x:row>
    <x:row r="19" ht="23" customHeight="1">
      <x:c r="A19" s="17" t="str">
        <x:v>API-018</x:v>
      </x:c>
      <x:c r="B19" s="17" t="str">
        <x:v>M2</x:v>
      </x:c>
      <x:c r="C19" s="17" t="str">
        <x:v>category-templates</x:v>
      </x:c>
      <x:c r="D19" s="17" t="str">
        <x:v>GET|POST|PATCH|POST</x:v>
      </x:c>
      <x:c r="E19" s="17" t="str">
        <x:v>/v1/company/categories/{categoryId}/template-versions|/v1/company/category-template-versions/{templateId}|/v1/company/category-template-versions/{templateId}/publish</x:v>
      </x:c>
      <x:c r="F19" s="17" t="str">
        <x:v>COMPANY_PRODUCT_OPS</x:v>
      </x:c>
      <x:c r="G19" s="17" t="str">
        <x:v>CategoryTemplateCreateRequestDto|CategoryTemplatePatchRequestDto|CategoryTemplatePublishRequestDto</x:v>
      </x:c>
      <x:c r="H19" s="17" t="str">
        <x:v>CategoryTemplateListResponseDto|CategoryTemplateResponseDto</x:v>
      </x:c>
      <x:c r="I19" s="17" t="str">
        <x:v>{success,data,error:{code,message,details?},requestId}</x:v>
      </x:c>
      <x:c r="J19" s="17" t="str">
        <x:v>TEMPLATE_SCHEMA_INVALID|TEMPLATE_NOT_FOUND|TEMPLATE_DRAFT_EXISTS|TEMPLATE_IMMUTABLE|TEMPLATE_VERSION_INACTIVE|VERSION_CONFLICT|IDEMPOTENCY_CONFLICT</x:v>
      </x:c>
      <x:c r="K19" s="17" t="str">
        <x:v>Idempotency-Key</x:v>
      </x:c>
      <x:c r="L19" s="17" t="str">
        <x:v>NEVER_RETURN; DTO白名单；companyId和职能从会话派生；不返回供应价/functionalAccountId</x:v>
      </x:c>
      <x:c r="M19" s="17" t="str">
        <x:v>N/A；本切片无金额字段</x:v>
      </x:c>
      <x:c r="N19" s="17" t="str">
        <x:v>P0-012,P0-018</x:v>
      </x:c>
      <x:c r="O19" s="17" t="str">
        <x:v>GENERATED</x:v>
      </x:c>
      <x:c r="P19" s="17" t="str">
        <x:v>IMPLEMENTED</x:v>
      </x:c>
      <x:c r="Q19" s="17" t="str">
        <x:v>IMPLEMENTED</x:v>
      </x:c>
      <x:c r="R19" s="17" t="str">
        <x:v>FREEZE:tests/contracts/m2-contract-freeze.contract.test.mjs;RUNTIME:apps/api/test/supertest/category-templates-api.test.mjs|tests/contracts/m2-p012-category-template.contract.test.mjs</x:v>
      </x:c>
      <x:c r="S19" s="17" t="str">
        <x:v>CODEX</x:v>
      </x:c>
      <x:c r="T19" s="17" t="str">
        <x:v>查询/创建草稿/修改草稿/发布四操作已实现；发布原子退役旧版并追加历史；P0-018只复用模板契约且强监管开关仍未实现</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17" t="str">
        <x:v>Idempotency-Key</x:v>
      </x:c>
      <x:c r="L20" s="17" t="str">
        <x:v>NEVER_RETURN; DTO白名单；对象归属校验先于查询结果返回</x:v>
      </x:c>
      <x:c r="M20" s="17" t="str">
        <x:v>金额字段整数分；服务端重算；禁止客户端提交供应价或结算快照</x:v>
      </x:c>
      <x:c r="N20" s="17" t="str">
        <x:v>P0-006,P0-008,P0-061</x:v>
      </x:c>
      <x:c r="O20" s="17" t="str">
        <x:v>GENERATED</x:v>
      </x:c>
      <x:c r="P20" s="17" t="str">
        <x:v>IMPLEMENTED</x:v>
      </x:c>
      <x:c r="Q20" s="17" t="str">
        <x:v>IMPLEMENTED</x:v>
      </x:c>
      <x:c r="R20" s="17" t="str">
        <x:v>apps/api/test/supertest/supplier-products-api.test.mjs|packages/contracts/openapi.json</x:v>
      </x:c>
      <x:c r="S20" s="17" t="str">
        <x:v>CODEX</x:v>
      </x:c>
      <x:c r="T20" s="17" t="str">
        <x:v>确定性OpenAPI已生成；固定供应商商品职能会话、幂等与DTO白名单通过本地测试；CI待执行。</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17" t="str">
        <x:v>Idempotency-Key</x:v>
      </x:c>
      <x:c r="L21" s="17" t="str">
        <x:v>NEVER_RETURN; DTO白名单；对象归属校验先于查询结果返回</x:v>
      </x:c>
      <x:c r="M21" s="17" t="str">
        <x:v>金额字段整数分；服务端重算；禁止客户端提交供应价或结算快照</x:v>
      </x:c>
      <x:c r="N21" s="17" t="str">
        <x:v>P0-006,P0-008</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确定性OpenAPI已生成；固定供应商商品职能会话、幂等与DTO白名单通过本地测试；CI待执行。</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17" t="str">
        <x:v>Idempotency-Key</x:v>
      </x:c>
      <x:c r="L22" s="17" t="str">
        <x:v>NEVER_RETURN; DTO白名单；对象归属校验先于查询结果返回</x:v>
      </x:c>
      <x:c r="M22" s="17" t="str">
        <x:v>金额字段整数分；服务端重算；禁止客户端提交供应价或结算快照</x:v>
      </x:c>
      <x:c r="N22" s="17" t="str">
        <x:v>P0-006,P0-007</x:v>
      </x:c>
      <x:c r="O22" s="17" t="str">
        <x:v>GENERATED</x:v>
      </x:c>
      <x:c r="P22" s="17" t="str">
        <x:v>IMPLEMENTED</x:v>
      </x:c>
      <x:c r="Q22" s="17" t="str">
        <x:v>IMPLEMENTED</x:v>
      </x:c>
      <x:c r="R22" s="17" t="str">
        <x:v>apps/api/test/supertest/supplier-products-api.test.mjs|packages/contracts/openapi.json</x:v>
      </x:c>
      <x:c r="S22" s="17" t="str">
        <x:v>CODEX</x:v>
      </x:c>
      <x:c r="T22" s="17" t="str">
        <x:v>确定性OpenAPI已生成；固定供应商商品职能会话、幂等与DTO白名单通过本地测试；CI待执行。</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InitialPricesRequestDto</x:v>
      </x:c>
      <x:c r="H23" s="17" t="str">
        <x:v>InitialPricesResponseDto</x:v>
      </x:c>
      <x:c r="I23" s="17" t="str">
        <x:v>{success,data,error:{code,message,details?},requestId}</x:v>
      </x:c>
      <x:c r="J23" s="17" t="str">
        <x:v>PRICE_INVALID|SUPPLIER_SCOPE_FORBIDDEN|WORKSPACE_FORBIDDEN|INITIAL_PRICE_STATE_INVALID|INITIAL_PRICE_REVIEW_PENDING|IDEMPOTENCY_CONFLICT|AUDIT_REQUIRED</x:v>
      </x:c>
      <x:c r="K23" s="17" t="str">
        <x:v>Idempotency-Key</x:v>
      </x:c>
      <x:c r="L23" s="17" t="str">
        <x:v>ROLE_AND_SUPPLIER_SCOPE_WHITELIST; DTO白名单；对象归属校验先于查询结果返回</x:v>
      </x:c>
      <x:c r="M23" s="17" t="str">
        <x:v>三类申请价格均为非负安全整数分；禁止客户端提交归属、有效价格版本或结算快照</x:v>
      </x:c>
      <x:c r="N23" s="17" t="str">
        <x:v>P0-008</x:v>
      </x:c>
      <x:c r="O23" s="17" t="str">
        <x:v>GENERATED</x:v>
      </x:c>
      <x:c r="P23" s="17" t="str">
        <x:v>IMPLEMENTED</x:v>
      </x:c>
      <x:c r="Q23" s="17" t="str">
        <x:v>IMPLEMENTED</x:v>
      </x:c>
      <x:c r="R23" s="17" t="str">
        <x:v>apps/api/test/supertest/supplier-pricing-api.test.mjs|tests/openapi/openapi-generation.test.mjs|packages/contracts/openapi.json</x:v>
      </x:c>
      <x:c r="S23" s="17" t="str">
        <x:v>CODEX</x:v>
      </x:c>
      <x:c r="T23" s="17" t="str">
        <x:v>固定SUPPLIER_PRICING会话、完整SKU集合、并发幂等、审计回滚、历史快照和公司侧禁止改价测试通过；pnpm verify 17/17 LOCAL_PASS，CI待执行。</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17"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17" t="str">
        <x:v>PLANNED</x:v>
      </x:c>
      <x:c r="P24" s="17" t="str">
        <x:v>PLANNED</x:v>
      </x:c>
      <x:c r="Q24" s="17" t="str">
        <x:v>PLANNED</x:v>
      </x:c>
      <x:c r="R24" s="17" t="str">
        <x:v>FREEZE:tests/contracts/m2-contract-freeze.contract.test.mjs;RUNTIME:TO_BE_CREATED</x:v>
      </x:c>
      <x:c r="S24" s="17" t="str">
        <x:v>CODEX</x:v>
      </x:c>
      <x:c r="T24" s="17" t="str">
        <x:v>M2-000已冻结DTO、错误码、权限、幂等和敏感字段策略；OpenAPI及运行时实现仍为PLANNED/NOT_IMPLEMENTED</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17"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17" t="str">
        <x:v>PLANNED</x:v>
      </x:c>
      <x:c r="P25" s="17" t="str">
        <x:v>PLANNED</x:v>
      </x:c>
      <x:c r="Q25" s="17" t="str">
        <x:v>PLANNED</x:v>
      </x:c>
      <x:c r="R25" s="17" t="str">
        <x:v>FREEZE:tests/contracts/m2-contract-freeze.contract.test.mjs;RUNTIME:TO_BE_CREATED</x:v>
      </x:c>
      <x:c r="S25" s="17" t="str">
        <x:v>CODEX</x:v>
      </x:c>
      <x:c r="T25" s="17" t="str">
        <x:v>M2-000已冻结DTO、错误码、权限、幂等和敏感字段策略；OpenAPI及运行时实现仍为PLANNED/NOT_IMPLEMENTED</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ProductApprovalDecisionRequestDto</x:v>
      </x:c>
      <x:c r="H26" s="17" t="str">
        <x:v>ProductApprovalDecisionResponseDto</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GENERATED</x:v>
      </x:c>
      <x:c r="P26" s="17" t="str">
        <x:v>IMPLEMENTED</x:v>
      </x:c>
      <x:c r="Q26" s="17" t="str">
        <x:v>IMPLEMENTED</x:v>
      </x:c>
      <x:c r="R26" s="17" t="str">
        <x:v>apps/api/test/supertest/company-product-approvals-api.test.mjs|packages/contracts/openapi.json</x:v>
      </x:c>
      <x:c r="S26" s="17" t="str">
        <x:v>CODEX</x:v>
      </x:c>
      <x:c r="T26" s="17" t="str">
        <x:v>资料审核队列/决定运行时和确定性OpenAPI已实现；响应白名单无三类价格；同人自审、幂等、并发和审计失败本地通过；CI待执行。</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ProductApprovalDecisionRequestDto</x:v>
      </x:c>
      <x:c r="H27" s="17" t="str">
        <x:v>ProductApprovalDecisionResponseDto</x:v>
      </x:c>
      <x:c r="I27" s="17" t="str">
        <x:v>{success,data,error:{code,message,details?},requestId}</x:v>
      </x:c>
      <x:c r="J27" s="17" t="str">
        <x:v>APPROVAL_VERSION_CONFLICT|SELF_APPROVAL_FORBIDDEN</x:v>
      </x:c>
      <x:c r="K27" s="17"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17" t="str">
        <x:v>GENERATED</x:v>
      </x:c>
      <x:c r="P27" s="17" t="str">
        <x:v>IMPLEMENTED</x:v>
      </x:c>
      <x:c r="Q27" s="17" t="str">
        <x:v>IMPLEMENTED</x:v>
      </x:c>
      <x:c r="R27" s="17" t="str">
        <x:v>apps/api/test/supertest/company-product-approvals-api.test.mjs|packages/contracts/openapi.json</x:v>
      </x:c>
      <x:c r="S27" s="17" t="str">
        <x:v>CODEX</x:v>
      </x:c>
      <x:c r="T27" s="17" t="str">
        <x:v>初始三价审核队列/决定运行时和确定性OpenAPI已实现；仅COMPANY_PRICE_REVIEW可见；双审后唯一物化本地通过；CI待执行。</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FREEZE:tests/contracts/m2-contract-freeze.contract.test.mjs;RUNTIME:TO_BE_CREATED</x:v>
      </x:c>
      <x:c r="S28" s="17" t="str">
        <x:v>CODEX</x:v>
      </x:c>
      <x:c r="T28" s="17" t="str">
        <x:v>M2-000已冻结DTO、错误码、权限、幂等和敏感字段策略；OpenAPI及运行时实现仍为PLANNED/NOT_IMPLEMENTED</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FREEZE:tests/contracts/m2-contract-freeze.contract.test.mjs;RUNTIME:TO_BE_CREATED</x:v>
      </x:c>
      <x:c r="S29" s="17" t="str">
        <x:v>CODEX</x:v>
      </x:c>
      <x:c r="T29" s="17" t="str">
        <x:v>M2-000已冻结DTO、错误码、权限、幂等和敏感字段策略；OpenAPI及运行时实现仍为PLANNED/NOT_IMPLEMENTED</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ProductIdPath</x:v>
      </x:c>
      <x:c r="H31" s="17" t="str">
        <x:v>PublicFoodProductDetailResponseDto</x:v>
      </x:c>
      <x:c r="I31" s="17" t="str">
        <x:v>{success,data,error:{code,message,details?},requestId}</x:v>
      </x:c>
      <x:c r="J31"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x:v>
      </x:c>
      <x:c r="K31" s="17" t="str">
        <x:v>NONE</x:v>
      </x:c>
      <x:c r="L31" s="17" t="str">
        <x:v>NEVER_RETURN; DTO白名单；对象归属校验先于查询结果返回；礼盒supplierProductId内部引用不返回</x:v>
      </x:c>
      <x:c r="M31" s="17" t="str">
        <x:v>金额字段整数分；服务端重算；禁止客户端提交供应价或结算快照</x:v>
      </x:c>
      <x:c r="N31" s="17" t="str">
        <x:v>P0-013,P0-014,P0-015,P0-016,P0-017,P0-021,P0-088</x:v>
      </x:c>
      <x:c r="O31" s="17" t="str">
        <x:v>GENERATED</x:v>
      </x:c>
      <x:c r="P31" s="17" t="str">
        <x:v>IMPLEMENTED</x:v>
      </x:c>
      <x:c r="Q31" s="17" t="str">
        <x:v>IMPLEMENTED</x:v>
      </x:c>
      <x:c r="R31" s="17" t="str">
        <x:v>apps/api/test/supertest/food-product-detail-api.test.mjs|apps/api/test/supertest/fresh-product-detail-api.test.mjs|apps/api/test/supertest/apparel-product-detail-api.test.mjs|apps/api/test/supertest/digital-product-detail-api.test.mjs|apps/api/test/supertest/gift-box-product-detail-api.test.mjs|tests/contracts/m2-p013-food-detail.contract.test.mjs|tests/contracts/m2-p014-fresh-detail.contract.test.mjs|tests/contracts/m2-p015-apparel-detail.contract.test.mjs|tests/contracts/m2-p016-digital-detail.contract.test.mjs|tests/contracts/m2-p017-gift-box-detail.contract.test.mjs|tests/openapi/openapi-generation.test.mjs|packages/contracts/openapi.json</x:v>
      </x:c>
      <x:c r="S31" s="17" t="str">
        <x:v>CODEX</x:v>
      </x:c>
      <x:c r="T31" s="17" t="str">
        <x:v>P013至P016已在main取得CI证据；P017礼盒详情以结构化公开DTO展示子项、数量、规格和有效期下限，内部supplierProductId、供应价和资质引用不返回，当前为LOCAL_PASS。P0-021/P0-088其他通用详情与完整交互仍为NOT_EXECUTED。</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SUPPLIER_NOT_ACTIVE|SUPPLIER_SCOPE_FORBIDDEN|PRODUCT_NOT_SALEABLE|FORBIDDEN_CAPABILITY</x:v>
      </x:c>
      <x:c r="K32" s="17" t="str">
        <x:v>NONE</x:v>
      </x:c>
      <x:c r="L32" s="17" t="str">
        <x:v>NEVER_RETURN; DTO白名单；供应价、结算、供应商私有字段和店铺语义均不返回</x:v>
      </x:c>
      <x:c r="M32" s="17" t="str">
        <x:v>金额字段整数分；只返回当前零售销售价；禁止客户端提交供应价或结算快照</x:v>
      </x:c>
      <x:c r="N32" s="17" t="str">
        <x:v>P0-010,P0-089</x:v>
      </x:c>
      <x:c r="O32" s="17" t="str">
        <x:v>GENERATED</x:v>
      </x:c>
      <x:c r="P32" s="17" t="str">
        <x:v>IMPLEMENTED</x:v>
      </x:c>
      <x:c r="Q32" s="17" t="str">
        <x:v>IMPLEMENTED</x:v>
      </x:c>
      <x:c r="R32" s="17" t="str">
        <x:v>apps/api/test/supertest/public-catalog-api.test.mjs|apps/api/test/unit/public-catalog-prisma-repository.test.mjs|tests/contracts/m2-p010-public-catalog.contract.test.mjs|apps/user-miniapp/test/supplier-products-build.test.mjs</x:v>
      </x:c>
      <x:c r="S32" s="17" t="str">
        <x:v>CODEX</x:v>
      </x:c>
      <x:c r="T32" s="17" t="str">
        <x:v>M2-P010完成公开同源在售商品查询与响应白名单；保留M3归属，因为PAGE-054完整P0-089、真机与交易入口仍在M3执行。</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FORBIDDEN_CAPABILITY|SELLER_IDENTITY_FORBIDDEN|PAYEE_FORBIDDEN|SINGLE_MERCHANT_VIOLATION</x:v>
      </x:c>
      <x:c r="K82" s="189" t="str">
        <x:v>NONE</x:v>
      </x:c>
      <x:c r="L82" s="189" t="str">
        <x:v>NEVER_RETURN；DTO白名单；wechatPayConfigRef/companyId/supplierId/status及供应商店铺/收款/店铺购物车字段不返回；禁止客户端覆盖交易主体</x:v>
      </x:c>
      <x:c r="M82" s="189" t="str">
        <x:v>N/A</x:v>
      </x:c>
      <x:c r="N82" s="189" t="str">
        <x:v>P0-001,P0-009</x:v>
      </x:c>
      <x:c r="O82" s="189" t="str">
        <x:v>GENERATED</x:v>
      </x:c>
      <x:c r="P82" s="189" t="str">
        <x:v>IMPLEMENTED</x:v>
      </x:c>
      <x:c r="Q82" s="189" t="str">
        <x:v>IMPLEMENTED</x:v>
      </x:c>
      <x:c r="R82" s="189" t="str">
        <x:v>apps/api/test/supertest/single-merchant-api.test.mjs；tests/contracts/m1-p001-single-merchant.contract.test.mjs；tests/contracts/m2-p009-no-supplier-storefront.contract.test.mjs</x:v>
      </x:c>
      <x:c r="S82" s="189" t="str">
        <x:v>CODEX</x:v>
      </x:c>
      <x:c r="T82" s="189" t="str">
        <x:v>M1-P001任务内契约细化；M2-P009追加禁止能力语义，公开主体白名单递归拒绝供应商店铺、直接支付和店铺购物车字段，不增加交易入口。</x:v>
      </x:c>
    </x:row>
    <x:row r="83">
      <x:c r="A83" t="str">
        <x:v>API-082</x:v>
      </x:c>
      <x:c r="B83" t="str">
        <x:v>M1</x:v>
      </x:c>
      <x:c r="C83" t="str">
        <x:v>company-auth</x:v>
      </x:c>
      <x:c r="D83" t="str">
        <x:v>GET</x:v>
      </x:c>
      <x:c r="E83" t="str">
        <x:v>/v1/company-auth/workspace/current</x:v>
      </x:c>
      <x:c r="F83" t="str">
        <x:v>COMPANY_FUNCTIONAL_ACCOUNT</x:v>
      </x:c>
      <x:c r="G83" t="str">
        <x:v>CompanyWorkspaceQueryDto</x:v>
      </x:c>
      <x:c r="H83" t="str">
        <x:v>CompanyWorkspaceResponseDto</x:v>
      </x:c>
      <x:c r="I83" t="str">
        <x:v>CompanyWorkspaceResponseDto；错误={statusCode,code,message,requestId}</x:v>
      </x:c>
      <x:c r="J83" t="str">
        <x:v>AUTHENTICATION_REQUIRED|AUTH_SESSION_REVOKED|WORKSPACE_FORBIDDEN|VALIDATION_FAILED</x:v>
      </x:c>
      <x:c r="K83" t="str">
        <x:v>NONE</x:v>
      </x:c>
      <x:c r="L83" t="str">
        <x:v>NEVER_RETURN；DTO仅返回当前职能code/name/pageId/workspaceRoute和单一menuItems；不返回companyId/identityId/token/supplyPrice</x:v>
      </x:c>
      <x:c r="M83" t="str">
        <x:v>N/A</x:v>
      </x:c>
      <x:c r="N83" t="str">
        <x:v>P0-067</x:v>
      </x:c>
      <x:c r="O83" t="str">
        <x:v>GENERATED</x:v>
      </x:c>
      <x:c r="P83" t="str">
        <x:v>IMPLEMENTED</x:v>
      </x:c>
      <x:c r="Q83" t="str">
        <x:v>IMPLEMENTED</x:v>
      </x:c>
      <x:c r="R83" t="str">
        <x:v>apps/api/test/supertest/company-workspace-api.test.mjs；tests/openapi/m1-p067-company-workspace-contract.test.mjs</x:v>
      </x:c>
      <x:c r="S83" t="str">
        <x:v>CODEX</x:v>
      </x:c>
      <x:c r="T83" t="str">
        <x:v>M1-P067任务内契约细化；Secure HttpOnly Cookie服务端解析；目标路由必须等于会话固定路由；切换后旧会话返回AUTH_SESSION_REVOKED</x:v>
      </x:c>
    </x:row>
    <x:row r="84">
      <x:c r="A84" t="str">
        <x:v>API-083</x:v>
      </x:c>
      <x:c r="B84" t="str">
        <x:v>M1</x:v>
      </x:c>
      <x:c r="C84" t="str">
        <x:v>company-auth</x:v>
      </x:c>
      <x:c r="D84" t="str">
        <x:v>GET</x:v>
      </x:c>
      <x:c r="E84" t="str">
        <x:v>/v1/company-auth/workspace/page</x:v>
      </x:c>
      <x:c r="F84" t="str">
        <x:v>COMPANY_FUNCTIONAL_ACCOUNT</x:v>
      </x:c>
      <x:c r="G84" t="str">
        <x:v>CompanyWorkspacePageQueryDto</x:v>
      </x:c>
      <x:c r="H84" t="str">
        <x:v>CompanyWorkspacePageResponseDto</x:v>
      </x:c>
      <x:c r="I84" t="str">
        <x:v>CompanyWorkspacePageResponseDto；错误={statusCode,code,message,requestId}</x:v>
      </x:c>
      <x:c r="J84" t="str">
        <x:v>AUTHENTICATION_REQUIRED|AUTH_SESSION_REVOKED|WORKSPACE_FORBIDDEN|DATA_SCOPE_FORBIDDEN|WORKSPACE_MODULE_NOT_FOUND|VALIDATION_FAILED</x:v>
      </x:c>
      <x:c r="K84" t="str">
        <x:v>NONE</x:v>
      </x:c>
      <x:c r="L84" t="str">
        <x:v>NEVER_RETURN；DTO仅返回服务端当前职能页面、筛选、模块目录、选中详情和交付时间线；禁止companyId/functionalAccountId/identityId/token/supplyPrice/supplierPayable/grossMargin/bankAccount</x:v>
      </x:c>
      <x:c r="M84" t="str">
        <x:v>N/A</x:v>
      </x:c>
      <x:c r="N84" t="str">
        <x:v>P0-068</x:v>
      </x:c>
      <x:c r="O84" t="str">
        <x:v>GENERATED</x:v>
      </x:c>
      <x:c r="P84" t="str">
        <x:v>IMPLEMENTED</x:v>
      </x:c>
      <x:c r="Q84" t="str">
        <x:v>IMPLEMENTED</x:v>
      </x:c>
      <x:c r="R84" t="str">
        <x:v>apps/api/test/supertest/company-workspace-page-api.test.mjs；tests/openapi/m1-p068-company-workspace-page-contract.test.mjs；tests/e2e/p0/p0-068-company-workspace-completeness.spec.ts</x:v>
      </x:c>
      <x:c r="S84" t="str">
        <x:v>CODEX</x:v>
      </x:c>
      <x:c r="T84" t="str">
        <x:v>M1-P068任务内契约细化；Secure HttpOnly Cookie服务端解析；route必须等于会话固定路由；客户端上下文覆盖字段先拒绝；十类职能目录互不泄露；M2-M5业务模块标记DEFERRED且不伪造记录</x:v>
      </x:c>
    </x:row>
    <x:row r="85">
      <x:c r="A85" t="str">
        <x:v>API-084</x:v>
      </x:c>
      <x:c r="B85" t="str">
        <x:v>M1</x:v>
      </x:c>
      <x:c r="C85" t="str">
        <x:v>supplier-auth</x:v>
      </x:c>
      <x:c r="D85" t="str">
        <x:v>GET</x:v>
      </x:c>
      <x:c r="E85" t="str">
        <x:v>/v1/supplier-auth/workspace/current</x:v>
      </x:c>
      <x:c r="F85" t="str">
        <x:v>SUPPLIER_FUNCTIONAL_ACCOUNT</x:v>
      </x:c>
      <x:c r="G85" t="str">
        <x:v>SupplierWorkspaceQueryDto</x:v>
      </x:c>
      <x:c r="H85" t="str">
        <x:v>SupplierWorkspaceResponseDto</x:v>
      </x:c>
      <x:c r="I85" t="str">
        <x:v>SupplierWorkspaceResponseDto；错误={statusCode,code,message,requestId}</x:v>
      </x:c>
      <x:c r="J85" t="str">
        <x:v>AUTHENTICATION_REQUIRED|AUTH_SESSION_REVOKED|WORKSPACE_FORBIDDEN|DATA_SCOPE_FORBIDDEN|VALIDATION_FAILED</x:v>
      </x:c>
      <x:c r="K85" t="str">
        <x:v>NONE</x:v>
      </x:c>
      <x:c r="L85" t="str">
        <x:v>NEVER_RETURN；DTO仅返回当前职能code/name/pageId/workspaceRoute和单一menuItems；禁止supplierId/functionalAccountId/identityId/token/supplyPrice/supplierPayable/bankAccount</x:v>
      </x:c>
      <x:c r="M85" t="str">
        <x:v>N/A</x:v>
      </x:c>
      <x:c r="N85" t="str">
        <x:v>P0-070</x:v>
      </x:c>
      <x:c r="O85" t="str">
        <x:v>GENERATED</x:v>
      </x:c>
      <x:c r="P85" t="str">
        <x:v>IMPLEMENTED</x:v>
      </x:c>
      <x:c r="Q85" t="str">
        <x:v>IMPLEMENTED</x:v>
      </x:c>
      <x:c r="R85" t="str">
        <x:v>apps/api/test/supertest/supplier-workspace-api.test.mjs；tests/openapi/m1-p070-supplier-workspace-contract.test.mjs；tests/e2e/p0/p0-070-supplier-workspaces.spec.ts</x:v>
      </x:c>
      <x:c r="S85" t="str">
        <x:v>CODEX</x:v>
      </x:c>
      <x:c r="T85" t="str">
        <x:v>M1-P070任务内契约细化；Secure HttpOnly供应商会话解析；目标route必须等于服务端固定路由；客户端归属覆盖字段先拒绝；切换后旧会话返回AUTH_SESSION_REVOKED</x:v>
      </x:c>
    </x:row>
    <x:row r="86">
      <x:c r="A86" t="str">
        <x:v>API-085</x:v>
      </x:c>
      <x:c r="B86" t="str">
        <x:v>M1</x:v>
      </x:c>
      <x:c r="C86" t="str">
        <x:v>supplier-auth</x:v>
      </x:c>
      <x:c r="D86" t="str">
        <x:v>GET</x:v>
      </x:c>
      <x:c r="E86" t="str">
        <x:v>/v1/supplier-auth/workspace/page</x:v>
      </x:c>
      <x:c r="F86" t="str">
        <x:v>SUPPLIER_FUNCTIONAL_ACCOUNT</x:v>
      </x:c>
      <x:c r="G86" t="str">
        <x:v>SupplierWorkspacePageQueryDto</x:v>
      </x:c>
      <x:c r="H86" t="str">
        <x:v>SupplierWorkspacePageResponseDto</x:v>
      </x:c>
      <x:c r="I86" t="str">
        <x:v>SupplierWorkspacePageResponseDto；错误={statusCode,code,message,requestId}</x:v>
      </x:c>
      <x:c r="J86" t="str">
        <x:v>AUTHENTICATION_REQUIRED|AUTH_SESSION_REVOKED|WORKSPACE_FORBIDDEN|DATA_SCOPE_FORBIDDEN|WORKSPACE_MODULE_NOT_FOUND|VALIDATION_FAILED</x:v>
      </x:c>
      <x:c r="K86" t="str">
        <x:v>NONE</x:v>
      </x:c>
      <x:c r="L86" t="str">
        <x:v>NEVER_RETURN；DTO仅返回当前供应商职能页面、筛选、模块目录、选中详情和交付时间线；禁止supplierId/functionalAccountId/identityId/token/supplyPrice/supplierPayable/grossMargin/bankAccount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M1-P070任务内契约细化；八类职能目录互不泄露；route必须等于会话固定路由；未知本职能模块404；M2-M5业务模块标记DEFERRED且不伪造记录</x:v>
      </x:c>
    </x:row>
    <x:row r="87">
      <x:c r="A87" t="str">
        <x:v>API-086</x:v>
      </x:c>
      <x:c r="B87" t="str">
        <x:v>M1</x:v>
      </x:c>
      <x:c r="C87" t="str">
        <x:v>sensitive-approval</x:v>
      </x:c>
      <x:c r="D87" t="str">
        <x:v>POST</x:v>
      </x:c>
      <x:c r="E87" t="str">
        <x:v>/v1/audit/sensitive-export-approvals</x:v>
      </x:c>
      <x:c r="F87" t="str">
        <x:v>COMPANY_OR_SUPPLIER_AUDIT</x:v>
      </x:c>
      <x:c r="G87" t="str">
        <x:v>CreateSensitiveApprovalRequestDto</x:v>
      </x:c>
      <x:c r="H87" t="str">
        <x:v>SensitiveApprovalTaskResponseDto</x:v>
      </x:c>
      <x:c r="I87" t="str">
        <x:v>显式白名单DTO</x:v>
      </x:c>
      <x:c r="J87" t="str">
        <x:v>IDEMPOTENCY_KEY_REQUIRED|IDEMPOTENCY_KEY_CONFLICT|AUDIT_REQUIRED</x:v>
      </x:c>
      <x:c r="K87" t="str">
        <x:v>Idempotency-Key</x:v>
      </x:c>
      <x:c r="L87" t="str">
        <x:v>会话派生归属；不返回applicant/reviewer/functionalAccount/supplier/company内部键</x:v>
      </x:c>
      <x:c r="M87" t="str">
        <x:v>N/A</x:v>
      </x:c>
      <x:c r="N87" t="str">
        <x:v>P0-072</x:v>
      </x:c>
      <x:c r="O87" t="str">
        <x:v>GENERATED</x:v>
      </x:c>
      <x:c r="P87" t="str">
        <x:v>IMPLEMENTED</x:v>
      </x:c>
      <x:c r="Q87" t="str">
        <x:v>IMPLEMENTED</x:v>
      </x:c>
      <x:c r="R87" t="str">
        <x:v>apps/api/test/supertest/sensitive-approval-api.test.mjs;tests/openapi/m1-p072-sensitive-approval-contract.test.mjs</x:v>
      </x:c>
      <x:c r="S87" t="str">
        <x:v>CODEX</x:v>
      </x:c>
      <x:c r="T87" t="str">
        <x:v>M1-P072任务内契约细化；只创建审批任务与追加审计；不生成实际导出文件</x:v>
      </x:c>
    </x:row>
    <x:row r="88">
      <x:c r="A88" t="str">
        <x:v>API-087</x:v>
      </x:c>
      <x:c r="B88" t="str">
        <x:v>M1</x:v>
      </x:c>
      <x:c r="C88" t="str">
        <x:v>sensitive-approval</x:v>
      </x:c>
      <x:c r="D88" t="str">
        <x:v>GET</x:v>
      </x:c>
      <x:c r="E88" t="str">
        <x:v>/v1/audit/sensitive-export-approvals</x:v>
      </x:c>
      <x:c r="F88" t="str">
        <x:v>COMPANY_OR_SUPPLIER_AUDIT</x:v>
      </x:c>
      <x:c r="G88" t="str">
        <x:v>None</x:v>
      </x:c>
      <x:c r="H88" t="str">
        <x:v>SensitiveApprovalPageResponseDto</x:v>
      </x:c>
      <x:c r="I88" t="str">
        <x:v>显式白名单DTO</x:v>
      </x:c>
      <x:c r="J88" t="str">
        <x:v>WORKSPACE_FORBIDDEN</x:v>
      </x:c>
      <x:c r="K88" t="str">
        <x:v>NONE</x:v>
      </x:c>
      <x:c r="L88" t="str">
        <x:v>供应商按会话supplierId查询前过滤；公司审计可见待办</x:v>
      </x:c>
      <x:c r="M88" t="str">
        <x:v>N/A</x:v>
      </x:c>
      <x:c r="N88" t="str">
        <x:v>P0-072</x:v>
      </x:c>
      <x:c r="O88" t="str">
        <x:v>GENERATED</x:v>
      </x:c>
      <x:c r="P88" t="str">
        <x:v>IMPLEMENTED</x:v>
      </x:c>
      <x:c r="Q88" t="str">
        <x:v>IMPLEMENTED</x:v>
      </x:c>
      <x:c r="R88" t="str">
        <x:v>apps/api/test/supertest/sensitive-approval-api.test.mjs;tests/e2e/p0/p0-072-sensitive-operations-audit.spec.ts</x:v>
      </x:c>
      <x:c r="S88" t="str">
        <x:v>CODEX</x:v>
      </x:c>
      <x:c r="T88" t="str">
        <x:v>M1-P072任务内契约细化；供应商不可查看其他供应商申请</x:v>
      </x:c>
    </x:row>
    <x:row r="89">
      <x:c r="A89" t="str">
        <x:v>API-088</x:v>
      </x:c>
      <x:c r="B89" t="str">
        <x:v>M1</x:v>
      </x:c>
      <x:c r="C89" t="str">
        <x:v>sensitive-approval</x:v>
      </x:c>
      <x:c r="D89" t="str">
        <x:v>POST</x:v>
      </x:c>
      <x:c r="E89" t="str">
        <x:v>/v1/audit/sensitive-export-approvals/{taskId}/claim</x:v>
      </x:c>
      <x:c r="F89" t="str">
        <x:v>COMPANY_AUDIT</x:v>
      </x:c>
      <x:c r="G89" t="str">
        <x:v>ClaimSensitiveApprovalRequestDto</x:v>
      </x:c>
      <x:c r="H89" t="str">
        <x:v>SensitiveApprovalTaskResponseDto</x:v>
      </x:c>
      <x:c r="I89" t="str">
        <x:v>显式白名单DTO</x:v>
      </x:c>
      <x:c r="J89" t="str">
        <x:v>SAME_NATURAL_PERSON_REVIEW|SECOND_REVIEW_REQUIRED|APPROVAL_VERSION_CONFLICT</x:v>
      </x:c>
      <x:c r="K89" t="str">
        <x:v>Idempotency-Key</x:v>
      </x:c>
      <x:c r="L89" t="str">
        <x:v>只允许公司审计；自然人身份复合键隔离；超级管理员无旁路</x:v>
      </x:c>
      <x:c r="M89" t="str">
        <x:v>N/A</x:v>
      </x:c>
      <x:c r="N89" t="str">
        <x:v>P0-072</x:v>
      </x:c>
      <x:c r="O89" t="str">
        <x:v>GENERATED</x:v>
      </x:c>
      <x:c r="P89" t="str">
        <x:v>IMPLEMENTED</x:v>
      </x:c>
      <x:c r="Q89" t="str">
        <x:v>IMPLEMENTED</x:v>
      </x:c>
      <x:c r="R89" t="str">
        <x:v>apps/api/test/supertest/sensitive-approval-api.test.mjs</x:v>
      </x:c>
      <x:c r="S89" t="str">
        <x:v>CODEX</x:v>
      </x:c>
      <x:c r="T89" t="str">
        <x:v>M1-P072任务内契约细化；PENDING到IN_REVIEW使用version乐观锁并追加历史与审计</x:v>
      </x:c>
    </x:row>
    <x:row r="90">
      <x:c r="A90" t="str">
        <x:v>API-089</x:v>
      </x:c>
      <x:c r="B90" t="str">
        <x:v>M1</x:v>
      </x:c>
      <x:c r="C90" t="str">
        <x:v>sensitive-approval</x:v>
      </x:c>
      <x:c r="D90" t="str">
        <x:v>POST</x:v>
      </x:c>
      <x:c r="E90" t="str">
        <x:v>/v1/audit/sensitive-export-approvals/{taskId}/decision</x:v>
      </x:c>
      <x:c r="F90" t="str">
        <x:v>COMPANY_AUDIT</x:v>
      </x:c>
      <x:c r="G90" t="str">
        <x:v>DecideSensitiveApprovalRequestDto</x:v>
      </x:c>
      <x:c r="H90" t="str">
        <x:v>SensitiveApprovalTaskResponseDto</x:v>
      </x:c>
      <x:c r="I90" t="str">
        <x:v>显式白名单DTO</x:v>
      </x:c>
      <x:c r="J90" t="str">
        <x:v>SECOND_VERIFICATION_REQUIRED|APPROVAL_VERSION_CONFLICT|APPROVAL_STATE_INVALID</x:v>
      </x:c>
      <x:c r="K90" t="str">
        <x:v>Idempotency-Key</x:v>
      </x:c>
      <x:c r="L90" t="str">
        <x:v>仅已认领的独立公司审计自然人可决定；二次验证必需</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M1-P072任务内契约细化；并发同版本恰好一个成功；状态历史与审计同事务</x:v>
      </x:c>
    </x:row>
    <x:row r="91">
      <x:c r="A91" t="str">
        <x:v>API-090</x:v>
      </x:c>
      <x:c r="B91" t="str">
        <x:v>M2</x:v>
      </x:c>
      <x:c r="C91" t="str">
        <x:v>supplier-pricing</x:v>
      </x:c>
      <x:c r="D91" t="str">
        <x:v>GET</x:v>
      </x:c>
      <x:c r="E91" t="str">
        <x:v>/v1/supplier/pricing/products</x:v>
      </x:c>
      <x:c r="F91" t="str">
        <x:v>SUPPLIER_PRICING</x:v>
      </x:c>
      <x:c r="G91" t="str">
        <x:v>None</x:v>
      </x:c>
      <x:c r="H91" t="str">
        <x:v>SupplierInitialPricingPageDto</x:v>
      </x:c>
      <x:c r="I91" t="str">
        <x:v>{success,data,error:{code,message,details?},requestId}</x:v>
      </x:c>
      <x:c r="J91" t="str">
        <x:v>AUTHENTICATION_REQUIRED|WORKSPACE_FORBIDDEN|SUPPLIER_SCOPE_FORBIDDEN</x:v>
      </x:c>
      <x:c r="K91" t="str">
        <x:v>NONE</x:v>
      </x:c>
      <x:c r="L91" t="str">
        <x:v>ROLE_AND_SUPPLIER_SCOPE_WHITELIST; 仅本供应商价格职能可见三价；不返回归属或审核人私有字段</x:v>
      </x:c>
      <x:c r="M91" t="str">
        <x:v>只读返回本供应商初始三价整数分及审核状态；private,no-store</x:v>
      </x:c>
      <x:c r="N91" t="str">
        <x:v>P0-008</x:v>
      </x:c>
      <x:c r="O91" t="str">
        <x:v>GENERATED</x:v>
      </x:c>
      <x:c r="P91" t="str">
        <x:v>IMPLEMENTED</x:v>
      </x:c>
      <x:c r="Q91" t="str">
        <x:v>IMPLEMENTED</x:v>
      </x:c>
      <x:c r="R91" t="str">
        <x:v>apps/api/test/supertest/supplier-pricing-api.test.mjs|tests/e2e/p0/p0-008-supplier-pricing.spec.ts|packages/contracts/openapi.json</x:v>
      </x:c>
      <x:c r="S91" t="str">
        <x:v>CODEX</x:v>
      </x:c>
      <x:c r="T91" t="str">
        <x:v>M2-P008任务内契约细化：PAGE-018专用读取接口；归属由固定会话派生，跨供应商不可见，响应private/no-store；pnpm verify 17/17 LOCAL_PASS。</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cbf8a18537a4f08"/>
  </x:tableParts>
</x:worksheet>
</file>