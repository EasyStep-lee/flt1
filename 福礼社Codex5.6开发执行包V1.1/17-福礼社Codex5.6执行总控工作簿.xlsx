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51cab50c78f453c" /></Relationships>
</file>

<file path=xl/workbook.xml><?xml version="1.0" encoding="utf-8"?>
<x:workbook xmlns:x="http://schemas.openxmlformats.org/spreadsheetml/2006/main">
  <x:sheets>
    <x:sheet xmlns:r="http://schemas.openxmlformats.org/officeDocument/2006/relationships" name="总控看板" sheetId="1" r:id="Ra9f054db5772440b"/>
    <x:sheet xmlns:r="http://schemas.openxmlformats.org/officeDocument/2006/relationships" name="阶段门禁" sheetId="2" r:id="R395b535fe4db43af"/>
    <x:sheet xmlns:r="http://schemas.openxmlformats.org/officeDocument/2006/relationships" name="任务台账" sheetId="3" r:id="Ra41eb66467ac4120"/>
    <x:sheet xmlns:r="http://schemas.openxmlformats.org/officeDocument/2006/relationships" name="P0验收矩阵" sheetId="4" r:id="R4dc3ac92f69447f3"/>
    <x:sheet xmlns:r="http://schemas.openxmlformats.org/officeDocument/2006/relationships" name="字段字典" sheetId="5" r:id="R255049d6a9b7419f"/>
    <x:sheet xmlns:r="http://schemas.openxmlformats.org/officeDocument/2006/relationships" name="状态机" sheetId="6" r:id="R3b1be9e5df904545"/>
    <x:sheet xmlns:r="http://schemas.openxmlformats.org/officeDocument/2006/relationships" name="权限矩阵" sheetId="7" r:id="R560ab1488b8f47bb"/>
    <x:sheet xmlns:r="http://schemas.openxmlformats.org/officeDocument/2006/relationships" name="页面映射" sheetId="8" r:id="R1157f2a97e314ce9"/>
    <x:sheet xmlns:r="http://schemas.openxmlformats.org/officeDocument/2006/relationships" name="外部依赖" sheetId="9" r:id="R9f5c984776ae4485"/>
    <x:sheet xmlns:r="http://schemas.openxmlformats.org/officeDocument/2006/relationships" name="测试证据" sheetId="10" r:id="R775ecbbd14844a96"/>
    <x:sheet xmlns:r="http://schemas.openxmlformats.org/officeDocument/2006/relationships" name="迁移台账" sheetId="11" r:id="Ra25f1e09ca8f4617"/>
    <x:sheet xmlns:r="http://schemas.openxmlformats.org/officeDocument/2006/relationships" name="API台账" sheetId="12" r:id="Ra9ade1b9eae44bb8"/>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46024bd78634ec3" /><Relationship Type="http://schemas.openxmlformats.org/officeDocument/2006/relationships/theme" Target="/xl/theme/theme1.xml" Id="R5ca3b0c4dd894034" /><Relationship Type="http://schemas.openxmlformats.org/officeDocument/2006/relationships/sharedStrings" Target="/xl/sharedStrings.xml" Id="Rbfe6c68076e0447b" /><Relationship Type="http://schemas.openxmlformats.org/officeDocument/2006/relationships/worksheet" Target="/xl/worksheets/sheet1.xml" Id="Ra9f054db5772440b" /><Relationship Type="http://schemas.openxmlformats.org/officeDocument/2006/relationships/worksheet" Target="/xl/worksheets/sheet2.xml" Id="R395b535fe4db43af" /><Relationship Type="http://schemas.openxmlformats.org/officeDocument/2006/relationships/worksheet" Target="/xl/worksheets/sheet3.xml" Id="Ra41eb66467ac4120" /><Relationship Type="http://schemas.openxmlformats.org/officeDocument/2006/relationships/worksheet" Target="/xl/worksheets/sheet4.xml" Id="R4dc3ac92f69447f3" /><Relationship Type="http://schemas.openxmlformats.org/officeDocument/2006/relationships/worksheet" Target="/xl/worksheets/sheet5.xml" Id="R255049d6a9b7419f" /><Relationship Type="http://schemas.openxmlformats.org/officeDocument/2006/relationships/worksheet" Target="/xl/worksheets/sheet6.xml" Id="R3b1be9e5df904545" /><Relationship Type="http://schemas.openxmlformats.org/officeDocument/2006/relationships/worksheet" Target="/xl/worksheets/sheet7.xml" Id="R560ab1488b8f47bb" /><Relationship Type="http://schemas.openxmlformats.org/officeDocument/2006/relationships/worksheet" Target="/xl/worksheets/sheet8.xml" Id="R1157f2a97e314ce9" /><Relationship Type="http://schemas.openxmlformats.org/officeDocument/2006/relationships/worksheet" Target="/xl/worksheets/sheet9.xml" Id="R9f5c984776ae4485" /><Relationship Type="http://schemas.openxmlformats.org/officeDocument/2006/relationships/worksheet" Target="/xl/worksheets/sheet10.xml" Id="R775ecbbd14844a96" /><Relationship Type="http://schemas.openxmlformats.org/officeDocument/2006/relationships/worksheet" Target="/xl/worksheets/sheet11.xml" Id="Ra25f1e09ca8f4617" /><Relationship Type="http://schemas.openxmlformats.org/officeDocument/2006/relationships/worksheet" Target="/xl/worksheets/sheet12.xml" Id="Ra9ade1b9eae44bb8" /><Relationship Type="http://schemas.microsoft.com/office/2017/10/relationships/person" Target="/xl/persons/person.xml" Id="R3b56f28d0a574881"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4" name="FieldDictionary" displayName="FieldDictionary" ref="A1:P659" headerRowCount="1" totalsRowCount="0" totalsRowShown="0">
  <x:tableColumns count="16">
    <x:tableColumn id="1" name="Entity"/>
    <x:tableColumn id="2" name="字段"/>
    <x:tableColumn id="3" name="方案原定义"/>
    <x:tableColumn id="4" name="字段顺序"/>
    <x:tableColumn id="5" name="建议类型"/>
    <x:tableColumn id="6" name="必填"/>
    <x:tableColumn id="7" name="单位/格式"/>
    <x:tableColumn id="8" name="敏感等级"/>
    <x:tableColumn id="9" name="可见范围"/>
    <x:tableColumn id="10" name="禁止暴露"/>
    <x:tableColumn id="11" name="校验规则"/>
    <x:tableColumn id="12" name="历史规则"/>
    <x:tableColumn id="13" name="阶段"/>
    <x:tableColumn id="14" name="P0"/>
    <x:tableColumn id="15" name="来源"/>
    <x:tableColumn id="16" name="状态"/>
  </x:tableColumns>
  <x:tableStyleInfo name="TableStyleMedium2" showFirstColumn="0" showLastColumn="0" showRowStripes="1" showColumnStripes="0"/>
</x:table>
</file>

<file path=xl/tables/table5.xml><?xml version="1.0" encoding="utf-8"?>
<x:table xmlns:x="http://schemas.openxmlformats.org/spreadsheetml/2006/main" id="5" name="StateMachines" displayName="StateMachines" ref="A1:N105" headerRowCount="1" totalsRowCount="0" totalsRowShown="0">
  <x:tableColumns count="14">
    <x:tableColumn id="1" name="StateMachine"/>
    <x:tableColumn id="2" name="阶段"/>
    <x:tableColumn id="3" name="当前状态"/>
    <x:tableColumn id="4" name="事件"/>
    <x:tableColumn id="5" name="下一状态"/>
    <x:tableColumn id="6" name="允许角色"/>
    <x:tableColumn id="7" name="守卫条件"/>
    <x:tableColumn id="8" name="副作用"/>
    <x:tableColumn id="9" name="幂等"/>
    <x:tableColumn id="10" name="非法迁移"/>
    <x:tableColumn id="11" name="并发控制"/>
    <x:tableColumn id="12" name="历史保留"/>
    <x:tableColumn id="13" name="P0"/>
    <x:tableColumn id="14" name="状态"/>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10" name="MigrationLedger" displayName="MigrationLedger" ref="A1:R23" headerRowCount="1" totalsRowCount="0" totalsRowShown="0">
  <x:tableColumns count="18">
    <x:tableColumn id="1" name="MigrationID"/>
    <x:tableColumn id="2" name="阶段"/>
    <x:tableColumn id="3" name="计划名称"/>
    <x:tableColumn id="4" name="依赖"/>
    <x:tableColumn id="5" name="对象"/>
    <x:tableColumn id="6" name="目的"/>
    <x:tableColumn id="7" name="正向步骤"/>
    <x:tableColumn id="8" name="回退/恢复"/>
    <x:tableColumn id="9" name="数据回填"/>
    <x:tableColumn id="10" name="验证"/>
    <x:tableColumn id="11" name="需备份"/>
    <x:tableColumn id="12" name="状态"/>
    <x:tableColumn id="13" name="本地执行"/>
    <x:tableColumn id="14" name="预发布执行"/>
    <x:tableColumn id="15" name="生产执行"/>
    <x:tableColumn id="16" name="提交SHA"/>
    <x:tableColumn id="17" name="证据链接"/>
    <x:tableColumn id="18" name="备注"/>
  </x:tableColumns>
  <x:tableStyleInfo name="TableStyleMedium2" showFirstColumn="0" showLastColumn="0" showRowStripes="1" showColumnStripes="0"/>
</x:table>
</file>

<file path=xl/tables/table11.xml><?xml version="1.0" encoding="utf-8"?>
<x:table xmlns:x="http://schemas.openxmlformats.org/spreadsheetml/2006/main" id="11" name="ApiLedger" displayName="ApiLedger" ref="A1:T91" headerRowCount="1" totalsRowCount="0" totalsRowShown="0">
  <x:tableColumns count="20">
    <x:tableColumn id="1" name="ContractID"/>
    <x:tableColumn id="2" name="阶段"/>
    <x:tableColumn id="3" name="领域"/>
    <x:tableColumn id="4" name="方法"/>
    <x:tableColumn id="5" name="路径"/>
    <x:tableColumn id="6" name="角色"/>
    <x:tableColumn id="7" name="请求DTO"/>
    <x:tableColumn id="8" name="响应DTO"/>
    <x:tableColumn id="9" name="统一响应"/>
    <x:tableColumn id="10" name="错误码"/>
    <x:tableColumn id="11" name="幂等"/>
    <x:tableColumn id="12" name="敏感字段策略"/>
    <x:tableColumn id="13" name="金额规则"/>
    <x:tableColumn id="14" name="P0"/>
    <x:tableColumn id="15" name="OpenAPI状态"/>
    <x:tableColumn id="16" name="DTO状态"/>
    <x:tableColumn id="17" name="错误码状态"/>
    <x:tableColumn id="18" name="契约测试"/>
    <x:tableColumn id="19" name="负责人"/>
    <x:tableColumn id="20" name="备注"/>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2c4c4217f3e49c4" /></Relationships>
</file>

<file path=xl/worksheets/_rels/sheet3.xml.rels>&#65279;<?xml version="1.0" encoding="utf-8"?><Relationships xmlns="http://schemas.openxmlformats.org/package/2006/relationships"><Relationship Type="http://schemas.openxmlformats.org/officeDocument/2006/relationships/table" Target="/xl/tables/table2.xml" Id="Rd93dec85a90a4843" /></Relationships>
</file>

<file path=xl/worksheets/_rels/sheet4.xml.rels>&#65279;<?xml version="1.0" encoding="utf-8"?><Relationships xmlns="http://schemas.openxmlformats.org/package/2006/relationships"><Relationship Type="http://schemas.openxmlformats.org/officeDocument/2006/relationships/table" Target="/xl/tables/table3.xml" Id="R11ba8cfc5fc64108" /></Relationships>
</file>

<file path=xl/worksheets/_rels/sheet5.xml.rels>&#65279;<?xml version="1.0" encoding="utf-8"?><Relationships xmlns="http://schemas.openxmlformats.org/package/2006/relationships"><Relationship Type="http://schemas.openxmlformats.org/officeDocument/2006/relationships/table" Target="/xl/tables/table4.xml" Id="R2d7d9eb07e404164" /></Relationships>
</file>

<file path=xl/worksheets/_rels/sheet6.xml.rels>&#65279;<?xml version="1.0" encoding="utf-8"?><Relationships xmlns="http://schemas.openxmlformats.org/package/2006/relationships"><Relationship Type="http://schemas.openxmlformats.org/officeDocument/2006/relationships/table" Target="/xl/tables/table5.xml" Id="Rd37ab40997d942d4" /></Relationships>
</file>

<file path=xl/worksheets/_rels/sheet7.xml.rels>&#65279;<?xml version="1.0" encoding="utf-8"?><Relationships xmlns="http://schemas.openxmlformats.org/package/2006/relationships"><Relationship Type="http://schemas.openxmlformats.org/officeDocument/2006/relationships/table" Target="/xl/tables/table6.xml" Id="R4ddbac9173504594" /></Relationships>
</file>

<file path=xl/worksheets/_rels/sheet8.xml.rels>&#65279;<?xml version="1.0" encoding="utf-8"?><Relationships xmlns="http://schemas.openxmlformats.org/package/2006/relationships"><Relationship Type="http://schemas.openxmlformats.org/officeDocument/2006/relationships/table" Target="/xl/tables/table7.xml" Id="R9c1a8c893e654e0b" /></Relationships>
</file>

<file path=xl/worksheets/_rels/sheet9.xml.rels>&#65279;<?xml version="1.0" encoding="utf-8"?><Relationships xmlns="http://schemas.openxmlformats.org/package/2006/relationships"><Relationship Type="http://schemas.openxmlformats.org/officeDocument/2006/relationships/table" Target="/xl/tables/table8.xml" Id="Rfd02be3876874285" /></Relationships>
</file>

<file path=xl/worksheets/_rels/sheet10.xml.rels>&#65279;<?xml version="1.0" encoding="utf-8"?><Relationships xmlns="http://schemas.openxmlformats.org/package/2006/relationships"><Relationship Type="http://schemas.openxmlformats.org/officeDocument/2006/relationships/table" Target="/xl/tables/table9.xml" Id="R097d98d3886842eb" /></Relationships>
</file>

<file path=xl/worksheets/_rels/sheet11.xml.rels>&#65279;<?xml version="1.0" encoding="utf-8"?><Relationships xmlns="http://schemas.openxmlformats.org/package/2006/relationships"><Relationship Type="http://schemas.openxmlformats.org/officeDocument/2006/relationships/table" Target="/xl/tables/table10.xml" Id="Rc2006c842288450a" /></Relationships>
</file>

<file path=xl/worksheets/_rels/sheet12.xml.rels>&#65279;<?xml version="1.0" encoding="utf-8"?><Relationships xmlns="http://schemas.openxmlformats.org/package/2006/relationships"><Relationship Type="http://schemas.openxmlformats.org/officeDocument/2006/relationships/table" Target="/xl/tables/table11.xml" Id="Rbeec7e06ec83458b"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main@15a10da CI_PASS · M2-P008 pnpm verify 17/17 LOCAL_PASS · Draft PR / 精确head CI待执行</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31</x:v>
      </x:c>
      <x:c r="E6" s="83"/>
      <x:c r="F6" s="187"/>
      <x:c r="G6" s="109" t="n">
        <x:v>14</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v>13</x:v>
      </x:c>
      <x:c r="E11" s="152" t="n">
        <x:f>COUNTIF('P0验收矩阵'!$C$2:$C$120,A11)</x:f>
        <x:v>0</x:v>
      </x:c>
      <x:c r="F11" s="152" t="n">
        <x:f>COUNTIFS('P0验收矩阵'!$C$2:$C$120,A11,'P0验收矩阵'!$I$2:$I$120,"*PASS")</x:f>
        <x:v>0</x:v>
      </x:c>
      <x:c r="G11" s="152" t="str">
        <x:v>GATE_PASSED</x:v>
      </x:c>
      <x:c r="H11" s="152" t="str">
        <x:v>CI_PASS</x:v>
      </x:c>
      <x:c r="I11" s="152" t="str">
        <x:v>PASSED</x:v>
      </x:c>
      <x:c r="J11" s="187"/>
      <x:c r="K11" s="187"/>
      <x:c r="L11" s="187"/>
    </x:row>
    <x:row r="12" ht="24" customHeight="1">
      <x:c r="A12" s="152" t="str">
        <x:v>M1</x:v>
      </x:c>
      <x:c r="B12" s="152" t="str">
        <x:v>账号、权限与供应商</x:v>
      </x:c>
      <x:c r="C12" s="152" t="n">
        <x:v>16</x:v>
      </x:c>
      <x:c r="D12" s="152" t="n">
        <x:v>16</x:v>
      </x:c>
      <x:c r="E12" s="152" t="n">
        <x:v>14</x:v>
      </x:c>
      <x:c r="F12" s="152" t="n">
        <x:v>14</x:v>
      </x:c>
      <x:c r="G12" s="152" t="str">
        <x:v>GATE_PASSED</x:v>
      </x:c>
      <x:c r="H12" s="152" t="str">
        <x:v>CI_PASS</x:v>
      </x:c>
      <x:c r="I12" s="152" t="str">
        <x:v>PASSED</x:v>
      </x:c>
      <x:c r="J12" s="187"/>
      <x:c r="K12" s="187"/>
      <x:c r="L12" s="187"/>
    </x:row>
    <x:row r="13" ht="24" customHeight="1">
      <x:c r="A13" s="152" t="str">
        <x:v>M2</x:v>
      </x:c>
      <x:c r="B13" s="152" t="str">
        <x:v>分类、商品、价格与库存</x:v>
      </x:c>
      <x:c r="C13" s="152" t="n">
        <x:v>20</x:v>
      </x:c>
      <x:c r="D13" s="152" t="n">
        <x:v>2</x:v>
      </x:c>
      <x:c r="E13" s="152" t="n">
        <x:v>18</x:v>
      </x:c>
      <x:c r="F13" s="152" t="n">
        <x:v>0</x:v>
      </x:c>
      <x:c r="G13" s="152" t="str">
        <x:v>IN_PROGRESS</x:v>
      </x:c>
      <x:c r="H13" s="152" t="str">
        <x:v>NOT_EXECUTED</x:v>
      </x:c>
      <x:c r="I13" s="152" t="str">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COUNTIFS('P0验收矩阵'!$C$2:$C$120,A14,'P0验收矩阵'!$I$2:$I$120,"*PASS")</x:f>
        <x:v>0</x:v>
      </x:c>
      <x:c r="G14" s="152" t="str">
        <x:f>INDEX('任务台账'!$M$2:$M$150,MATCH(A14&amp;"-GATE",'任务台账'!$A$2:$A$150,0))</x:f>
        <x:v>NOT_STARTED</x:v>
      </x:c>
      <x:c r="H14" s="152" t="str">
        <x:f>INDEX('任务台账'!$N$2:$N$150,MATCH(A14&amp;"-GATE",'任务台账'!$A$2:$A$150,0))</x:f>
        <x:v>NOT_EXECUTED</x:v>
      </x:c>
      <x:c r="I14" s="152" t="str">
        <x:f>IF(INDEX('任务台账'!$M$2:$M$150,MATCH("M2-GATE",'任务台账'!$A$2:$A$150,0))="DONE","READY","LOCKED")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COUNTIFS('P0验收矩阵'!$C$2:$C$120,A15,'P0验收矩阵'!$I$2:$I$120,"*PASS")</x:f>
        <x:v>0</x:v>
      </x:c>
      <x:c r="G15" s="152" t="str">
        <x:f>INDEX('任务台账'!$M$2:$M$150,MATCH(A15&amp;"-GATE",'任务台账'!$A$2:$A$150,0))</x:f>
        <x:v>NOT_STARTED</x:v>
      </x:c>
      <x:c r="H15" s="152" t="str">
        <x:f>INDEX('任务台账'!$N$2:$N$150,MATCH(A15&amp;"-GATE",'任务台账'!$A$2:$A$150,0))</x:f>
        <x:v>NOT_EXECUTED</x:v>
      </x:c>
      <x:c r="I15" s="152" t="str">
        <x:f>IF(INDEX('任务台账'!$M$2:$M$150,MATCH("M3-GATE",'任务台账'!$A$2:$A$150,0))="DONE","READY","LOCKED")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COUNTIFS('P0验收矩阵'!$C$2:$C$120,A16,'P0验收矩阵'!$I$2:$I$120,"*PASS")</x:f>
        <x:v>0</x:v>
      </x:c>
      <x:c r="G16" s="152" t="str">
        <x:f>INDEX('任务台账'!$M$2:$M$150,MATCH(A16&amp;"-GATE",'任务台账'!$A$2:$A$150,0))</x:f>
        <x:v>NOT_STARTED</x:v>
      </x:c>
      <x:c r="H16" s="152" t="str">
        <x:f>INDEX('任务台账'!$N$2:$N$150,MATCH(A16&amp;"-GATE",'任务台账'!$A$2:$A$150,0))</x:f>
        <x:v>NOT_EXECUTED</x:v>
      </x:c>
      <x:c r="I16" s="152" t="str">
        <x:f>IF(INDEX('任务台账'!$M$2:$M$150,MATCH("M4-GATE",'任务台账'!$A$2:$A$150,0))="DONE","READY","LOCKED")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COUNTIFS('P0验收矩阵'!$C$2:$C$120,A17,'P0验收矩阵'!$I$2:$I$120,"*PASS")</x:f>
        <x:v>0</x:v>
      </x:c>
      <x:c r="G17" s="152" t="str">
        <x:f>INDEX('任务台账'!$M$2:$M$150,MATCH(A17&amp;"-GATE",'任务台账'!$A$2:$A$150,0))</x:f>
        <x:v>NOT_STARTED</x:v>
      </x:c>
      <x:c r="H17" s="152" t="str">
        <x:f>INDEX('任务台账'!$N$2:$N$150,MATCH(A17&amp;"-GATE",'任务台账'!$A$2:$A$150,0))</x:f>
        <x:v>NOT_EXECUTED</x:v>
      </x:c>
      <x:c r="I17" s="152" t="str">
        <x:f>IF(INDEX('任务台账'!$M$2:$M$150,MATCH("M5-GATE",'任务台账'!$A$2:$A$150,0))="DONE","READY","LOCKED")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105</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16</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PASS；M2-P006、M2-P007 已合并且 main CI PASS；M2-P008 LOCAL_PASS，Draft PR精确head CI与人工合并待执行，M2-P009 保持锁定。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x:c r="Q4" s="17"/>
      <x:c r="R4" s="17" t="str">
        <x:v>M2-P006与M2-P007已在main取得CI_PASS；M2-P008 pnpm verify 17/17 LOCAL_PASS，Draft PR精确head CI、人工合并及main CI待执行；M2-P009保持锁定。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2c4c4217f3e49c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LOCAL_PASS</x:v>
      </x:c>
      <x:c r="O34" s="17" t="str">
        <x:v>CODEX</x:v>
      </x:c>
      <x:c r="P34" s="17" t="str">
        <x:v>https://github.com/EasyStep-lee/flt1/issues/41</x:v>
      </x:c>
      <x:c r="Q34" s="17" t="str">
        <x:v>codex/m2-m2-p008</x:v>
      </x:c>
      <x:c r="R34" s="17" t="str">
        <x:v>codex/m2-supplier-pricing</x:v>
      </x:c>
      <x:c r="S34" s="17" t="str">
        <x:v>01bd3490cd84f319a60e0e33a6006f9bf1c4190e</x:v>
      </x:c>
      <x:c r="T34" s="17"/>
      <x:c r="U34" s="17" t="str">
        <x:v>NOT_EXECUTED</x:v>
      </x:c>
      <x:c r="V34" s="17" t="str">
        <x:v>NO</x:v>
      </x:c>
      <x:c r="W34" s="17" t="str">
        <x:v>按原子提交回退；迁移仅向前修复</x:v>
      </x:c>
      <x:c r="X34" s="17" t="n">
        <x:v>46243.545798611114</x:v>
      </x:c>
      <x:c r="Y34" s="17" t="str">
        <x:v>RED因API-022返回404失败；API 14/14、PAGE-018 3/3及pnpm verify 17/17通过，提交01bd349；Draft PR精确head CI、人工合并及main CI待执行，M2-P009保持锁定。</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NOT_STARTED</x:v>
      </x:c>
      <x:c r="N35" s="17" t="str">
        <x:v>NOT_EXECUTED</x:v>
      </x:c>
      <x:c r="O35" s="17" t="str">
        <x:v>UNASSIGNED</x:v>
      </x:c>
      <x:c r="P35" s="17"/>
      <x:c r="Q35" s="17" t="str">
        <x:v>codex/m2-m2-p009</x:v>
      </x:c>
      <x:c r="R35" s="17"/>
      <x:c r="S35" s="17"/>
      <x:c r="T35" s="17"/>
      <x:c r="U35" s="17"/>
      <x:c r="V35" s="17" t="str">
        <x:v>NO</x:v>
      </x:c>
      <x:c r="W35" s="17" t="str">
        <x:v>按原子提交回退；迁移仅向前修复</x:v>
      </x:c>
      <x:c r="X35" s="17"/>
      <x:c r="Y35" s="17"/>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NOT_STARTED</x:v>
      </x:c>
      <x:c r="N36" s="17" t="str">
        <x:v>NOT_EXECUTED</x:v>
      </x:c>
      <x:c r="O36" s="17" t="str">
        <x:v>UNASSIGNED</x:v>
      </x:c>
      <x:c r="P36" s="17"/>
      <x:c r="Q36" s="17" t="str">
        <x:v>codex/m2-m2-p010</x:v>
      </x:c>
      <x:c r="R36" s="17"/>
      <x:c r="S36" s="17"/>
      <x:c r="T36" s="17"/>
      <x:c r="U36" s="17"/>
      <x:c r="V36" s="17" t="str">
        <x:v>NO</x:v>
      </x:c>
      <x:c r="W36" s="17" t="str">
        <x:v>按原子提交回退；迁移仅向前修复</x:v>
      </x:c>
      <x:c r="X36" s="17"/>
      <x:c r="Y36" s="17"/>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NOT_STARTED</x:v>
      </x:c>
      <x:c r="N37" s="17" t="str">
        <x:v>NOT_EXECUTED</x:v>
      </x:c>
      <x:c r="O37" s="17" t="str">
        <x:v>UNASSIGNED</x:v>
      </x:c>
      <x:c r="P37" s="17"/>
      <x:c r="Q37" s="17" t="str">
        <x:v>codex/m2-m2-p011</x:v>
      </x:c>
      <x:c r="R37" s="17"/>
      <x:c r="S37" s="17"/>
      <x:c r="T37" s="17"/>
      <x:c r="U37" s="17"/>
      <x:c r="V37" s="17" t="str">
        <x:v>NO</x:v>
      </x:c>
      <x:c r="W37" s="17" t="str">
        <x:v>按原子提交回退；迁移仅向前修复</x:v>
      </x:c>
      <x:c r="X37" s="17"/>
      <x:c r="Y37" s="17"/>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NOT_STARTED</x:v>
      </x:c>
      <x:c r="N38" s="17" t="str">
        <x:v>NOT_EXECUTED</x:v>
      </x:c>
      <x:c r="O38" s="17" t="str">
        <x:v>UNASSIGNED</x:v>
      </x:c>
      <x:c r="P38" s="17"/>
      <x:c r="Q38" s="17" t="str">
        <x:v>codex/m2-m2-p012</x:v>
      </x:c>
      <x:c r="R38" s="17"/>
      <x:c r="S38" s="17"/>
      <x:c r="T38" s="17"/>
      <x:c r="U38" s="17"/>
      <x:c r="V38" s="17" t="str">
        <x:v>NO</x:v>
      </x:c>
      <x:c r="W38" s="17" t="str">
        <x:v>按原子提交回退；迁移仅向前修复</x:v>
      </x:c>
      <x:c r="X38" s="17"/>
      <x:c r="Y38" s="17"/>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NOT_STARTED</x:v>
      </x:c>
      <x:c r="N39" s="17" t="str">
        <x:v>NOT_EXECUTED</x:v>
      </x:c>
      <x:c r="O39" s="17" t="str">
        <x:v>UNASSIGNED</x:v>
      </x:c>
      <x:c r="P39" s="17"/>
      <x:c r="Q39" s="17" t="str">
        <x:v>codex/m2-m2-p013</x:v>
      </x:c>
      <x:c r="R39" s="17"/>
      <x:c r="S39" s="17"/>
      <x:c r="T39" s="17"/>
      <x:c r="U39" s="17"/>
      <x:c r="V39" s="17" t="str">
        <x:v>NO</x:v>
      </x:c>
      <x:c r="W39" s="17" t="str">
        <x:v>按原子提交回退；迁移仅向前修复</x:v>
      </x:c>
      <x:c r="X39" s="17"/>
      <x:c r="Y39" s="17"/>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NOT_STARTED</x:v>
      </x:c>
      <x:c r="N40" s="17" t="str">
        <x:v>NOT_EXECUTED</x:v>
      </x:c>
      <x:c r="O40" s="17" t="str">
        <x:v>UNASSIGNED</x:v>
      </x:c>
      <x:c r="P40" s="17"/>
      <x:c r="Q40" s="17" t="str">
        <x:v>codex/m2-m2-p014</x:v>
      </x:c>
      <x:c r="R40" s="17"/>
      <x:c r="S40" s="17"/>
      <x:c r="T40" s="17"/>
      <x:c r="U40" s="17"/>
      <x:c r="V40" s="17" t="str">
        <x:v>NO</x:v>
      </x:c>
      <x:c r="W40" s="17" t="str">
        <x:v>按原子提交回退；迁移仅向前修复</x:v>
      </x:c>
      <x:c r="X40" s="17"/>
      <x:c r="Y40" s="17"/>
    </x:row>
    <x:row r="41" ht="23" customHeight="1">
      <x:c r="A41" s="17" t="str">
        <x:v>M2-P015</x:v>
      </x:c>
      <x:c r="B41" s="17" t="n">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NOT_STARTED</x:v>
      </x:c>
      <x:c r="N41" s="17" t="str">
        <x:v>NOT_EXECUTED</x:v>
      </x:c>
      <x:c r="O41" s="17" t="str">
        <x:v>UNASSIGNED</x:v>
      </x:c>
      <x:c r="P41" s="17"/>
      <x:c r="Q41" s="17" t="str">
        <x:v>codex/m2-m2-p015</x:v>
      </x:c>
      <x:c r="R41" s="17"/>
      <x:c r="S41" s="17"/>
      <x:c r="T41" s="17"/>
      <x:c r="U41" s="17"/>
      <x:c r="V41" s="17" t="str">
        <x:v>NO</x:v>
      </x:c>
      <x:c r="W41" s="17" t="str">
        <x:v>按原子提交回退；迁移仅向前修复</x:v>
      </x:c>
      <x:c r="X41" s="17"/>
      <x:c r="Y41" s="17"/>
    </x:row>
    <x:row r="42" ht="23" customHeight="1">
      <x:c r="A42" s="17" t="str">
        <x:v>M2-P016</x:v>
      </x:c>
      <x:c r="B42" s="17" t="n">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NOT_STARTED</x:v>
      </x:c>
      <x:c r="N42" s="17" t="str">
        <x:v>NOT_EXECUTED</x:v>
      </x:c>
      <x:c r="O42" s="17" t="str">
        <x:v>UNASSIGNED</x:v>
      </x:c>
      <x:c r="P42" s="17"/>
      <x:c r="Q42" s="17" t="str">
        <x:v>codex/m2-m2-p016</x:v>
      </x:c>
      <x:c r="R42" s="17"/>
      <x:c r="S42" s="17"/>
      <x:c r="T42" s="17"/>
      <x:c r="U42" s="17"/>
      <x:c r="V42" s="17" t="str">
        <x:v>NO</x:v>
      </x:c>
      <x:c r="W42" s="17" t="str">
        <x:v>按原子提交回退；迁移仅向前修复</x:v>
      </x:c>
      <x:c r="X42" s="17"/>
      <x:c r="Y42" s="17"/>
    </x:row>
    <x:row r="43" ht="23" customHeight="1">
      <x:c r="A43" s="17" t="str">
        <x:v>M2-P017</x:v>
      </x:c>
      <x:c r="B43" s="17" t="n">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NOT_STARTED</x:v>
      </x:c>
      <x:c r="N43" s="17" t="str">
        <x:v>NOT_EXECUTED</x:v>
      </x:c>
      <x:c r="O43" s="17" t="str">
        <x:v>UNASSIGNED</x:v>
      </x:c>
      <x:c r="P43" s="17"/>
      <x:c r="Q43" s="17" t="str">
        <x:v>codex/m2-m2-p017</x:v>
      </x:c>
      <x:c r="R43" s="17"/>
      <x:c r="S43" s="17"/>
      <x:c r="T43" s="17"/>
      <x:c r="U43" s="17"/>
      <x:c r="V43" s="17" t="str">
        <x:v>NO</x:v>
      </x:c>
      <x:c r="W43" s="17" t="str">
        <x:v>按原子提交回退；迁移仅向前修复</x:v>
      </x:c>
      <x:c r="X43" s="17"/>
      <x:c r="Y43" s="17"/>
    </x:row>
    <x:row r="44" ht="23" customHeight="1">
      <x:c r="A44" s="17" t="str">
        <x:v>M2-P018</x:v>
      </x:c>
      <x:c r="B44" s="17" t="n">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x:v>
      </x:c>
      <x:c r="M44" s="17" t="str">
        <x:v>NOT_STARTED</x:v>
      </x:c>
      <x:c r="N44" s="17" t="str">
        <x:v>NOT_EXECUTED</x:v>
      </x:c>
      <x:c r="O44" s="17" t="str">
        <x:v>UNASSIGNED</x:v>
      </x:c>
      <x:c r="P44" s="17"/>
      <x:c r="Q44" s="17" t="str">
        <x:v>codex/m2-m2-p018</x:v>
      </x:c>
      <x:c r="R44" s="17"/>
      <x:c r="S44" s="17"/>
      <x:c r="T44" s="17"/>
      <x:c r="U44" s="17"/>
      <x:c r="V44" s="17" t="str">
        <x:v>NO</x:v>
      </x:c>
      <x:c r="W44" s="17" t="str">
        <x:v>按原子提交回退；迁移仅向前修复</x:v>
      </x:c>
      <x:c r="X44" s="17"/>
      <x:c r="Y44" s="17"/>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93dec85a90a4843"/>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LOCAL_PASS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01bd3490cd84f319a60e0e33a6006f9bf1c4190e</x:v>
      </x:c>
      <x:c r="O9" s="17"/>
      <x:c r="P9" s="17" t="n">
        <x:v>46243.545798611114</x:v>
      </x:c>
      <x:c r="Q9" s="17" t="str">
        <x:v>API 8项、页面3项及全量pnpm verify 17/17通过；供应商商品页无价格、独立价格页提交整数分三价且公司不得静默改价。CI尚未执行。</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NOT_EXECUTED</x:v>
      </x:c>
      <x:c r="J10" s="17" t="str">
        <x:v>NEG-M2-009-01|NEG-M2-009-02|NEG-M2-009-03</x:v>
      </x:c>
      <x:c r="K10" s="17" t="str">
        <x:v>N/A</x:v>
      </x:c>
      <x:c r="L10" s="17" t="str">
        <x:v>SUPPLIER_STOREFRONT；SUPPLIER_DIRECT_PAYMENT；SUPPLIER_STORE_CART</x:v>
      </x:c>
      <x:c r="M10" s="17" t="str">
        <x:v>artifacts/verification/M2-000/m2-contract-freeze.json#negativeTests</x:v>
      </x:c>
      <x:c r="N10" s="17"/>
      <x:c r="O10" s="17"/>
      <x:c r="P10" s="17"/>
      <x:c r="Q10" s="17" t="str">
        <x:v>M2-000仅冻结测试ID、失败行为和证据要求；业务切片须逐项先RED再实现；当前仍为NOT_EXECUTED</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NOT_EXECUTED</x:v>
      </x:c>
      <x:c r="J11" s="17" t="str">
        <x:v>NEG-M2-010-01|NEG-M2-010-02|NEG-M2-010-03</x:v>
      </x:c>
      <x:c r="K11" s="17" t="str">
        <x:v>N/A</x:v>
      </x:c>
      <x:c r="L11" s="17" t="str">
        <x:v>SUPPLIER_FILTER_ESCAPE；INACTIVE_PRODUCT_EXPOSURE；STORE_SEMANTICS</x:v>
      </x:c>
      <x:c r="M11" s="17" t="str">
        <x:v>artifacts/verification/M2-000/m2-contract-freeze.json#negativeTests</x:v>
      </x:c>
      <x:c r="N11" s="17"/>
      <x:c r="O11" s="17"/>
      <x:c r="P11" s="17"/>
      <x:c r="Q11" s="17" t="str">
        <x:v>M2-000仅冻结测试ID、失败行为和证据要求；业务切片须逐项先RED再实现；当前仍为NOT_EXECUTED</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NOT_EXECUTED</x:v>
      </x:c>
      <x:c r="J12" s="17" t="str">
        <x:v>NEG-M2-011-01|NEG-M2-011-02|NEG-M2-011-03|NEG-M2-011-04</x:v>
      </x:c>
      <x:c r="K12" s="17" t="str">
        <x:v>N/A</x:v>
      </x:c>
      <x:c r="L12" s="17" t="str">
        <x:v>NON_LEAF_BINDING；DISABLED_CATEGORY；REFERENCED_CATEGORY_DELETE；CATEGORY_CYCLE</x:v>
      </x:c>
      <x:c r="M12" s="17" t="str">
        <x:v>artifacts/verification/M2-000/m2-contract-freeze.json#negativeTests</x:v>
      </x:c>
      <x:c r="N12" s="17"/>
      <x:c r="O12" s="17"/>
      <x:c r="P12" s="17"/>
      <x:c r="Q12" s="17" t="str">
        <x:v>M2-000仅冻结测试ID、失败行为和证据要求；业务切片须逐项先RED再实现；当前仍为NOT_EXECUTED</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NOT_EXECUTED</x:v>
      </x:c>
      <x:c r="J13" s="17" t="str">
        <x:v>NEG-M2-012-01|NEG-M2-012-02|NEG-M2-012-03</x:v>
      </x:c>
      <x:c r="K13" s="17" t="str">
        <x:v>N/A</x:v>
      </x:c>
      <x:c r="L13" s="17" t="str">
        <x:v>TEMPLATE_VERSION_OVERWRITE；UNPUBLISHED_TEMPLATE；TEMPLATE_SCHEMA_INVALID</x:v>
      </x:c>
      <x:c r="M13" s="17" t="str">
        <x:v>artifacts/verification/M2-000/m2-contract-freeze.json#negativeTests</x:v>
      </x:c>
      <x:c r="N13" s="17"/>
      <x:c r="O13" s="17"/>
      <x:c r="P13" s="17"/>
      <x:c r="Q13" s="17" t="str">
        <x:v>M2-000仅冻结测试ID、失败行为和证据要求；业务切片须逐项先RED再实现；当前仍为NOT_EXECUTED</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NOT_EXECUTED</x:v>
      </x:c>
      <x:c r="J14" s="17" t="str">
        <x:v>NEG-M2-013-01|NEG-M2-013-02|NEG-M2-013-03</x:v>
      </x:c>
      <x:c r="K14" s="17" t="str">
        <x:v>N/A</x:v>
      </x:c>
      <x:c r="L14" s="17" t="str">
        <x:v>FOOD_REQUIRED_FIELD_MISSING；FOOD_WARNING_OVERRIDE；FOOD_HISTORY_REWRITE</x:v>
      </x:c>
      <x:c r="M14" s="17" t="str">
        <x:v>artifacts/verification/M2-000/m2-contract-freeze.json#negativeTests</x:v>
      </x:c>
      <x:c r="N14" s="17"/>
      <x:c r="O14" s="17"/>
      <x:c r="P14" s="17"/>
      <x:c r="Q14" s="17" t="str">
        <x:v>M2-000仅冻结测试ID、失败行为和证据要求；业务切片须逐项先RED再实现；当前仍为NOT_EXECUTED</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NOT_EXECUTED</x:v>
      </x:c>
      <x:c r="J15" s="17" t="str">
        <x:v>NEG-M2-014-01|NEG-M2-014-02|NEG-M2-014-03</x:v>
      </x:c>
      <x:c r="K15" s="17" t="str">
        <x:v>N/A</x:v>
      </x:c>
      <x:c r="L15" s="17" t="str">
        <x:v>FRESH_REQUIRED_FIELD_MISSING；FRESH_WEIGHT_RULE_INVALID；FRESH_HISTORY_REWRITE</x:v>
      </x:c>
      <x:c r="M15" s="17" t="str">
        <x:v>artifacts/verification/M2-000/m2-contract-freeze.json#negativeTests</x:v>
      </x:c>
      <x:c r="N15" s="17"/>
      <x:c r="O15" s="17"/>
      <x:c r="P15" s="17"/>
      <x:c r="Q15" s="17" t="str">
        <x:v>M2-000仅冻结测试ID、失败行为和证据要求；业务切片须逐项先RED再实现；当前仍为NOT_EXECUTED</x:v>
      </x:c>
    </x:row>
    <x:row r="16" ht="23" customHeight="1">
      <x:c r="A16" s="17" t="str">
        <x:v>P0-015</x:v>
      </x:c>
      <x:c r="B16" s="17" t="n">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NOT_EXECUTED</x:v>
      </x:c>
      <x:c r="J16" s="17" t="str">
        <x:v>NEG-M2-015-01|NEG-M2-015-02|NEG-M2-015-03</x:v>
      </x:c>
      <x:c r="K16" s="17" t="str">
        <x:v>N/A</x:v>
      </x:c>
      <x:c r="L16" s="17" t="str">
        <x:v>APPAREL_REQUIRED_FIELD_MISSING；APPAREL_SKU_DUPLICATE；APPAREL_HISTORY_REWRITE</x:v>
      </x:c>
      <x:c r="M16" s="17" t="str">
        <x:v>artifacts/verification/M2-000/m2-contract-freeze.json#negativeTests</x:v>
      </x:c>
      <x:c r="N16" s="17"/>
      <x:c r="O16" s="17"/>
      <x:c r="P16" s="17"/>
      <x:c r="Q16" s="17" t="str">
        <x:v>M2-000仅冻结测试ID、失败行为和证据要求；业务切片须逐项先RED再实现；当前仍为NOT_EXECUTED</x:v>
      </x:c>
    </x:row>
    <x:row r="17" ht="23" customHeight="1">
      <x:c r="A17" s="17" t="str">
        <x:v>P0-016</x:v>
      </x:c>
      <x:c r="B17" s="17" t="n">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NOT_EXECUTED</x:v>
      </x:c>
      <x:c r="J17" s="17" t="str">
        <x:v>NEG-M2-016-01|NEG-M2-016-02|NEG-M2-016-03</x:v>
      </x:c>
      <x:c r="K17" s="17" t="str">
        <x:v>N/A</x:v>
      </x:c>
      <x:c r="L17" s="17" t="str">
        <x:v>DIGITAL_REQUIRED_FIELD_MISSING；DIGITAL_MODEL_DUPLICATE；DIGITAL_HISTORY_REWRITE</x:v>
      </x:c>
      <x:c r="M17" s="17" t="str">
        <x:v>artifacts/verification/M2-000/m2-contract-freeze.json#negativeTests</x:v>
      </x:c>
      <x:c r="N17" s="17"/>
      <x:c r="O17" s="17"/>
      <x:c r="P17" s="17"/>
      <x:c r="Q17" s="17" t="str">
        <x:v>M2-000仅冻结测试ID、失败行为和证据要求；业务切片须逐项先RED再实现；当前仍为NOT_EXECUTED</x:v>
      </x:c>
    </x:row>
    <x:row r="18" ht="23" customHeight="1">
      <x:c r="A18" s="17" t="str">
        <x:v>P0-017</x:v>
      </x:c>
      <x:c r="B18" s="17" t="n">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NOT_EXECUTED</x:v>
      </x:c>
      <x:c r="J18" s="17" t="str">
        <x:v>NEG-M2-017-01|NEG-M2-017-02|NEG-M2-017-03</x:v>
      </x:c>
      <x:c r="K18" s="17" t="str">
        <x:v>N/A</x:v>
      </x:c>
      <x:c r="L18" s="17" t="str">
        <x:v>BUNDLE_ITEM_MISSING；BUNDLE_CROSS_SUPPLIER；BUNDLE_HISTORY_REWRITE</x:v>
      </x:c>
      <x:c r="M18" s="17" t="str">
        <x:v>artifacts/verification/M2-000/m2-contract-freeze.json#negativeTests</x:v>
      </x:c>
      <x:c r="N18" s="17"/>
      <x:c r="O18" s="17"/>
      <x:c r="P18" s="17"/>
      <x:c r="Q18" s="17" t="str">
        <x:v>M2-000仅冻结测试ID、失败行为和证据要求；业务切片须逐项先RED再实现；当前仍为NOT_EXECUTED</x:v>
      </x:c>
    </x:row>
    <x:row r="19" ht="23" customHeight="1">
      <x:c r="A19" s="17" t="str">
        <x:v>P0-018</x:v>
      </x:c>
      <x:c r="B19" s="17" t="n">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NOT_EXECUTED</x:v>
      </x:c>
      <x:c r="J19" s="17" t="str">
        <x:v>NEG-M2-018-01|NEG-M2-018-02|NEG-M2-018-03</x:v>
      </x:c>
      <x:c r="K19" s="17" t="str">
        <x:v>N/A</x:v>
      </x:c>
      <x:c r="L19" s="17" t="str">
        <x:v>REGULATED_DEFAULT_DENY；REGULATED_QUALIFICATION_MISSING；REGULATED_TEMPLATE_MISSING</x:v>
      </x:c>
      <x:c r="M19" s="17" t="str">
        <x:v>artifacts/verification/M2-000/m2-contract-freeze.json#negativeTests</x:v>
      </x:c>
      <x:c r="N19" s="17"/>
      <x:c r="O19" s="17"/>
      <x:c r="P19" s="17"/>
      <x:c r="Q19" s="17" t="str">
        <x:v>M2-000仅冻结测试ID、失败行为和证据要求；业务切片须逐项先RED再实现；当前仍为NOT_EXECUTED</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1ba8cfc5fc64108"/>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字段</x:v>
      </x:c>
      <x:c r="C1" s="15" t="str">
        <x:v>方案原定义</x:v>
      </x:c>
      <x:c r="D1" s="15" t="str">
        <x:v>字段顺序</x:v>
      </x:c>
      <x:c r="E1" s="15" t="str">
        <x:v>建议类型</x:v>
      </x:c>
      <x:c r="F1" s="15" t="str">
        <x:v>必填</x:v>
      </x:c>
      <x:c r="G1" s="15" t="str">
        <x:v>单位/格式</x:v>
      </x:c>
      <x:c r="H1" s="15" t="str">
        <x:v>敏感等级</x:v>
      </x:c>
      <x:c r="I1" s="15" t="str">
        <x:v>可见范围</x:v>
      </x:c>
      <x:c r="J1" s="15" t="str">
        <x:v>禁止暴露</x:v>
      </x:c>
      <x:c r="K1" s="15" t="str">
        <x:v>校验规则</x:v>
      </x:c>
      <x:c r="L1" s="15" t="str">
        <x:v>历史规则</x:v>
      </x:c>
      <x:c r="M1" s="15" t="str">
        <x:v>阶段</x:v>
      </x:c>
      <x:c r="N1" s="15" t="str">
        <x:v>P0</x:v>
      </x:c>
      <x:c r="O1" s="15" t="str">
        <x:v>来源</x:v>
      </x:c>
      <x:c r="P1" s="16" t="str">
        <x:v>状态</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field type, required, unit, enum, dependency and display-module schema</x:v>
      </x:c>
      <x:c r="L242" s="17" t="str">
        <x:v>按实体version或审计日志保留变更证据</x:v>
      </x:c>
      <x:c r="M242" s="4" t="str">
        <x:v>M2</x:v>
      </x:c>
      <x:c r="N242" s="4" t="str">
        <x:v>P0-012,P0-013,P0-014,P0-015,P0-016,P0-017,P0-018</x:v>
      </x:c>
      <x:c r="O242" s="4" t="str">
        <x:v>综合方案§13核心数据模型</x:v>
      </x:c>
      <x:c r="P242" s="4" t="str">
        <x:v>FROZEN_M2_000</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按角色、对象归属及配送阶段脱敏/解密</x:v>
      </x:c>
      <x:c r="J244" s="17" t="str">
        <x:v>禁止跨供应商、越阶段或批量无审批导出</x:v>
      </x:c>
      <x:c r="K244" s="17" t="str">
        <x:v>new version only after publication; referenced versions cannot be overwritten</x:v>
      </x:c>
      <x:c r="L244" s="17" t="str">
        <x:v>按实体version或审计日志保留变更证据</x:v>
      </x:c>
      <x:c r="M244" s="4" t="str">
        <x:v>M2</x:v>
      </x:c>
      <x:c r="N244" s="4" t="str">
        <x:v>P0-012,P0-013,P0-014,P0-015,P0-016,P0-017,P0-018</x:v>
      </x:c>
      <x:c r="O244" s="4" t="str">
        <x:v>综合方案§13核心数据模型</x:v>
      </x:c>
      <x:c r="P244" s="4" t="str">
        <x:v>FROZEN_M2_000</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cannot be overwritten</x:v>
      </x:c>
      <x:c r="L247" s="17" t="str">
        <x:v>按实体version或审计日志保留变更证据</x:v>
      </x:c>
      <x:c r="M247" s="4" t="str">
        <x:v>M2</x:v>
      </x:c>
      <x:c r="N247" s="4" t="str">
        <x:v>P0-012,P0-013,P0-014,P0-015,P0-016,P0-017,P0-018</x:v>
      </x:c>
      <x:c r="O247" s="4" t="str">
        <x:v>综合方案§13核心数据模型</x:v>
      </x:c>
      <x:c r="P247" s="4" t="str">
        <x:v>FROZEN_M2_000</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INTERNAL</x:v>
      </x:c>
      <x:c r="I255" s="17" t="str">
        <x:v>按资源权限与数据域访问；公开DTO另行白名单</x:v>
      </x:c>
      <x:c r="J255" s="17" t="str">
        <x:v>数据库实体不得直接序列化为响应</x:v>
      </x:c>
      <x:c r="K255" s="17" t="str">
        <x:v>validated against frozen schema; canonicalized; dangerous rich-text content rejected</x:v>
      </x:c>
      <x:c r="L255" s="17" t="str">
        <x:v>按实体version或审计日志保留变更证据</x:v>
      </x:c>
      <x:c r="M255" s="4" t="str">
        <x:v>M2</x:v>
      </x:c>
      <x:c r="N255" s="4" t="str">
        <x:v>P0-006,P0-007,P0-008,P0-061</x:v>
      </x:c>
      <x:c r="O255" s="4" t="str">
        <x:v>综合方案§13核心数据模型</x:v>
      </x:c>
      <x:c r="P255" s="4" t="str">
        <x:v>FROZEN_M2_000</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enum value and legal transition enforced by domain state machine</x:v>
      </x:c>
      <x:c r="L279" s="17" t="str">
        <x:v>按实体version或审计日志保留变更证据</x:v>
      </x:c>
      <x:c r="M279" s="4" t="str">
        <x:v>M2</x:v>
      </x:c>
      <x:c r="N279" s="4" t="str">
        <x:v>P0-006,P0-007,P0-009,P0-010,P0-011,P0-012,P0-018,P0-021,P0-061</x:v>
      </x:c>
      <x:c r="O279" s="4" t="str">
        <x:v>综合方案§13核心数据模型</x:v>
      </x:c>
      <x:c r="P279" s="4" t="str">
        <x:v>FROZEN_M2_000</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d7d9eb07e40416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阶段</x:v>
      </x:c>
      <x:c r="C1" s="15" t="str">
        <x:v>当前状态</x:v>
      </x:c>
      <x:c r="D1" s="15" t="str">
        <x:v>事件</x:v>
      </x:c>
      <x:c r="E1" s="15" t="str">
        <x:v>下一状态</x:v>
      </x:c>
      <x:c r="F1" s="15" t="str">
        <x:v>允许角色</x:v>
      </x:c>
      <x:c r="G1" s="15" t="str">
        <x:v>守卫条件</x:v>
      </x:c>
      <x:c r="H1" s="15" t="str">
        <x:v>副作用</x:v>
      </x:c>
      <x:c r="I1" s="15" t="str">
        <x:v>幂等</x:v>
      </x:c>
      <x:c r="J1" s="15" t="str">
        <x:v>非法迁移</x:v>
      </x:c>
      <x:c r="K1" s="15" t="str">
        <x:v>并发控制</x:v>
      </x:c>
      <x:c r="L1" s="15" t="str">
        <x:v>历史保留</x:v>
      </x:c>
      <x:c r="M1" s="15" t="str">
        <x:v>P0</x:v>
      </x:c>
      <x:c r="N1" s="16" t="str">
        <x:v>状态</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末级分类模板校验通过且无价格字段在本页面</x:v>
      </x:c>
      <x:c r="H23" s="17" t="str">
        <x:v>冻结资料快照；创建资料审批</x:v>
      </x:c>
      <x:c r="I23" s="17" t="str">
        <x:v>supplierProductId+version</x:v>
      </x:c>
      <x:c r="J23" s="17" t="str">
        <x:v>返回409 STATE_TRANSITION_INVALID；不改变状态；写安全审计（按风险级别）</x:v>
      </x:c>
      <x:c r="K23" s="17" t="str">
        <x:v>version乐观锁/唯一键/事务；受影响行数必须=1</x:v>
      </x:c>
      <x:c r="L23" s="17" t="str">
        <x:v>追加状态日志或不可变快照，禁止覆盖历史</x:v>
      </x:c>
      <x:c r="M23" s="4" t="str">
        <x:v>P0-006,P0-007,P0-018,P0-061</x:v>
      </x:c>
      <x:c r="N23" s="4" t="str">
        <x:v>FROZEN_M2_000</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x:v>
      </x:c>
      <x:c r="H24" s="17" t="str">
        <x:v>等待初始三价审批</x:v>
      </x:c>
      <x:c r="I24" s="17" t="str">
        <x:v>approvalTaskId+decision</x:v>
      </x:c>
      <x:c r="J24" s="17" t="str">
        <x:v>返回409 STATE_TRANSITION_INVALID；不改变状态；写安全审计（按风险级别）</x:v>
      </x:c>
      <x:c r="K24" s="17" t="str">
        <x:v>version乐观锁/唯一键/事务；受影响行数必须=1</x:v>
      </x:c>
      <x:c r="L24" s="17" t="str">
        <x:v>追加状态日志或不可变快照，禁止覆盖历史</x:v>
      </x:c>
      <x:c r="M24" s="4" t="str">
        <x:v>P0-006,P0-007,P0-018,P0-061</x:v>
      </x:c>
      <x:c r="N24" s="4" t="str">
        <x:v>FROZEN_M2_000</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d37ab40997d942d4"/>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x:v>
      </x:c>
      <x:c r="F4" s="17" t="str">
        <x:v>分类模板、商品资料审核、上下架</x:v>
      </x:c>
      <x:c r="G4" s="17" t="str">
        <x:v>商品资料审核</x:v>
      </x:c>
      <x:c r="H4" s="17" t="str">
        <x:v>HIDDEN</x:v>
      </x:c>
      <x:c r="I4" s="17" t="str">
        <x:v>唯一公司全商品</x:v>
      </x:c>
      <x:c r="J4" s="17" t="str">
        <x:v>不得读取供应价或批准供应价</x:v>
      </x:c>
      <x:c r="K4" s="17" t="str">
        <x:v>强监管开关/批量上下架</x:v>
      </x:c>
      <x:c r="L4" s="17" t="str">
        <x:v>登录后选择一个职能；会话固定workspaceRoute；切换职能重新签发并审计</x:v>
      </x:c>
      <x:c r="M4" s="4" t="str">
        <x:v>M2</x:v>
      </x:c>
      <x:c r="N4" s="17" t="str">
        <x:v>P0-006,P0-007,P0-011,P0-012,P0-018,P0-067,P0-068</x:v>
      </x:c>
      <x:c r="O4" s="4" t="str">
        <x:v>FROZEN_M2_000</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ddbac9173504594"/>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P0-007,P0-067,P0-068</x:v>
      </x:c>
      <x:c r="I6" s="17" t="str">
        <x:v>REQUIRED_FIXED_FUNCTIONAL_SESSION</x:v>
      </x:c>
      <x:c r="J6" s="17" t="str">
        <x:v>NEVER_RETURN</x:v>
      </x:c>
      <x:c r="K6" s="17" t="str">
        <x:v>company-admin</x:v>
      </x:c>
      <x:c r="L6" s="17" t="str">
        <x:v>loading,empty,error,permission-denied,offline-or-timeout,success；交易页增加duplicate/unknown-result</x:v>
      </x:c>
      <x:c r="M6" s="17" t="str">
        <x:v>PC admin</x:v>
      </x:c>
      <x:c r="N6" s="17" t="str">
        <x:v>IMPLEMENTED</x:v>
      </x:c>
      <x:c r="O6" s="17" t="str">
        <x:v>P0-007_LOCAL_PASS;P0-067_CI_PASS;P0-068_CI_PASS</x:v>
      </x:c>
      <x:c r="P6" s="17" t="str">
        <x:v>tests/e2e/p0/p0-007-company-product-approvals.spec.ts|tests/e2e/p0/p0-067-company-workspaces.spec.ts|tests/e2e/p0/p0-068-company-workspace-completeness.spec.ts</x:v>
      </x:c>
      <x:c r="Q6" s="17" t="str">
        <x:v>独立商品资料审核队列、决定弹窗、loading/empty/error/permission/offline状态已实现；资料DTO与页面不含三类价格；CI待执行。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P0-008_LOCAL_PASS;P0-019_P0-071_NOT_EXECUTED</x:v>
      </x:c>
      <x:c r="P19" s="17" t="str">
        <x:v>tests/e2e/p0/p0-008-supplier-pricing.spec.ts|tests/e2e/p0/p0-070-supplier-workspaces.spec.ts</x:v>
      </x:c>
      <x:c r="Q19" s="17" t="str">
        <x:v>M2-P008独立价格页已真实读取本供应商商品、按SKU提交整数分三价并覆盖校验/权限/离线/未知结果同幂等键恢复；pnpm verify 17/17通过；上架后调价P0-019/P0-071仍未执行。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P0-001_LOCAL_PASS;M3_NOT_EXECUTED</x:v>
      </x:c>
      <x:c r="P26" s="17" t="str">
        <x:v>tests/e2e/p0/p0-001-single-merchant.spec.ts</x:v>
      </x:c>
      <x:c r="Q26" s="17" t="str">
        <x:v>Next.js App Router；P0-001主体声明区已实现并保持SSG/ISR；页面其余M3采购能力、P0-027与P0-074仍未实现，不以本切片冒充整页完成</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REFERENCE_ASSET_ONLY</x:v>
      </x:c>
      <x:c r="O54" s="17" t="str">
        <x:v>NOT_EXECUTED</x:v>
      </x:c>
      <x:c r="P54" s="17" t="str">
        <x:v>TO_BE_CREATED</x:v>
      </x:c>
      <x:c r="Q54" s="17" t="str">
        <x:v>视觉基线不覆盖业务、权限和状态机</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REFERENCE_ASSET_ONLY</x:v>
      </x:c>
      <x:c r="O55" s="17" t="str">
        <x:v>NOT_EXECUTED</x:v>
      </x:c>
      <x:c r="P55" s="17" t="str">
        <x:v>TO_BE_CREATED</x:v>
      </x:c>
      <x:c r="Q55" s="17" t="str">
        <x:v>视觉基线不覆盖业务、权限和状态机</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9c1a8c893e654e0b"/>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确认首批分类树、每类模板字段、资质和售后规则</x:v>
      </x:c>
      <x:c r="E8" s="4" t="str">
        <x:v>UNASSIGNED_HUMAN</x:v>
      </x:c>
      <x:c r="F8" s="4" t="str">
        <x:v>NOT_PROVIDED</x:v>
      </x:c>
      <x:c r="G8" s="17" t="str">
        <x:v>HUMAN_REQUIRED</x:v>
      </x:c>
      <x:c r="H8" s="17" t="str">
        <x:v>强监管品类默认关闭</x:v>
      </x:c>
      <x:c r="I8" s="4" t="str">
        <x:v>M2-P012</x:v>
      </x:c>
      <x:c r="J8" s="4" t="str">
        <x:v>NO</x:v>
      </x:c>
      <x:c r="K8" s="4"/>
      <x:c r="L8" s="4"/>
      <x:c r="M8" s="4"/>
      <x:c r="N8" s="17"/>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d02be3876874285"/>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LOCAL_PASS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RED：API-022返回404；GREEN focused：API 14/14（其中P0-008 8项）、PAGE-018 Playwright 3/3；pnpm verify 17/17、P0 E2E 30/30、迁移演练product=13通过。</x:v>
      </x:c>
      <x:c r="K9" s="17" t="str">
        <x:v>LOCAL_WINDOWS_MYSQL_CHROMIUM</x:v>
      </x:c>
      <x:c r="L9" s="17" t="str">
        <x:v>Node 22.23.1 / Chromium</x:v>
      </x:c>
      <x:c r="M9" s="17" t="n">
        <x:v>46243.545798611114</x:v>
      </x:c>
      <x:c r="N9" s="17" t="str">
        <x:v>01bd3490cd84f319a60e0e33a6006f9bf1c4190e</x:v>
      </x:c>
      <x:c r="O9" s="17"/>
      <x:c r="P9" s="17" t="str">
        <x:v>apps/api/test/supertest/supplier-pricing-api.test.mjs|tests/e2e/p0/p0-008-supplier-pricing.spec.ts|docs/contracts/m2/M2-P008-supplier-pricing.md</x:v>
      </x:c>
      <x:c r="Q9" s="17" t="str">
        <x:v>CODEX</x:v>
      </x:c>
      <x:c r="R9" s="17" t="str">
        <x:v>FULL_GATE_CURRENT_HEAD</x:v>
      </x:c>
      <x:c r="S9" s="17" t="str">
        <x:v>Draft PR精确head CI、人工合并及合并后main CI尚未执行</x:v>
      </x:c>
      <x:c r="T9" s="17" t="str">
        <x:v>YES</x:v>
      </x:c>
      <x:c r="U9" s="17" t="str">
        <x:v>当前仅LOCAL_PASS；CI/STAGING/PRODUCTION均未执行，M2-P009在人工合并与main CI前保持锁定。</x:v>
      </x:c>
    </x:row>
    <x:row r="10" ht="23" customHeight="1">
      <x:c r="A10" s="17" t="str">
        <x:v>EVD-009</x:v>
      </x:c>
      <x:c r="B10" s="17" t="str">
        <x:v>P0-009</x:v>
      </x:c>
      <x:c r="C10" s="17" t="str">
        <x:v>M2</x:v>
      </x:c>
      <x:c r="D10" s="17" t="str">
        <x:v>M2-P009</x:v>
      </x:c>
      <x:c r="E10" s="17" t="str">
        <x:v>AUTOMATED_AND_MANUAL_AS_REQUIRED</x:v>
      </x:c>
      <x:c r="F10" s="17" t="str">
        <x:v>CI_PASS</x:v>
      </x:c>
      <x:c r="G10" s="17" t="str">
        <x:v>NOT_EXECUTED</x:v>
      </x:c>
      <x:c r="H10" s="17" t="str">
        <x:v>在对应切片先登记失败测试ID，再记录focused tests与pnpm verify；真机/预发布按要求执行</x:v>
      </x:c>
      <x:c r="I10" s="17" t="str">
        <x:v>不存在供应商装修页、独立结算、店铺优惠券和供应商收款入口。</x:v>
      </x:c>
      <x:c r="J10" s="17"/>
      <x:c r="K10" s="17"/>
      <x:c r="L10" s="17"/>
      <x:c r="M10" s="17"/>
      <x:c r="N10" s="17"/>
      <x:c r="O10" s="17"/>
      <x:c r="P10" s="17"/>
      <x:c r="Q10" s="17"/>
      <x:c r="R10" s="17" t="str">
        <x:v>NO_EVIDENCE_YET</x:v>
      </x:c>
      <x:c r="S10" s="17"/>
      <x:c r="T10" s="17" t="str">
        <x:v>YES</x:v>
      </x:c>
      <x:c r="U10" s="17" t="str">
        <x:v>不得以旧输出、字符串搜索、页面资产或模型自述替代</x:v>
      </x:c>
    </x:row>
    <x:row r="11" ht="23" customHeight="1">
      <x:c r="A11" s="17" t="str">
        <x:v>EVD-010</x:v>
      </x:c>
      <x:c r="B11" s="17" t="str">
        <x:v>P0-010</x:v>
      </x:c>
      <x:c r="C11" s="17" t="str">
        <x:v>M2</x:v>
      </x:c>
      <x:c r="D11" s="17" t="str">
        <x:v>M2-P010</x:v>
      </x:c>
      <x:c r="E11" s="17" t="str">
        <x:v>AUTOMATED_AND_MANUAL_AS_REQUIRED</x:v>
      </x:c>
      <x:c r="F11" s="17" t="str">
        <x:v>CI_PASS</x:v>
      </x:c>
      <x:c r="G11" s="17" t="str">
        <x:v>NOT_EXECUTED</x:v>
      </x:c>
      <x:c r="H11" s="17" t="str">
        <x:v>在对应切片先登记失败测试ID，再记录focused tests与pnpm verify；真机/预发布按要求执行</x:v>
      </x:c>
      <x:c r="I11" s="17" t="str">
        <x:v>按 supplierId 筛选公司已上架商品，销售主体和统一货架不改变。</x:v>
      </x:c>
      <x:c r="J11" s="17"/>
      <x:c r="K11" s="17"/>
      <x:c r="L11" s="17"/>
      <x:c r="M11" s="17"/>
      <x:c r="N11" s="17"/>
      <x:c r="O11" s="17"/>
      <x:c r="P11" s="17"/>
      <x:c r="Q11" s="17"/>
      <x:c r="R11" s="17" t="str">
        <x:v>NO_EVIDENCE_YET</x:v>
      </x:c>
      <x:c r="S11" s="17"/>
      <x:c r="T11" s="17" t="str">
        <x:v>YES</x:v>
      </x:c>
      <x:c r="U11" s="17" t="str">
        <x:v>不得以旧输出、字符串搜索、页面资产或模型自述替代</x:v>
      </x:c>
    </x:row>
    <x:row r="12" ht="23" customHeight="1">
      <x:c r="A12" s="17" t="str">
        <x:v>EVD-011</x:v>
      </x:c>
      <x:c r="B12" s="17" t="str">
        <x:v>P0-011</x:v>
      </x:c>
      <x:c r="C12" s="17" t="str">
        <x:v>M2</x:v>
      </x:c>
      <x:c r="D12" s="17" t="str">
        <x:v>M2-P011</x:v>
      </x:c>
      <x:c r="E12" s="17" t="str">
        <x:v>AUTOMATED_AND_MANUAL_AS_REQUIRED</x:v>
      </x:c>
      <x:c r="F12" s="17" t="str">
        <x:v>CI_PASS</x:v>
      </x:c>
      <x:c r="G12" s="17" t="str">
        <x:v>NOT_EXECUTED</x:v>
      </x:c>
      <x:c r="H12" s="17" t="str">
        <x:v>在对应切片先登记失败测试ID，再记录focused tests与pnpm verify；真机/预发布按要求执行</x:v>
      </x:c>
      <x:c r="I12" s="17" t="str">
        <x:v>商品必须绑定启用的末级分类，分类支持排序、停用和历史引用保护。</x:v>
      </x:c>
      <x:c r="J12" s="17"/>
      <x:c r="K12" s="17"/>
      <x:c r="L12" s="17"/>
      <x:c r="M12" s="17"/>
      <x:c r="N12" s="17"/>
      <x:c r="O12" s="17"/>
      <x:c r="P12" s="17"/>
      <x:c r="Q12" s="17"/>
      <x:c r="R12" s="17" t="str">
        <x:v>NO_EVIDENCE_YET</x:v>
      </x:c>
      <x:c r="S12" s="17"/>
      <x:c r="T12" s="17" t="str">
        <x:v>YES</x:v>
      </x:c>
      <x:c r="U12" s="17" t="str">
        <x:v>不得以旧输出、字符串搜索、页面资产或模型自述替代</x:v>
      </x:c>
    </x:row>
    <x:row r="13" ht="23" customHeight="1">
      <x:c r="A13" s="17" t="str">
        <x:v>EVD-012</x:v>
      </x:c>
      <x:c r="B13" s="17" t="str">
        <x:v>P0-012</x:v>
      </x:c>
      <x:c r="C13" s="17" t="str">
        <x:v>M2</x:v>
      </x:c>
      <x:c r="D13" s="17" t="str">
        <x:v>M2-P012</x:v>
      </x:c>
      <x:c r="E13" s="17" t="str">
        <x:v>AUTOMATED_AND_MANUAL_AS_REQUIRED</x:v>
      </x:c>
      <x:c r="F13" s="17" t="str">
        <x:v>CI_PASS</x:v>
      </x:c>
      <x:c r="G13" s="17" t="str">
        <x:v>NOT_EXECUTED</x:v>
      </x:c>
      <x:c r="H13" s="17" t="str">
        <x:v>在对应切片先登记失败测试ID，再记录focused tests与pnpm verify；真机/预发布按要求执行</x:v>
      </x:c>
      <x:c r="I13" s="17" t="str">
        <x:v>末级分类绑定模板版本，决定必填字段、SKU、资质和详情模块。</x:v>
      </x:c>
      <x:c r="J13" s="17"/>
      <x:c r="K13" s="17"/>
      <x:c r="L13" s="17"/>
      <x:c r="M13" s="17"/>
      <x:c r="N13" s="17"/>
      <x:c r="O13" s="17"/>
      <x:c r="P13" s="17"/>
      <x:c r="Q13" s="17"/>
      <x:c r="R13" s="17" t="str">
        <x:v>NO_EVIDENCE_YET</x:v>
      </x:c>
      <x:c r="S13" s="17"/>
      <x:c r="T13" s="17" t="str">
        <x:v>YES</x:v>
      </x:c>
      <x:c r="U13" s="17" t="str">
        <x:v>不得以旧输出、字符串搜索、页面资产或模型自述替代</x:v>
      </x:c>
    </x:row>
    <x:row r="14" ht="23" customHeight="1">
      <x:c r="A14" s="17" t="str">
        <x:v>EVD-013</x:v>
      </x:c>
      <x:c r="B14" s="17" t="str">
        <x:v>P0-013</x:v>
      </x:c>
      <x:c r="C14" s="17" t="str">
        <x:v>M2</x:v>
      </x:c>
      <x:c r="D14" s="17" t="str">
        <x:v>M2-P013</x:v>
      </x:c>
      <x:c r="E14" s="17" t="str">
        <x:v>AUTOMATED_AND_MANUAL_AS_REQUIRED</x:v>
      </x:c>
      <x:c r="F14" s="17" t="str">
        <x:v>CI_PASS</x:v>
      </x:c>
      <x:c r="G14" s="17" t="str">
        <x:v>NOT_EXECUTED</x:v>
      </x:c>
      <x:c r="H14" s="17" t="str">
        <x:v>在对应切片先登记失败测试ID，再记录focused tests与pnpm verify；真机/预发布按要求执行</x:v>
      </x:c>
      <x:c r="I14" s="17" t="str">
        <x:v>配料、营养、许可、保质期、储存和过敏原按模板展示。</x:v>
      </x:c>
      <x:c r="J14" s="17"/>
      <x:c r="K14" s="17"/>
      <x:c r="L14" s="17"/>
      <x:c r="M14" s="17"/>
      <x:c r="N14" s="17"/>
      <x:c r="O14" s="17"/>
      <x:c r="P14" s="17"/>
      <x:c r="Q14" s="17"/>
      <x:c r="R14" s="17" t="str">
        <x:v>NO_EVIDENCE_YET</x:v>
      </x:c>
      <x:c r="S14" s="17"/>
      <x:c r="T14" s="17" t="str">
        <x:v>YES</x:v>
      </x:c>
      <x:c r="U14" s="17" t="str">
        <x:v>不得以旧输出、字符串搜索、页面资产或模型自述替代</x:v>
      </x:c>
    </x:row>
    <x:row r="15" ht="23" customHeight="1">
      <x:c r="A15" s="17" t="str">
        <x:v>EVD-014</x:v>
      </x:c>
      <x:c r="B15" s="17" t="str">
        <x:v>P0-014</x:v>
      </x:c>
      <x:c r="C15" s="17" t="str">
        <x:v>M2</x:v>
      </x:c>
      <x:c r="D15" s="17" t="str">
        <x:v>M2-P014</x:v>
      </x:c>
      <x:c r="E15" s="17" t="str">
        <x:v>AUTOMATED_AND_MANUAL_AS_REQUIRED</x:v>
      </x:c>
      <x:c r="F15" s="17" t="str">
        <x:v>CI_PASS</x:v>
      </x:c>
      <x:c r="G15" s="17" t="str">
        <x:v>NOT_EXECUTED</x:v>
      </x:c>
      <x:c r="H15" s="17" t="str">
        <x:v>在对应切片先登记失败测试ID，再记录focused tests与pnpm verify；真机/预发布按要求执行</x:v>
      </x:c>
      <x:c r="I15" s="17" t="str">
        <x:v>产地、等级、保鲜、温区、称重和售后规则按模板展示。</x:v>
      </x:c>
      <x:c r="J15" s="17"/>
      <x:c r="K15" s="17"/>
      <x:c r="L15" s="17"/>
      <x:c r="M15" s="17"/>
      <x:c r="N15" s="17"/>
      <x:c r="O15" s="17"/>
      <x:c r="P15" s="17"/>
      <x:c r="Q15" s="17"/>
      <x:c r="R15" s="17" t="str">
        <x:v>NO_EVIDENCE_YET</x:v>
      </x:c>
      <x:c r="S15" s="17"/>
      <x:c r="T15" s="17" t="str">
        <x:v>YES</x:v>
      </x:c>
      <x:c r="U15" s="17" t="str">
        <x:v>不得以旧输出、字符串搜索、页面资产或模型自述替代</x:v>
      </x:c>
    </x:row>
    <x:row r="16" ht="23" customHeight="1">
      <x:c r="A16" s="17" t="str">
        <x:v>EVD-015</x:v>
      </x:c>
      <x:c r="B16" s="17" t="str">
        <x:v>P0-015</x:v>
      </x:c>
      <x:c r="C16" s="17" t="str">
        <x:v>M2</x:v>
      </x:c>
      <x:c r="D16" s="17" t="str">
        <x:v>M2-P015</x:v>
      </x:c>
      <x:c r="E16" s="17" t="str">
        <x:v>AUTOMATED_AND_MANUAL_AS_REQUIRED</x:v>
      </x:c>
      <x:c r="F16" s="17" t="str">
        <x:v>CI_PASS</x:v>
      </x:c>
      <x:c r="G16" s="17" t="str">
        <x:v>NOT_EXECUTED</x:v>
      </x:c>
      <x:c r="H16" s="17" t="str">
        <x:v>在对应切片先登记失败测试ID，再记录focused tests与pnpm verify；真机/预发布按要求执行</x:v>
      </x:c>
      <x:c r="I16" s="17" t="str">
        <x:v>颜色尺码 SKU、材质、尺码表和洗护说明完整。</x:v>
      </x:c>
      <x:c r="J16" s="17"/>
      <x:c r="K16" s="17"/>
      <x:c r="L16" s="17"/>
      <x:c r="M16" s="17"/>
      <x:c r="N16" s="17"/>
      <x:c r="O16" s="17"/>
      <x:c r="P16" s="17"/>
      <x:c r="Q16" s="17"/>
      <x:c r="R16" s="17" t="str">
        <x:v>NO_EVIDENCE_YET</x:v>
      </x:c>
      <x:c r="S16" s="17"/>
      <x:c r="T16" s="17" t="str">
        <x:v>YES</x:v>
      </x:c>
      <x:c r="U16" s="17" t="str">
        <x:v>不得以旧输出、字符串搜索、页面资产或模型自述替代</x:v>
      </x:c>
    </x:row>
    <x:row r="17" ht="23" customHeight="1">
      <x:c r="A17" s="17" t="str">
        <x:v>EVD-016</x:v>
      </x:c>
      <x:c r="B17" s="17" t="str">
        <x:v>P0-016</x:v>
      </x:c>
      <x:c r="C17" s="17" t="str">
        <x:v>M2</x:v>
      </x:c>
      <x:c r="D17" s="17" t="str">
        <x:v>M2-P016</x:v>
      </x:c>
      <x:c r="E17" s="17" t="str">
        <x:v>AUTOMATED_AND_MANUAL_AS_REQUIRED</x:v>
      </x:c>
      <x:c r="F17" s="17" t="str">
        <x:v>CI_PASS</x:v>
      </x:c>
      <x:c r="G17" s="17" t="str">
        <x:v>NOT_EXECUTED</x:v>
      </x:c>
      <x:c r="H17" s="17" t="str">
        <x:v>在对应切片先登记失败测试ID，再记录focused tests与pnpm verify；真机/预发布按要求执行</x:v>
      </x:c>
      <x:c r="I17" s="17" t="str">
        <x:v>型号、参数、能效、包装清单和保修信息完整。</x:v>
      </x:c>
      <x:c r="J17" s="17"/>
      <x:c r="K17" s="17"/>
      <x:c r="L17" s="17"/>
      <x:c r="M17" s="17"/>
      <x:c r="N17" s="17"/>
      <x:c r="O17" s="17"/>
      <x:c r="P17" s="17"/>
      <x:c r="Q17" s="17"/>
      <x:c r="R17" s="17" t="str">
        <x:v>NO_EVIDENCE_YET</x:v>
      </x:c>
      <x:c r="S17" s="17"/>
      <x:c r="T17" s="17" t="str">
        <x:v>YES</x:v>
      </x:c>
      <x:c r="U17" s="17" t="str">
        <x:v>不得以旧输出、字符串搜索、页面资产或模型自述替代</x:v>
      </x:c>
    </x:row>
    <x:row r="18" ht="23" customHeight="1">
      <x:c r="A18" s="17" t="str">
        <x:v>EVD-017</x:v>
      </x:c>
      <x:c r="B18" s="17" t="str">
        <x:v>P0-017</x:v>
      </x:c>
      <x:c r="C18" s="17" t="str">
        <x:v>M2</x:v>
      </x:c>
      <x:c r="D18" s="17" t="str">
        <x:v>M2-P017</x:v>
      </x:c>
      <x:c r="E18" s="17" t="str">
        <x:v>AUTOMATED_AND_MANUAL_AS_REQUIRED</x:v>
      </x:c>
      <x:c r="F18" s="17" t="str">
        <x:v>CI_PASS</x:v>
      </x:c>
      <x:c r="G18" s="17" t="str">
        <x:v>NOT_EXECUTED</x:v>
      </x:c>
      <x:c r="H18" s="17" t="str">
        <x:v>在对应切片先登记失败测试ID，再记录focused tests与pnpm verify；真机/预发布按要求执行</x:v>
      </x:c>
      <x:c r="I18" s="17" t="str">
        <x:v>组合商品明确展示子项、数量、规格和有效期下限。</x:v>
      </x:c>
      <x:c r="J18" s="17"/>
      <x:c r="K18" s="17"/>
      <x:c r="L18" s="17"/>
      <x:c r="M18" s="17"/>
      <x:c r="N18" s="17"/>
      <x:c r="O18" s="17"/>
      <x:c r="P18" s="17"/>
      <x:c r="Q18" s="17"/>
      <x:c r="R18" s="17" t="str">
        <x:v>NO_EVIDENCE_YET</x:v>
      </x:c>
      <x:c r="S18" s="17"/>
      <x:c r="T18" s="17" t="str">
        <x:v>YES</x:v>
      </x:c>
      <x:c r="U18" s="17" t="str">
        <x:v>不得以旧输出、字符串搜索、页面资产或模型自述替代</x:v>
      </x:c>
    </x:row>
    <x:row r="19" ht="23" customHeight="1">
      <x:c r="A19" s="17" t="str">
        <x:v>EVD-018</x:v>
      </x:c>
      <x:c r="B19" s="17" t="str">
        <x:v>P0-018</x:v>
      </x:c>
      <x:c r="C19" s="17" t="str">
        <x:v>M2</x:v>
      </x:c>
      <x:c r="D19" s="17" t="str">
        <x:v>M2-P018</x:v>
      </x:c>
      <x:c r="E19" s="17" t="str">
        <x:v>AUTOMATED_AND_MANUAL_AS_REQUIRED</x:v>
      </x:c>
      <x:c r="F19" s="17" t="str">
        <x:v>CI_PASS</x:v>
      </x:c>
      <x:c r="G19" s="17" t="str">
        <x:v>NOT_EXECUTED</x:v>
      </x:c>
      <x:c r="H19" s="17" t="str">
        <x:v>在对应切片先登记失败测试ID，再记录focused tests与pnpm verify；真机/预发布按要求执行</x:v>
      </x:c>
      <x:c r="I19" s="17" t="str">
        <x:v>未配置公司资质、模板和人工开关的高风险品类不能交易。</x:v>
      </x:c>
      <x:c r="J19" s="17"/>
      <x:c r="K19" s="17"/>
      <x:c r="L19" s="17"/>
      <x:c r="M19" s="17"/>
      <x:c r="N19" s="17"/>
      <x:c r="O19" s="17"/>
      <x:c r="P19" s="17"/>
      <x:c r="Q19" s="17"/>
      <x:c r="R19" s="17" t="str">
        <x:v>NO_EVIDENCE_YET</x:v>
      </x:c>
      <x:c r="S19" s="17"/>
      <x:c r="T19" s="17" t="str">
        <x:v>YES</x:v>
      </x:c>
      <x:c r="U19" s="17" t="str">
        <x:v>不得以旧输出、字符串搜索、页面资产或模型自述替代</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97d98d3886842eb"/>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阶段</x:v>
      </x:c>
      <x:c r="C1" s="15" t="str">
        <x:v>计划名称</x:v>
      </x:c>
      <x:c r="D1" s="15" t="str">
        <x:v>依赖</x:v>
      </x:c>
      <x:c r="E1" s="15" t="str">
        <x:v>对象</x:v>
      </x:c>
      <x:c r="F1" s="15" t="str">
        <x:v>目的</x:v>
      </x:c>
      <x:c r="G1" s="15" t="str">
        <x:v>正向步骤</x:v>
      </x:c>
      <x:c r="H1" s="15" t="str">
        <x:v>回退/恢复</x:v>
      </x:c>
      <x:c r="I1" s="15" t="str">
        <x:v>数据回填</x:v>
      </x:c>
      <x:c r="J1" s="15" t="str">
        <x:v>验证</x:v>
      </x:c>
      <x:c r="K1" s="15" t="str">
        <x:v>需备份</x:v>
      </x:c>
      <x:c r="L1" s="15" t="str">
        <x:v>状态</x:v>
      </x:c>
      <x:c r="M1" s="15" t="str">
        <x:v>本地执行</x:v>
      </x:c>
      <x:c r="N1" s="15" t="str">
        <x:v>预发布执行</x:v>
      </x:c>
      <x:c r="O1" s="15" t="str">
        <x:v>生产执行</x:v>
      </x:c>
      <x:c r="P1" s="15" t="str">
        <x:v>提交SHA</x:v>
      </x:c>
      <x:c r="Q1" s="15" t="str">
        <x:v>证据链接</x:v>
      </x:c>
      <x:c r="R1" s="16" t="str">
        <x:v>备注</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x:c r="O2" s="17"/>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x:c r="O3" s="17"/>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x:c r="O4" s="17"/>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x:c r="O5" s="17"/>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0201_category_templates</x:v>
      </x:c>
      <x:c r="D6" s="17" t="str">
        <x:v>MIG-004</x:v>
      </x:c>
      <x:c r="E6" s="17" t="str">
        <x:v>Category/CategoryTemplate</x:v>
      </x:c>
      <x:c r="F6" s="17" t="str">
        <x:v>分类模板</x:v>
      </x:c>
      <x:c r="G6" s="17" t="str">
        <x:v>由阶段切片生成Prisma migration；事务/分批策略按数据量确定</x:v>
      </x:c>
      <x:c r="H6" s="17" t="str">
        <x:v>已发布迁移不回改；失败前恢复备份或创建向前修复迁移；应用版本可回退时保持schema兼容窗口</x:v>
      </x:c>
      <x:c r="I6" s="17" t="str">
        <x:v>阶段实现时明确批次、断点、校验和</x:v>
      </x:c>
      <x:c r="J6" s="17" t="str">
        <x:v>末级模板版本引用保护；prisma validate；空库/升级路径dry-run；关键不变量SQL</x:v>
      </x:c>
      <x:c r="K6" s="17" t="str">
        <x:v>BEFORE_STAGING_OR_PRODUCTION</x:v>
      </x:c>
      <x:c r="L6" s="17" t="str">
        <x:v>PLANNED</x:v>
      </x:c>
      <x:c r="M6" s="17"/>
      <x:c r="N6" s="17"/>
      <x:c r="O6" s="17"/>
      <x:c r="P6" s="17"/>
      <x:c r="Q6" s="17" t="str">
        <x:v>artifacts/verification/M2-000/m2-contract-freeze.json#migrationContract</x:v>
      </x:c>
      <x:c r="R6" s="17" t="str">
        <x:v>M2-000仅冻结迁移顺序、不变量与恢复策略；未创建或应用任何M2迁移</x:v>
      </x:c>
    </x:row>
    <x:row r="7" ht="23" customHeight="1">
      <x:c r="A7" s="17" t="str">
        <x:v>MIG-006</x:v>
      </x:c>
      <x:c r="B7" s="17" t="str">
        <x:v>M2</x:v>
      </x:c>
      <x:c r="C7" s="17" t="str">
        <x:v>20260809074000_m2_product_two_layer_model</x:v>
      </x:c>
      <x:c r="D7" s="17" t="str">
        <x:v>MIG-005</x:v>
      </x:c>
      <x:c r="E7" s="17" t="str">
        <x:v>SupplierProduct/SupplierProductSku</x:v>
      </x:c>
      <x:c r="F7" s="17" t="str">
        <x:v>供应商商品草稿</x:v>
      </x:c>
      <x:c r="G7" s="17" t="str">
        <x:v>由阶段切片生成Prisma migration；事务/分批策略按数据量确定</x:v>
      </x:c>
      <x:c r="H7" s="17" t="str">
        <x:v>已发布迁移不回改；失败前恢复备份或创建向前修复迁移；应用版本可回退时保持schema兼容窗口</x:v>
      </x:c>
      <x:c r="I7" s="17" t="str">
        <x:v>阶段实现时明确批次、断点、校验和</x:v>
      </x:c>
      <x:c r="J7" s="17" t="str">
        <x:v>商品页面价格字段物理/DTO隔离；prisma validate；空库/升级路径dry-run；关键不变量SQL</x:v>
      </x:c>
      <x:c r="K7" s="17" t="str">
        <x:v>BEFORE_STAGING_OR_PRODUCTION</x:v>
      </x:c>
      <x:c r="L7" s="17" t="str">
        <x:v>LOCAL_PASS</x:v>
      </x:c>
      <x:c r="M7" s="17" t="str">
        <x:v>PRISMA_MIGRATION_REHEARSAL_OK:empty=2:upgrade=2:restore=2:product=12:cleanup=PASS</x:v>
      </x:c>
      <x:c r="N7" s="17"/>
      <x:c r="O7" s="17"/>
      <x:c r="P7" s="17" t="str">
        <x:v>575109830ad9b23407a22ea417a9180b0dc14000</x:v>
      </x:c>
      <x:c r="Q7" s="17" t="str">
        <x:v>packages/db/prisma/migrations/20260809074000_m2_product_two_layer_model/migration.sql</x:v>
      </x:c>
      <x:c r="R7" s="17" t="str">
        <x:v>本切片合并原冻结MIG-006/MIG-007为单个原子迁移；真实staging/production未应用。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x:c r="O8" s="17"/>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x:c r="N9" s="17"/>
      <x:c r="O9" s="17"/>
      <x:c r="P9" s="17"/>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x:c r="N10" s="17"/>
      <x:c r="O10" s="17"/>
      <x:c r="P10" s="17"/>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x:c r="N11" s="17"/>
      <x:c r="O11" s="17"/>
      <x:c r="P11" s="17"/>
      <x:c r="Q11" s="17"/>
      <x:c r="R11" s="17"/>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x:c r="N12" s="17"/>
      <x:c r="O12" s="17"/>
      <x:c r="P12" s="17"/>
      <x:c r="Q12" s="17"/>
      <x:c r="R12" s="17"/>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x:c r="N13" s="17"/>
      <x:c r="O13" s="17"/>
      <x:c r="P13" s="17"/>
      <x:c r="Q13" s="17"/>
      <x:c r="R13" s="17"/>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x:c r="N14" s="17"/>
      <x:c r="O14" s="17"/>
      <x:c r="P14" s="17"/>
      <x:c r="Q14" s="17"/>
      <x:c r="R14" s="17"/>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x:c r="N15" s="17"/>
      <x:c r="O15" s="17"/>
      <x:c r="P15" s="17"/>
      <x:c r="Q15" s="17"/>
      <x:c r="R15" s="17"/>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x:c r="N16" s="17"/>
      <x:c r="O16" s="17"/>
      <x:c r="P16" s="17"/>
      <x:c r="Q16" s="17"/>
      <x:c r="R16" s="17"/>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x:c r="N17" s="17"/>
      <x:c r="O17" s="17"/>
      <x:c r="P17" s="17"/>
      <x:c r="Q17" s="17"/>
      <x:c r="R17" s="17"/>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x:c r="N18" s="17"/>
      <x:c r="O18" s="17"/>
      <x:c r="P18" s="17"/>
      <x:c r="Q18" s="17"/>
      <x:c r="R18" s="17"/>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x:c r="N19" s="17"/>
      <x:c r="O19" s="17"/>
      <x:c r="P19" s="17"/>
      <x:c r="Q19" s="17"/>
      <x:c r="R19" s="17"/>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x:c r="N20" s="17"/>
      <x:c r="O20" s="17"/>
      <x:c r="P20" s="17"/>
      <x:c r="Q20" s="17"/>
      <x:c r="R20" s="17"/>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x:c r="N21" s="17"/>
      <x:c r="O21" s="17"/>
      <x:c r="P21" s="17"/>
      <x:c r="Q21" s="17"/>
      <x:c r="R21" s="17"/>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x:c r="N22" s="17"/>
      <x:c r="O22" s="17"/>
      <x:c r="P22" s="17"/>
      <x:c r="Q22" s="17"/>
      <x:c r="R22" s="17"/>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x:c r="N23" s="18"/>
      <x:c r="O23" s="18"/>
      <x:c r="P23" s="18"/>
      <x:c r="Q23" s="18"/>
      <x:c r="R23" s="18"/>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2006c842288450a"/>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阶段</x:v>
      </x:c>
      <x:c r="C1" s="15" t="str">
        <x:v>领域</x:v>
      </x:c>
      <x:c r="D1" s="15" t="str">
        <x:v>方法</x:v>
      </x:c>
      <x:c r="E1" s="15" t="str">
        <x:v>路径</x:v>
      </x:c>
      <x:c r="F1" s="15" t="str">
        <x:v>角色</x:v>
      </x:c>
      <x:c r="G1" s="15" t="str">
        <x:v>请求DTO</x:v>
      </x:c>
      <x:c r="H1" s="15" t="str">
        <x:v>响应DTO</x:v>
      </x:c>
      <x:c r="I1" s="15" t="str">
        <x:v>统一响应</x:v>
      </x:c>
      <x:c r="J1" s="15" t="str">
        <x:v>错误码</x:v>
      </x:c>
      <x:c r="K1" s="15" t="str">
        <x:v>幂等</x:v>
      </x:c>
      <x:c r="L1" s="15" t="str">
        <x:v>敏感字段策略</x:v>
      </x:c>
      <x:c r="M1" s="15" t="str">
        <x:v>金额规则</x:v>
      </x:c>
      <x:c r="N1" s="15" t="str">
        <x:v>P0</x:v>
      </x:c>
      <x:c r="O1" s="15" t="str">
        <x:v>OpenAPI状态</x:v>
      </x:c>
      <x:c r="P1" s="15" t="str">
        <x:v>DTO状态</x:v>
      </x:c>
      <x:c r="Q1" s="15" t="str">
        <x:v>错误码状态</x:v>
      </x:c>
      <x:c r="R1" s="15" t="str">
        <x:v>契约测试</x:v>
      </x:c>
      <x:c r="S1" s="15" t="str">
        <x:v>负责人</x:v>
      </x:c>
      <x:c r="T1" s="16" t="str">
        <x:v>备注</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x:v>
      </x:c>
      <x:c r="H17" s="17" t="str">
        <x:v>CategoryTreeResponse</x:v>
      </x:c>
      <x:c r="I17" s="17" t="str">
        <x:v>{success,data,error:{code,message,details?},requestId}</x:v>
      </x:c>
      <x:c r="J17" s="17" t="str">
        <x:v>COMMON_AUTH_VALIDATION_ERRORS</x:v>
      </x:c>
      <x:c r="K17" s="17" t="str">
        <x:v>NONE</x:v>
      </x:c>
      <x:c r="L17" s="17" t="str">
        <x:v>NEVER_RETURN; DTO白名单；对象归属校验先于查询结果返回</x:v>
      </x:c>
      <x:c r="M17" s="17" t="str">
        <x:v>金额字段整数分；服务端重算；禁止客户端提交供应价或结算快照</x:v>
      </x:c>
      <x:c r="N17" s="17" t="str">
        <x:v>P0-011</x:v>
      </x:c>
      <x:c r="O17" s="17" t="str">
        <x:v>PLANNED</x:v>
      </x:c>
      <x:c r="P17" s="17" t="str">
        <x:v>PLANNED</x:v>
      </x:c>
      <x:c r="Q17" s="17" t="str">
        <x:v>PLANNED</x:v>
      </x:c>
      <x:c r="R17" s="17" t="str">
        <x:v>FREEZE:tests/contracts/m2-contract-freeze.contract.test.mjs;RUNTIME:TO_BE_CREATED</x:v>
      </x:c>
      <x:c r="S17" s="17" t="str">
        <x:v>CODEX</x:v>
      </x:c>
      <x:c r="T17" s="17" t="str">
        <x:v>M2-000已冻结DTO、错误码、权限、幂等和敏感字段策略；OpenAPI及运行时实现仍为PLANNED/NOT_IMPLEMENTED</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x:v>
      </x:c>
      <x:c r="H18" s="17" t="str">
        <x:v>CategoryResponse</x:v>
      </x:c>
      <x:c r="I18" s="17" t="str">
        <x:v>{success,data,error:{code,message,details?},requestId}</x:v>
      </x:c>
      <x:c r="J18" s="17" t="str">
        <x:v>CATEGORY_PARENT_INVALID|CATEGORY_LEVEL_INVALID</x:v>
      </x:c>
      <x:c r="K18" s="17" t="str">
        <x:v>Idempotency-Key</x:v>
      </x:c>
      <x:c r="L18" s="17" t="str">
        <x:v>NEVER_RETURN; DTO白名单；对象归属校验先于查询结果返回</x:v>
      </x:c>
      <x:c r="M18" s="17" t="str">
        <x:v>金额字段整数分；服务端重算；禁止客户端提交供应价或结算快照</x:v>
      </x:c>
      <x:c r="N18" s="17" t="str">
        <x:v>P0-011</x:v>
      </x:c>
      <x:c r="O18" s="17" t="str">
        <x:v>PLANNED</x:v>
      </x:c>
      <x:c r="P18" s="17" t="str">
        <x:v>PLANNED</x:v>
      </x:c>
      <x:c r="Q18" s="17" t="str">
        <x:v>PLANNED</x:v>
      </x:c>
      <x:c r="R18" s="17" t="str">
        <x:v>FREEZE:tests/contracts/m2-contract-freeze.contract.test.mjs;RUNTIME:TO_BE_CREATED</x:v>
      </x:c>
      <x:c r="S18" s="17" t="str">
        <x:v>CODEX</x:v>
      </x:c>
      <x:c r="T18" s="17" t="str">
        <x:v>M2-000已冻结DTO、错误码、权限、幂等和敏感字段策略；OpenAPI及运行时实现仍为PLANNED/NOT_IMPLEMENTED</x:v>
      </x:c>
    </x:row>
    <x:row r="19" ht="23" customHeight="1">
      <x:c r="A19" s="17" t="str">
        <x:v>API-018</x:v>
      </x:c>
      <x:c r="B19" s="17" t="str">
        <x:v>M2</x:v>
      </x:c>
      <x:c r="C19" s="17" t="str">
        <x:v>category-templates</x:v>
      </x:c>
      <x:c r="D19" s="17" t="str">
        <x:v>POST</x:v>
      </x:c>
      <x:c r="E19" s="17" t="str">
        <x:v>/v1/company/categories/{categoryId}/template-versions</x:v>
      </x:c>
      <x:c r="F19" s="17" t="str">
        <x:v>COMPANY_PRODUCT_OPS</x:v>
      </x:c>
      <x:c r="G19" s="17" t="str">
        <x:v>CategoryTemplateVersionRequest</x:v>
      </x:c>
      <x:c r="H19" s="17" t="str">
        <x:v>CategoryTemplateResponse</x:v>
      </x:c>
      <x:c r="I19" s="17" t="str">
        <x:v>{success,data,error:{code,message,details?},requestId}</x:v>
      </x:c>
      <x:c r="J19" s="17" t="str">
        <x:v>TEMPLATE_SCHEMA_INVALID</x:v>
      </x:c>
      <x:c r="K19" s="17" t="str">
        <x:v>Idempotency-Key</x:v>
      </x:c>
      <x:c r="L19" s="17" t="str">
        <x:v>NEVER_RETURN; DTO白名单；对象归属校验先于查询结果返回</x:v>
      </x:c>
      <x:c r="M19" s="17" t="str">
        <x:v>金额字段整数分；服务端重算；禁止客户端提交供应价或结算快照</x:v>
      </x:c>
      <x:c r="N19" s="17" t="str">
        <x:v>P0-012,P0-018</x:v>
      </x:c>
      <x:c r="O19" s="17" t="str">
        <x:v>PLANNED</x:v>
      </x:c>
      <x:c r="P19" s="17" t="str">
        <x:v>PLANNED</x:v>
      </x:c>
      <x:c r="Q19" s="17" t="str">
        <x:v>PLANNED</x:v>
      </x:c>
      <x:c r="R19" s="17" t="str">
        <x:v>FREEZE:tests/contracts/m2-contract-freeze.contract.test.mjs;RUNTIME:TO_BE_CREATED</x:v>
      </x:c>
      <x:c r="S19" s="17" t="str">
        <x:v>CODEX</x:v>
      </x:c>
      <x:c r="T19" s="17" t="str">
        <x:v>M2-000已冻结DTO、错误码、权限、幂等和敏感字段策略；OpenAPI及运行时实现仍为PLANNED/NOT_IMPLEMENTED</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x:v>
      </x:c>
      <x:c r="H20" s="17" t="str">
        <x:v>SupplierProductResponse</x:v>
      </x:c>
      <x:c r="I20" s="17" t="str">
        <x:v>{success,data,error:{code,message,details?},requestId}</x:v>
      </x:c>
      <x:c r="J20" s="17" t="str">
        <x:v>CATEGORY_TEMPLATE_INVALID|PRICE_FIELD_FORBIDDEN</x:v>
      </x:c>
      <x:c r="K20" s="17" t="str">
        <x:v>Idempotency-Key</x:v>
      </x:c>
      <x:c r="L20" s="17" t="str">
        <x:v>NEVER_RETURN; DTO白名单；对象归属校验先于查询结果返回</x:v>
      </x:c>
      <x:c r="M20" s="17" t="str">
        <x:v>金额字段整数分；服务端重算；禁止客户端提交供应价或结算快照</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确定性OpenAPI已生成；固定供应商商品职能会话、幂等与DTO白名单通过本地测试；CI待执行。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x:v>
      </x:c>
      <x:c r="H21" s="17" t="str">
        <x:v>SupplierProductResponse</x:v>
      </x:c>
      <x:c r="I21" s="17" t="str">
        <x:v>{success,data,error:{code,message,details?},requestId}</x:v>
      </x:c>
      <x:c r="J21" s="17" t="str">
        <x:v>SUPPLIER_SCOPE_FORBIDDEN|VERSION_CONFLICT|PRICE_FIELD_FORBIDDEN</x:v>
      </x:c>
      <x:c r="K21" s="17" t="str">
        <x:v>Idempotency-Key</x:v>
      </x:c>
      <x:c r="L21" s="17" t="str">
        <x:v>NEVER_RETURN; DTO白名单；对象归属校验先于查询结果返回</x:v>
      </x:c>
      <x:c r="M21" s="17" t="str">
        <x:v>金额字段整数分；服务端重算；禁止客户端提交供应价或结算快照</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确定性OpenAPI已生成；固定供应商商品职能会话、幂等与DTO白名单通过本地测试；CI待执行。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SubmitMaterialRequest</x:v>
      </x:c>
      <x:c r="H22" s="17" t="str">
        <x:v>ApprovalTaskResponse</x:v>
      </x:c>
      <x:c r="I22" s="17" t="str">
        <x:v>{success,data,error:{code,message,details?},requestId}</x:v>
      </x:c>
      <x:c r="J22" s="17" t="str">
        <x:v>TEMPLATE_VALIDATION_FAILED|STATE_TRANSITION_INVALID</x:v>
      </x:c>
      <x:c r="K22" s="17" t="str">
        <x:v>Idempotency-Key</x:v>
      </x:c>
      <x:c r="L22" s="17" t="str">
        <x:v>NEVER_RETURN; DTO白名单；对象归属校验先于查询结果返回</x:v>
      </x:c>
      <x:c r="M22" s="17" t="str">
        <x:v>金额字段整数分；服务端重算；禁止客户端提交供应价或结算快照</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确定性OpenAPI已生成；固定供应商商品职能会话、幂等与DTO白名单通过本地测试；CI待执行。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CatalogContextQuery</x:v>
      </x:c>
      <x:c r="H31" s="17" t="str">
        <x:v>PublicProductDetailResponse</x:v>
      </x:c>
      <x:c r="I31" s="17" t="str">
        <x:v>{success,data,error:{code,message,details?},requestId}</x:v>
      </x:c>
      <x:c r="J31" s="17" t="str">
        <x:v>PRODUCT_NOT_SALEABLE</x:v>
      </x:c>
      <x:c r="K31" s="17" t="str">
        <x:v>NONE</x:v>
      </x:c>
      <x:c r="L31" s="17" t="str">
        <x:v>NEVER_RETURN; DTO白名单；对象归属校验先于查询结果返回</x:v>
      </x:c>
      <x:c r="M31" s="17" t="str">
        <x:v>金额字段整数分；服务端重算；禁止客户端提交供应价或结算快照</x:v>
      </x:c>
      <x:c r="N31" s="17" t="str">
        <x:v>P0-021,P0-088</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x:v>
      </x:c>
      <x:c r="K32" s="17" t="str">
        <x:v>NONE</x:v>
      </x:c>
      <x:c r="L32" s="17" t="str">
        <x:v>NEVER_RETURN; DTO白名单；对象归属校验先于查询结果返回</x:v>
      </x:c>
      <x:c r="M32" s="17" t="str">
        <x:v>金额字段整数分；服务端重算；禁止客户端提交供应价或结算快照</x:v>
      </x:c>
      <x:c r="N32" s="17" t="str">
        <x:v>P0-010,P0-089</x:v>
      </x:c>
      <x:c r="O32" s="17" t="str">
        <x:v>PLANNED</x:v>
      </x:c>
      <x:c r="P32" s="17" t="str">
        <x:v>PLANNED</x:v>
      </x:c>
      <x:c r="Q32" s="17" t="str">
        <x:v>PLANNED</x:v>
      </x:c>
      <x:c r="R32" s="17" t="str">
        <x:v>TO_BE_CREATED</x:v>
      </x:c>
      <x:c r="S32" s="17" t="str">
        <x:v>UNASSIGNED</x:v>
      </x:c>
      <x:c r="T32" s="17" t="str">
        <x:v>路径为执行初始契约；阶段M*-000冻结后方可编码</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SELLER_IDENTITY_FORBIDDEN|PAYEE_FORBIDDEN|SINGLE_MERCHANT_VIOLATION</x:v>
      </x:c>
      <x:c r="K82" s="189" t="str">
        <x:v>NONE</x:v>
      </x:c>
      <x:c r="L82" s="189" t="str">
        <x:v>NEVER_RETURN；DTO白名单；wechatPayConfigRef/companyId/supplierId/status不返回；禁止客户端覆盖交易主体</x:v>
      </x:c>
      <x:c r="M82" s="189" t="str">
        <x:v>N/A</x:v>
      </x:c>
      <x:c r="N82" s="189" t="str">
        <x:v>P0-001</x:v>
      </x:c>
      <x:c r="O82" s="189" t="str">
        <x:v>GENERATED</x:v>
      </x:c>
      <x:c r="P82" s="189" t="str">
        <x:v>IMPLEMENTED</x:v>
      </x:c>
      <x:c r="Q82" s="189" t="str">
        <x:v>IMPLEMENTED</x:v>
      </x:c>
      <x:c r="R82" s="189" t="str">
        <x:v>apps/api/test/supertest/single-merchant-api.test.mjs；tests/contracts/m1-p001-single-merchant.contract.test.mjs</x:v>
      </x:c>
      <x:c r="S82" s="189" t="str">
        <x:v>CODEX</x:v>
      </x:c>
      <x:c r="T82" s="189" t="str">
        <x:v>M1-P001任务内契约细化；只读公开主体白名单；不实现交易/支付/退款阶段外能力</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eec7e06ec83458b"/>
  </x:tableParts>
</x:worksheet>
</file>