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aa6d53b245f949fb" /></Relationships>
</file>

<file path=xl/workbook.xml><?xml version="1.0" encoding="utf-8"?>
<x:workbook xmlns:x="http://schemas.openxmlformats.org/spreadsheetml/2006/main">
  <x:sheets>
    <x:sheet xmlns:r="http://schemas.openxmlformats.org/officeDocument/2006/relationships" name="总控看板" sheetId="1" r:id="R7d4f49f22f9044d3"/>
    <x:sheet xmlns:r="http://schemas.openxmlformats.org/officeDocument/2006/relationships" name="阶段门禁" sheetId="2" r:id="R7280711c1a404afb"/>
    <x:sheet xmlns:r="http://schemas.openxmlformats.org/officeDocument/2006/relationships" name="任务台账" sheetId="3" r:id="R890dbeb965744633"/>
    <x:sheet xmlns:r="http://schemas.openxmlformats.org/officeDocument/2006/relationships" name="P0验收矩阵" sheetId="4" r:id="Rc52cef23a68c4838"/>
    <x:sheet xmlns:r="http://schemas.openxmlformats.org/officeDocument/2006/relationships" name="字段字典" sheetId="5" r:id="Rd2551d30dda8446b"/>
    <x:sheet xmlns:r="http://schemas.openxmlformats.org/officeDocument/2006/relationships" name="状态机" sheetId="6" r:id="R1b00e0b5f28b4e97"/>
    <x:sheet xmlns:r="http://schemas.openxmlformats.org/officeDocument/2006/relationships" name="权限矩阵" sheetId="7" r:id="R85614819b1874b0a"/>
    <x:sheet xmlns:r="http://schemas.openxmlformats.org/officeDocument/2006/relationships" name="页面映射" sheetId="8" r:id="Rcb1b0d218d3441f4"/>
    <x:sheet xmlns:r="http://schemas.openxmlformats.org/officeDocument/2006/relationships" name="外部依赖" sheetId="9" r:id="Re7d1c7f2edb344a4"/>
    <x:sheet xmlns:r="http://schemas.openxmlformats.org/officeDocument/2006/relationships" name="测试证据" sheetId="10" r:id="Re634b2862d244dc4"/>
    <x:sheet xmlns:r="http://schemas.openxmlformats.org/officeDocument/2006/relationships" name="迁移台账" sheetId="11" r:id="R39de8348c5d64c23"/>
    <x:sheet xmlns:r="http://schemas.openxmlformats.org/officeDocument/2006/relationships" name="API台账" sheetId="12" r:id="Rb63d93aafa734ee9"/>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2">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s>
  <x:fills count="1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19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e722ac9d2d947d7" /><Relationship Type="http://schemas.openxmlformats.org/officeDocument/2006/relationships/theme" Target="/xl/theme/theme1.xml" Id="R2bfb52bb422244b2" /><Relationship Type="http://schemas.openxmlformats.org/officeDocument/2006/relationships/sharedStrings" Target="/xl/sharedStrings.xml" Id="R844136073f4c47d9" /><Relationship Type="http://schemas.openxmlformats.org/officeDocument/2006/relationships/worksheet" Target="/xl/worksheets/sheet1.xml" Id="R7d4f49f22f9044d3" /><Relationship Type="http://schemas.openxmlformats.org/officeDocument/2006/relationships/worksheet" Target="/xl/worksheets/sheet2.xml" Id="R7280711c1a404afb" /><Relationship Type="http://schemas.openxmlformats.org/officeDocument/2006/relationships/worksheet" Target="/xl/worksheets/sheet3.xml" Id="R890dbeb965744633" /><Relationship Type="http://schemas.openxmlformats.org/officeDocument/2006/relationships/worksheet" Target="/xl/worksheets/sheet4.xml" Id="Rc52cef23a68c4838" /><Relationship Type="http://schemas.openxmlformats.org/officeDocument/2006/relationships/worksheet" Target="/xl/worksheets/sheet5.xml" Id="Rd2551d30dda8446b" /><Relationship Type="http://schemas.openxmlformats.org/officeDocument/2006/relationships/worksheet" Target="/xl/worksheets/sheet6.xml" Id="R1b00e0b5f28b4e97" /><Relationship Type="http://schemas.openxmlformats.org/officeDocument/2006/relationships/worksheet" Target="/xl/worksheets/sheet7.xml" Id="R85614819b1874b0a" /><Relationship Type="http://schemas.openxmlformats.org/officeDocument/2006/relationships/worksheet" Target="/xl/worksheets/sheet8.xml" Id="Rcb1b0d218d3441f4" /><Relationship Type="http://schemas.openxmlformats.org/officeDocument/2006/relationships/worksheet" Target="/xl/worksheets/sheet9.xml" Id="Re7d1c7f2edb344a4" /><Relationship Type="http://schemas.openxmlformats.org/officeDocument/2006/relationships/worksheet" Target="/xl/worksheets/sheet10.xml" Id="Re634b2862d244dc4" /><Relationship Type="http://schemas.openxmlformats.org/officeDocument/2006/relationships/worksheet" Target="/xl/worksheets/sheet11.xml" Id="R39de8348c5d64c23" /><Relationship Type="http://schemas.openxmlformats.org/officeDocument/2006/relationships/worksheet" Target="/xl/worksheets/sheet12.xml" Id="Rb63d93aafa734ee9" /><Relationship Type="http://schemas.microsoft.com/office/2017/10/relationships/person" Target="/xl/persons/person.xml" Id="Rf9291a9c44714c4f"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c8931fd501c5442f" /></Relationships>
</file>

<file path=xl/worksheets/_rels/sheet3.xml.rels>&#65279;<?xml version="1.0" encoding="utf-8"?><Relationships xmlns="http://schemas.openxmlformats.org/package/2006/relationships"><Relationship Type="http://schemas.openxmlformats.org/officeDocument/2006/relationships/table" Target="/xl/tables/table2.xml" Id="R0393d6b45fc740cf" /></Relationships>
</file>

<file path=xl/worksheets/_rels/sheet4.xml.rels>&#65279;<?xml version="1.0" encoding="utf-8"?><Relationships xmlns="http://schemas.openxmlformats.org/package/2006/relationships"><Relationship Type="http://schemas.openxmlformats.org/officeDocument/2006/relationships/table" Target="/xl/tables/table3.xml" Id="R5725b7024cbe40ec" /></Relationships>
</file>

<file path=xl/worksheets/_rels/sheet5.xml.rels>&#65279;<?xml version="1.0" encoding="utf-8"?><Relationships xmlns="http://schemas.openxmlformats.org/package/2006/relationships"><Relationship Type="http://schemas.openxmlformats.org/officeDocument/2006/relationships/table" Target="/xl/tables/table4.xml" Id="R35da5c72bca846eb" /></Relationships>
</file>

<file path=xl/worksheets/_rels/sheet6.xml.rels>&#65279;<?xml version="1.0" encoding="utf-8"?><Relationships xmlns="http://schemas.openxmlformats.org/package/2006/relationships"><Relationship Type="http://schemas.openxmlformats.org/officeDocument/2006/relationships/table" Target="/xl/tables/table5.xml" Id="R56df20bfe8ab49fd" /></Relationships>
</file>

<file path=xl/worksheets/_rels/sheet7.xml.rels>&#65279;<?xml version="1.0" encoding="utf-8"?><Relationships xmlns="http://schemas.openxmlformats.org/package/2006/relationships"><Relationship Type="http://schemas.openxmlformats.org/officeDocument/2006/relationships/table" Target="/xl/tables/table6.xml" Id="R8f18d19e752b4b45" /></Relationships>
</file>

<file path=xl/worksheets/_rels/sheet8.xml.rels>&#65279;<?xml version="1.0" encoding="utf-8"?><Relationships xmlns="http://schemas.openxmlformats.org/package/2006/relationships"><Relationship Type="http://schemas.openxmlformats.org/officeDocument/2006/relationships/table" Target="/xl/tables/table7.xml" Id="R8a1a773757014cc8" /></Relationships>
</file>

<file path=xl/worksheets/_rels/sheet9.xml.rels>&#65279;<?xml version="1.0" encoding="utf-8"?><Relationships xmlns="http://schemas.openxmlformats.org/package/2006/relationships"><Relationship Type="http://schemas.openxmlformats.org/officeDocument/2006/relationships/table" Target="/xl/tables/table8.xml" Id="R84e720e03f0d47aa" /></Relationships>
</file>

<file path=xl/worksheets/_rels/sheet10.xml.rels>&#65279;<?xml version="1.0" encoding="utf-8"?><Relationships xmlns="http://schemas.openxmlformats.org/package/2006/relationships"><Relationship Type="http://schemas.openxmlformats.org/officeDocument/2006/relationships/table" Target="/xl/tables/table9.xml" Id="Rafc9b3119df5438f" /></Relationships>
</file>

<file path=xl/worksheets/_rels/sheet11.xml.rels>&#65279;<?xml version="1.0" encoding="utf-8"?><Relationships xmlns="http://schemas.openxmlformats.org/package/2006/relationships"><Relationship Type="http://schemas.openxmlformats.org/officeDocument/2006/relationships/table" Target="/xl/tables/table10.xml" Id="R8a1f6ff528ea46b6" /></Relationships>
</file>

<file path=xl/worksheets/_rels/sheet12.xml.rels>&#65279;<?xml version="1.0" encoding="utf-8"?><Relationships xmlns="http://schemas.openxmlformats.org/package/2006/relationships"><Relationship Type="http://schemas.openxmlformats.org/officeDocument/2006/relationships/table" Target="/xl/tables/table11.xml" Id="Raa7c2d52be824ee2"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当前：M2_IN_PROGRESS · main@09433c0 CI_PASS · M2-P063唯一IN_PROGRESS · focused与MySQL演练LOCAL_PASS · 最终verify/PR/CI待执行 · M2-P071及以后锁定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f>COUNTA('任务台账'!$A$2:$A$150)</x:f>
        <x:v>149</x:v>
      </x:c>
      <x:c r="B6" s="54"/>
      <x:c r="C6" s="187"/>
      <x:c r="D6" s="82" t="n">
        <x:v>45</x:v>
      </x:c>
      <x:c r="E6" s="83"/>
      <x:c r="F6" s="187"/>
      <x:c r="G6" s="109" t="n">
        <x:v>30</x:v>
      </x:c>
      <x:c r="H6" s="110"/>
      <x:c r="I6" s="187"/>
      <x:c r="J6" s="138" t="n">
        <x:f>COUNTIF('外部依赖'!$F$2:$F$29,"NOT_PROVIDED")</x:f>
        <x:v>27</x:v>
      </x:c>
      <x:c r="K6" s="139" t="n">
        <x:v>27</x:v>
      </x:c>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f>COUNTIF('任务台账'!$C$2:$C$150,A13)</x:f>
        <x:v>20</x:v>
      </x:c>
      <x:c r="D13" s="152" t="n">
        <x:v>16</x:v>
      </x:c>
      <x:c r="E13" s="152" t="n">
        <x:f>COUNTIF('P0验收矩阵'!$C$2:$C$120,A13)</x:f>
        <x:v>18</x:v>
      </x:c>
      <x:c r="F13" s="152" t="n">
        <x:v>16</x:v>
      </x:c>
      <x:c r="G13" s="152" t="str">
        <x:f>INDEX('阶段门禁'!$N$2:$N$8,MATCH(A13,'阶段门禁'!$A$2:$A$8,0))</x:f>
        <x:v>IN_PROGRESS</x:v>
      </x:c>
      <x:c r="H13" s="152" t="str">
        <x:v>LOCAL_PASS</x:v>
      </x:c>
      <x:c r="I13" s="152" t="str">
        <x:v>P063 focused通过，完整verify待重跑</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LOCAL_PASS")+COUNTIFS('P0验收矩阵'!$C$2:$C$120,A14,'P0验收矩阵'!$I$2:$I$120,"CI_PASS")+COUNTIFS('P0验收矩阵'!$C$2:$C$120,A14,'P0验收矩阵'!$I$2:$I$120,"STAGING_PASS")+COUNTIFS('P0验收矩阵'!$C$2:$C$120,A14,'P0验收矩阵'!$I$2:$I$120,"DEVICE_PASS")+COUNTIFS('P0验收矩阵'!$C$2:$C$120,A14,'P0验收矩阵'!$I$2:$I$120,"PRODUCTION_PASS")</x:f>
        <x:v>0</x:v>
      </x:c>
      <x:c r="G14" s="152" t="str">
        <x:f>INDEX('阶段门禁'!$N$2:$N$8,MATCH(A14,'阶段门禁'!$A$2:$A$8,0))</x:f>
        <x:v>LOCKED</x:v>
      </x:c>
      <x:c r="H14" s="152" t="str">
        <x:f>INDEX('阶段门禁'!$O$2:$O$8,MATCH(A14,'阶段门禁'!$A$2:$A$8,0))</x:f>
        <x:v>NOT_EXECUTED</x:v>
      </x:c>
      <x:c r="I14" s="152" t="str">
        <x:f>IF(G14="GATE_PASSED","PASSED",IF(G14="IN_PROGRESS","PR门禁待完成","LOCKED"))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89</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1</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29</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f>COUNTIF('P0验收矩阵'!$I$2:$I$120,A23)</x:f>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f>COUNTIF('P0验收矩阵'!$I$2:$I$120,A24)</x:f>
        <x:v>0</x:v>
      </x:c>
      <x:c r="C24" s="188" t="str">
        <x:v>要求的微信真机通过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M1-GATE PASS；M2-P006至M2-P061均已合并main且合并后CI_PASS；M2-P063唯一活动切片已完成RED、最小实现、focused与MySQL演练，本地最终verify、Draft PR和exact-head CI待执行；M2-P071及以后锁定。</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IN_PROGRESS</x:v>
      </x:c>
      <x:c r="O4" s="17" t="str">
        <x:v>LOCAL_PASS</x:v>
      </x:c>
      <x:c r="P4" s="17" t="str"/>
      <x:c r="Q4" s="17" t="str"/>
      <x:c r="R4" s="17" t="str">
        <x:v>M2-P006至M2-P061均已合并main且合并后CI_PASS；M2-P063本地focused与MySQL演练通过，完整17步重跑、Draft PR及exact-head CI待执行；M2-P071及M3锁定。</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LOCKED</x:v>
      </x:c>
      <x:c r="O5" s="17" t="str">
        <x:v>NOT_EXECUTED</x:v>
      </x:c>
      <x:c r="P5" s="17" t="str"/>
      <x:c r="Q5" s="17" t="str"/>
      <x:c r="R5" s="17" t="str"/>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c8931fd501c5442f"/>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IN_PROGRESS</x:v>
      </x:c>
      <x:c r="N48" s="17" t="str">
        <x:v>LOCAL_PASS</x:v>
      </x:c>
      <x:c r="O48" s="17" t="str">
        <x:v>CODEX</x:v>
      </x:c>
      <x:c r="P48" s="17" t="str">
        <x:v>https://github.com/EasyStep-lee/flt1/issues/69</x:v>
      </x:c>
      <x:c r="Q48" s="17" t="str">
        <x:v>codex/m2-m2-p063</x:v>
      </x:c>
      <x:c r="R48" s="17" t="str">
        <x:v>codex/m2-shared-inventory-balance</x:v>
      </x:c>
      <x:c r="S48" s="17" t="str">
        <x:v>b9dd2bfd69c9f9b4afca55f813be7f91026c802e</x:v>
      </x:c>
      <x:c r="T48" s="17" t="str"/>
      <x:c r="U48" s="17" t="str">
        <x:v>NOT_EXECUTED</x:v>
      </x:c>
      <x:c r="V48" s="17" t="str">
        <x:v>NO</x:v>
      </x:c>
      <x:c r="W48" s="17" t="str">
        <x:v>回退应用代码；已应用环境保留库存历史并使用向前迁移修复</x:v>
      </x:c>
      <x:c r="X48" s="17" t="n">
        <x:v>46246.45685185185</x:v>
      </x:c>
      <x:c r="Y48" s="17" t="str">
        <x:v>RED API 2/2因路由404；GREEN API 2/2、内部领域2/2、契约与迁移2/2、供应商端4/4、focused P0 4/4及MySQL empty/upgrade/restore各2路径通过；完整verify已证明P0聚合通过，台账同步后须重跑17步。订单/支付/福利卡/超时任务不在范围；Draft PR与exact-head CI未执行。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NOT_STARTED</x:v>
      </x:c>
      <x:c r="N49" s="17" t="str">
        <x:v>NOT_EXECUTED</x:v>
      </x:c>
      <x:c r="O49" s="17" t="str">
        <x:v>UNASSIGNED</x:v>
      </x:c>
      <x:c r="P49" s="17" t="str"/>
      <x:c r="Q49" s="17" t="str">
        <x:v>codex/m2-m2-p071</x:v>
      </x:c>
      <x:c r="R49" s="17" t="str"/>
      <x:c r="S49" s="17" t="str"/>
      <x:c r="T49" s="17" t="str"/>
      <x:c r="U49" s="17" t="str"/>
      <x:c r="V49" s="17" t="str">
        <x:v>NO</x:v>
      </x:c>
      <x:c r="W49" s="17" t="str">
        <x:v>按原子提交回退；迁移仅向前修复</x:v>
      </x:c>
      <x:c r="X49" s="17" t="str"/>
      <x:c r="Y49" s="17" t="str"/>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NOT_STARTED</x:v>
      </x:c>
      <x:c r="N50" s="17" t="str">
        <x:v>NOT_EXECUTED</x:v>
      </x:c>
      <x:c r="O50" s="17" t="str">
        <x:v>UNASSIGNED</x:v>
      </x:c>
      <x:c r="P50" s="17" t="str"/>
      <x:c r="Q50" s="17" t="str">
        <x:v>codex/m2-m2</x:v>
      </x:c>
      <x:c r="R50" s="17" t="str"/>
      <x:c r="S50" s="17" t="str"/>
      <x:c r="T50" s="17" t="str"/>
      <x:c r="U50" s="17" t="str"/>
      <x:c r="V50" s="17" t="str">
        <x:v>YES</x:v>
      </x:c>
      <x:c r="W50" s="17" t="str">
        <x:v>按原子提交回退；迁移仅向前修复</x:v>
      </x:c>
      <x:c r="X50" s="17" t="str"/>
      <x:c r="Y50" s="17" t="str"/>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NOT_STARTED</x:v>
      </x:c>
      <x:c r="N51" s="17" t="str">
        <x:v>NOT_EXECUTED</x:v>
      </x:c>
      <x:c r="O51" s="17" t="str">
        <x:v>UNASSIGNED</x:v>
      </x:c>
      <x:c r="P51" s="17" t="str"/>
      <x:c r="Q51" s="17" t="str">
        <x:v>codex/m3-m3</x:v>
      </x:c>
      <x:c r="R51" s="17" t="str"/>
      <x:c r="S51" s="17" t="str"/>
      <x:c r="T51" s="17" t="str"/>
      <x:c r="U51" s="17" t="str"/>
      <x:c r="V51" s="17" t="str">
        <x:v>NO</x:v>
      </x:c>
      <x:c r="W51" s="17" t="str">
        <x:v>按原子提交回退；迁移仅向前修复</x:v>
      </x:c>
      <x:c r="X51" s="17" t="str"/>
      <x:c r="Y51" s="17" t="str"/>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NOT_STARTED</x:v>
      </x:c>
      <x:c r="N52" s="17" t="str">
        <x:v>NOT_EXECUTED</x:v>
      </x:c>
      <x:c r="O52" s="17" t="str">
        <x:v>UNASSIGNED</x:v>
      </x:c>
      <x:c r="P52" s="17" t="str"/>
      <x:c r="Q52" s="17" t="str">
        <x:v>codex/m3-m3-p020</x:v>
      </x:c>
      <x:c r="R52" s="17" t="str"/>
      <x:c r="S52" s="17" t="str"/>
      <x:c r="T52" s="17" t="str"/>
      <x:c r="U52" s="17" t="str"/>
      <x:c r="V52" s="17" t="str">
        <x:v>NO</x:v>
      </x:c>
      <x:c r="W52" s="17" t="str">
        <x:v>按原子提交回退；迁移仅向前修复</x:v>
      </x:c>
      <x:c r="X52" s="17" t="str"/>
      <x:c r="Y52" s="17" t="str"/>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NOT_STARTED</x:v>
      </x:c>
      <x:c r="N53" s="17" t="str">
        <x:v>NOT_EXECUTED</x:v>
      </x:c>
      <x:c r="O53" s="17" t="str">
        <x:v>UNASSIGNED</x:v>
      </x:c>
      <x:c r="P53" s="17" t="str"/>
      <x:c r="Q53" s="17" t="str">
        <x:v>codex/m3-m3-p022</x:v>
      </x:c>
      <x:c r="R53" s="17" t="str"/>
      <x:c r="S53" s="17" t="str"/>
      <x:c r="T53" s="17" t="str"/>
      <x:c r="U53" s="17" t="str"/>
      <x:c r="V53" s="17" t="str">
        <x:v>NO</x:v>
      </x:c>
      <x:c r="W53" s="17" t="str">
        <x:v>按原子提交回退；迁移仅向前修复</x:v>
      </x:c>
      <x:c r="X53" s="17" t="str"/>
      <x:c r="Y53" s="17" t="str"/>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NOT_STARTED</x:v>
      </x:c>
      <x:c r="N54" s="17" t="str">
        <x:v>NOT_EXECUTED</x:v>
      </x:c>
      <x:c r="O54" s="17" t="str">
        <x:v>UNASSIGNED</x:v>
      </x:c>
      <x:c r="P54" s="17" t="str"/>
      <x:c r="Q54" s="17" t="str">
        <x:v>codex/m3-m3-p023</x:v>
      </x:c>
      <x:c r="R54" s="17" t="str"/>
      <x:c r="S54" s="17" t="str"/>
      <x:c r="T54" s="17" t="str"/>
      <x:c r="U54" s="17" t="str"/>
      <x:c r="V54" s="17" t="str">
        <x:v>NO</x:v>
      </x:c>
      <x:c r="W54" s="17" t="str">
        <x:v>按原子提交回退；迁移仅向前修复</x:v>
      </x:c>
      <x:c r="X54" s="17" t="str"/>
      <x:c r="Y54" s="17" t="str"/>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NOT_STARTED</x:v>
      </x:c>
      <x:c r="N55" s="17" t="str">
        <x:v>NOT_EXECUTED</x:v>
      </x:c>
      <x:c r="O55" s="17" t="str">
        <x:v>UNASSIGNED</x:v>
      </x:c>
      <x:c r="P55" s="17" t="str"/>
      <x:c r="Q55" s="17" t="str">
        <x:v>codex/m3-m3-p024</x:v>
      </x:c>
      <x:c r="R55" s="17" t="str"/>
      <x:c r="S55" s="17" t="str"/>
      <x:c r="T55" s="17" t="str"/>
      <x:c r="U55" s="17" t="str"/>
      <x:c r="V55" s="17" t="str">
        <x:v>YES</x:v>
      </x:c>
      <x:c r="W55" s="17" t="str">
        <x:v>按原子提交回退；迁移仅向前修复</x:v>
      </x:c>
      <x:c r="X55" s="17" t="str"/>
      <x:c r="Y55" s="17" t="str"/>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NOT_STARTED</x:v>
      </x:c>
      <x:c r="N56" s="17" t="str">
        <x:v>NOT_EXECUTED</x:v>
      </x:c>
      <x:c r="O56" s="17" t="str">
        <x:v>UNASSIGNED</x:v>
      </x:c>
      <x:c r="P56" s="17" t="str"/>
      <x:c r="Q56" s="17" t="str">
        <x:v>codex/m3-m3-p025</x:v>
      </x:c>
      <x:c r="R56" s="17" t="str"/>
      <x:c r="S56" s="17" t="str"/>
      <x:c r="T56" s="17" t="str"/>
      <x:c r="U56" s="17" t="str"/>
      <x:c r="V56" s="17" t="str">
        <x:v>NO</x:v>
      </x:c>
      <x:c r="W56" s="17" t="str">
        <x:v>按原子提交回退；迁移仅向前修复</x:v>
      </x:c>
      <x:c r="X56" s="17" t="str"/>
      <x:c r="Y56" s="17" t="str"/>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t="str"/>
      <x:c r="Q57" s="17" t="str">
        <x:v>codex/m3-m3-p026</x:v>
      </x:c>
      <x:c r="R57" s="17" t="str"/>
      <x:c r="S57" s="17" t="str"/>
      <x:c r="T57" s="17" t="str"/>
      <x:c r="U57" s="17" t="str"/>
      <x:c r="V57" s="17" t="str">
        <x:v>YES</x:v>
      </x:c>
      <x:c r="W57" s="17" t="str">
        <x:v>按原子提交回退；迁移仅向前修复</x:v>
      </x:c>
      <x:c r="X57" s="17" t="str"/>
      <x:c r="Y57" s="17" t="str"/>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t="str"/>
      <x:c r="Q59" s="17" t="str">
        <x:v>codex/m3-m3-p028</x:v>
      </x:c>
      <x:c r="R59" s="17" t="str"/>
      <x:c r="S59" s="17" t="str"/>
      <x:c r="T59" s="17" t="str"/>
      <x:c r="U59" s="17" t="str"/>
      <x:c r="V59" s="17" t="str">
        <x:v>YES</x:v>
      </x:c>
      <x:c r="W59" s="17" t="str">
        <x:v>按原子提交回退；迁移仅向前修复</x:v>
      </x:c>
      <x:c r="X59" s="17" t="str"/>
      <x:c r="Y59" s="17" t="str"/>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t="str"/>
      <x:c r="Q60" s="17" t="str">
        <x:v>codex/m3-m3-p029</x:v>
      </x:c>
      <x:c r="R60" s="17" t="str"/>
      <x:c r="S60" s="17" t="str"/>
      <x:c r="T60" s="17" t="str"/>
      <x:c r="U60" s="17" t="str"/>
      <x:c r="V60" s="17" t="str">
        <x:v>NO</x:v>
      </x:c>
      <x:c r="W60" s="17" t="str">
        <x:v>按原子提交回退；迁移仅向前修复</x:v>
      </x:c>
      <x:c r="X60" s="17" t="str"/>
      <x:c r="Y60" s="17" t="str"/>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t="str"/>
      <x:c r="Q61" s="17" t="str">
        <x:v>codex/m3-m3-p030</x:v>
      </x:c>
      <x:c r="R61" s="17" t="str"/>
      <x:c r="S61" s="17" t="str"/>
      <x:c r="T61" s="17" t="str"/>
      <x:c r="U61" s="17" t="str"/>
      <x:c r="V61" s="17" t="str">
        <x:v>NO</x:v>
      </x:c>
      <x:c r="W61" s="17" t="str">
        <x:v>按原子提交回退；迁移仅向前修复</x:v>
      </x:c>
      <x:c r="X61" s="17" t="str"/>
      <x:c r="Y61" s="17" t="str"/>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t="str"/>
      <x:c r="Q62" s="17" t="str">
        <x:v>codex/m3-m3-p031</x:v>
      </x:c>
      <x:c r="R62" s="17" t="str"/>
      <x:c r="S62" s="17" t="str"/>
      <x:c r="T62" s="17" t="str"/>
      <x:c r="U62" s="17" t="str"/>
      <x:c r="V62" s="17" t="str">
        <x:v>NO</x:v>
      </x:c>
      <x:c r="W62" s="17" t="str">
        <x:v>按原子提交回退；迁移仅向前修复</x:v>
      </x:c>
      <x:c r="X62" s="17" t="str"/>
      <x:c r="Y62" s="17" t="str"/>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t="str"/>
      <x:c r="Q63" s="17" t="str">
        <x:v>codex/m3-m3-p051</x:v>
      </x:c>
      <x:c r="R63" s="17" t="str"/>
      <x:c r="S63" s="17" t="str"/>
      <x:c r="T63" s="17" t="str"/>
      <x:c r="U63" s="17" t="str"/>
      <x:c r="V63" s="17" t="str">
        <x:v>YES</x:v>
      </x:c>
      <x:c r="W63" s="17" t="str">
        <x:v>按原子提交回退；迁移仅向前修复</x:v>
      </x:c>
      <x:c r="X63" s="17" t="str"/>
      <x:c r="Y63" s="17" t="str"/>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t="str"/>
      <x:c r="Q64" s="17" t="str">
        <x:v>codex/m3-m3-p052</x:v>
      </x:c>
      <x:c r="R64" s="17" t="str"/>
      <x:c r="S64" s="17" t="str"/>
      <x:c r="T64" s="17" t="str"/>
      <x:c r="U64" s="17" t="str"/>
      <x:c r="V64" s="17" t="str">
        <x:v>YES</x:v>
      </x:c>
      <x:c r="W64" s="17" t="str">
        <x:v>按原子提交回退；迁移仅向前修复</x:v>
      </x:c>
      <x:c r="X64" s="17" t="str"/>
      <x:c r="Y64" s="17" t="str"/>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t="str"/>
      <x:c r="Q65" s="17" t="str">
        <x:v>codex/m3-m3-p053</x:v>
      </x:c>
      <x:c r="R65" s="17" t="str"/>
      <x:c r="S65" s="17" t="str"/>
      <x:c r="T65" s="17" t="str"/>
      <x:c r="U65" s="17" t="str"/>
      <x:c r="V65" s="17" t="str">
        <x:v>YES</x:v>
      </x:c>
      <x:c r="W65" s="17" t="str">
        <x:v>按原子提交回退；迁移仅向前修复</x:v>
      </x:c>
      <x:c r="X65" s="17" t="str"/>
      <x:c r="Y65" s="17" t="str"/>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t="str"/>
      <x:c r="Q66" s="17" t="str">
        <x:v>codex/m3-m3-p054</x:v>
      </x:c>
      <x:c r="R66" s="17" t="str"/>
      <x:c r="S66" s="17" t="str"/>
      <x:c r="T66" s="17" t="str"/>
      <x:c r="U66" s="17" t="str"/>
      <x:c r="V66" s="17" t="str">
        <x:v>YES</x:v>
      </x:c>
      <x:c r="W66" s="17" t="str">
        <x:v>按原子提交回退；迁移仅向前修复</x:v>
      </x:c>
      <x:c r="X66" s="17" t="str"/>
      <x:c r="Y66" s="17" t="str"/>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t="str"/>
      <x:c r="Q67" s="17" t="str">
        <x:v>codex/m3-m3-p055</x:v>
      </x:c>
      <x:c r="R67" s="17" t="str"/>
      <x:c r="S67" s="17" t="str"/>
      <x:c r="T67" s="17" t="str"/>
      <x:c r="U67" s="17" t="str"/>
      <x:c r="V67" s="17" t="str">
        <x:v>YES</x:v>
      </x:c>
      <x:c r="W67" s="17" t="str">
        <x:v>按原子提交回退；迁移仅向前修复</x:v>
      </x:c>
      <x:c r="X67" s="17" t="str"/>
      <x:c r="Y67" s="17" t="str"/>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t="str"/>
      <x:c r="Q68" s="17" t="str">
        <x:v>codex/m3-m3-p056</x:v>
      </x:c>
      <x:c r="R68" s="17" t="str"/>
      <x:c r="S68" s="17" t="str"/>
      <x:c r="T68" s="17" t="str"/>
      <x:c r="U68" s="17" t="str"/>
      <x:c r="V68" s="17" t="str">
        <x:v>YES</x:v>
      </x:c>
      <x:c r="W68" s="17" t="str">
        <x:v>按原子提交回退；迁移仅向前修复</x:v>
      </x:c>
      <x:c r="X68" s="17" t="str"/>
      <x:c r="Y68" s="17" t="str"/>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0393d6b45fc740cf"/>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NOT_EXECUTED</x:v>
      </x:c>
      <x:c r="J23" s="17" t="str">
        <x:v>TO_BE_CREATED</x:v>
      </x:c>
      <x:c r="K23" s="17" t="str">
        <x:v>N/A</x:v>
      </x:c>
      <x:c r="L23" s="17" t="str">
        <x:v>越权；重复请求；非法状态；敏感字段泄露；失败恢复（按适用性执行）</x:v>
      </x:c>
      <x:c r="M23" s="17" t="str"/>
      <x:c r="N23" s="17" t="str"/>
      <x:c r="O23" s="17" t="str"/>
      <x:c r="P23" s="17" t="str"/>
      <x:c r="Q23" s="17" t="str"/>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TO_BE_CREATED</x:v>
      </x:c>
      <x:c r="K24" s="17" t="str">
        <x:v>N/A</x:v>
      </x:c>
      <x:c r="L24" s="17" t="str">
        <x:v>越权；重复请求；非法状态；敏感字段泄露；失败恢复（按适用性执行）</x:v>
      </x:c>
      <x:c r="M24" s="17" t="str"/>
      <x:c r="N24" s="17" t="str"/>
      <x:c r="O24" s="17" t="str"/>
      <x:c r="P24" s="17" t="str"/>
      <x:c r="Q24" s="17" t="str"/>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TO_BE_CREATED</x:v>
      </x:c>
      <x:c r="K25" s="17" t="str">
        <x:v>MANUAL-024</x:v>
      </x:c>
      <x:c r="L25" s="17" t="str">
        <x:v>越权；重复请求；非法状态；敏感字段泄露；失败恢复（按适用性执行）</x:v>
      </x:c>
      <x:c r="M25" s="17" t="str"/>
      <x:c r="N25" s="17" t="str"/>
      <x:c r="O25" s="17" t="str"/>
      <x:c r="P25" s="17" t="str"/>
      <x:c r="Q25" s="17" t="str"/>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t="str"/>
      <x:c r="N26" s="17" t="str"/>
      <x:c r="O26" s="17" t="str"/>
      <x:c r="P26" s="17" t="str"/>
      <x:c r="Q26" s="17" t="str"/>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t="str"/>
      <x:c r="N27" s="17" t="str"/>
      <x:c r="O27" s="17" t="str"/>
      <x:c r="P27" s="17" t="str"/>
      <x:c r="Q27" s="17" t="str"/>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t="str"/>
      <x:c r="N30" s="17" t="str"/>
      <x:c r="O30" s="17" t="str"/>
      <x:c r="P30" s="17" t="str"/>
      <x:c r="Q30" s="17" t="str"/>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t="str"/>
      <x:c r="N31" s="17" t="str"/>
      <x:c r="O31" s="17" t="str"/>
      <x:c r="P31" s="17" t="str"/>
      <x:c r="Q31" s="17" t="str"/>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t="str"/>
      <x:c r="N32" s="17" t="str"/>
      <x:c r="O32" s="17" t="str"/>
      <x:c r="P32" s="17" t="str"/>
      <x:c r="Q32" s="17" t="str"/>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t="str"/>
      <x:c r="N52" s="17" t="str"/>
      <x:c r="O52" s="17" t="str"/>
      <x:c r="P52" s="17" t="str"/>
      <x:c r="Q52" s="17" t="str"/>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t="str"/>
      <x:c r="N53" s="17" t="str"/>
      <x:c r="O53" s="17" t="str"/>
      <x:c r="P53" s="17" t="str"/>
      <x:c r="Q53" s="17" t="str"/>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t="str"/>
      <x:c r="N54" s="17" t="str"/>
      <x:c r="O54" s="17" t="str"/>
      <x:c r="P54" s="17" t="str"/>
      <x:c r="Q54" s="17" t="str"/>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t="str"/>
      <x:c r="N55" s="17" t="str"/>
      <x:c r="O55" s="17" t="str"/>
      <x:c r="P55" s="17" t="str"/>
      <x:c r="Q55" s="17" t="str"/>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t="str"/>
      <x:c r="N56" s="17" t="str"/>
      <x:c r="O56" s="17" t="str"/>
      <x:c r="P56" s="17" t="str"/>
      <x:c r="Q56" s="17"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t="str"/>
      <x:c r="N57" s="17" t="str"/>
      <x:c r="O57" s="17" t="str"/>
      <x:c r="P57" s="17" t="str"/>
      <x:c r="Q57" s="1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LOCAL_PASS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x:v>
      </x:c>
      <x:c r="N64" s="17" t="str">
        <x:v>b9dd2bfd69c9f9b4afca55f813be7f91026c802e</x:v>
      </x:c>
      <x:c r="O64" s="17" t="str">
        <x:v>CODEX</x:v>
      </x:c>
      <x:c r="P64" s="17" t="n">
        <x:v>46246.45685185185</x:v>
      </x:c>
      <x:c r="Q64" s="17" t="str">
        <x:v>唯一skuId余额、非负与版本约束、串行事务/乐观锁、幂等命令快照、追加流水和供应商归属已由本地测试证明；内部reserve/release/confirmSale仅为M3稳定领域契约且未开放订单API。CI/staging/device/production未执行。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NOT_EXECUTED</x:v>
      </x:c>
      <x:c r="J72" s="17" t="str">
        <x:v>NEG-M2-071-01|NEG-M2-071-02|NEG-M2-071-03|NEG-M2-071-04</x:v>
      </x:c>
      <x:c r="K72" s="17" t="str">
        <x:v>N/A</x:v>
      </x:c>
      <x:c r="L72" s="17" t="str">
        <x:v>SAME_NATURAL_PERSON_REVIEW；PRICE_PAGE_ROLE_MISMATCH；CONCURRENT_REVIEW；REASONLESS_BULK_APPROVAL</x:v>
      </x:c>
      <x:c r="M72" s="17" t="str">
        <x:v>artifacts/verification/M2-000/m2-contract-freeze.json#negativeTests</x:v>
      </x:c>
      <x:c r="N72" s="17" t="str"/>
      <x:c r="O72" s="17" t="str"/>
      <x:c r="P72" s="17" t="str"/>
      <x:c r="Q72" s="17" t="str">
        <x:v>M2-000仅冻结测试ID、失败行为和证据要求；业务切片须逐项先RED再实现；当前仍为NOT_EXECUTED</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725b7024cbe40ec"/>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P0-051,P0-054</x:v>
      </x:c>
      <x:c r="O342" s="4" t="str">
        <x:v>综合方案§13核心数据模型</x:v>
      </x:c>
      <x:c r="P342" s="4" t="str">
        <x:v>DRAFT_FROM_SCHEME</x:v>
      </x:c>
    </x:row>
    <x:row r="343" ht="23" customHeight="1">
      <x:c r="A343" s="4" t="str">
        <x:v>WelfareCardProgram</x:v>
      </x:c>
      <x:c r="B343" s="4" t="str">
        <x:v>companyId</x:v>
      </x:c>
      <x:c r="C343" s="17" t="str">
        <x:v>companyId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P0-051,P0-054</x:v>
      </x:c>
      <x:c r="O343" s="4" t="str">
        <x:v>综合方案§13核心数据模型</x:v>
      </x:c>
      <x:c r="P343" s="4" t="str">
        <x:v>DRAFT_FROM_SCHEME</x:v>
      </x:c>
    </x:row>
    <x:row r="344" ht="23" customHeight="1">
      <x:c r="A344" s="4" t="str">
        <x:v>WelfareCardProgram</x:v>
      </x:c>
      <x:c r="B344" s="4" t="str">
        <x:v>name</x:v>
      </x:c>
      <x:c r="C344" s="17" t="str">
        <x:v>name</x:v>
      </x:c>
      <x:c r="D344" s="4" t="str">
        <x:v>3</x:v>
      </x:c>
      <x:c r="E344" s="4" t="str">
        <x:v>String</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P0-051,P0-054</x:v>
      </x:c>
      <x:c r="O344" s="4" t="str">
        <x:v>综合方案§13核心数据模型</x:v>
      </x:c>
      <x:c r="P344" s="4" t="str">
        <x:v>DRAFT_FROM_SCHEME</x:v>
      </x:c>
    </x:row>
    <x:row r="345" ht="23" customHeight="1">
      <x:c r="A345" s="4" t="str">
        <x:v>WelfareCardProgram</x:v>
      </x:c>
      <x:c r="B345" s="4" t="str">
        <x:v>fundingType</x:v>
      </x:c>
      <x:c r="C345" s="17" t="str">
        <x:v>fundingType</x:v>
      </x:c>
      <x:c r="D345" s="4" t="str">
        <x:v>4</x:v>
      </x:c>
      <x:c r="E345" s="4" t="str">
        <x:v>Enum/String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P0-051,P0-054</x:v>
      </x:c>
      <x:c r="O345" s="4" t="str">
        <x:v>综合方案§13核心数据模型</x:v>
      </x:c>
      <x:c r="P345" s="4" t="str">
        <x:v>DRAFT_FROM_SCHEME</x:v>
      </x:c>
    </x:row>
    <x:row r="346" ht="23" customHeight="1">
      <x:c r="A346" s="4" t="str">
        <x:v>WelfareCardProgram</x:v>
      </x:c>
      <x:c r="B346" s="4" t="str">
        <x:v>issuerType</x:v>
      </x:c>
      <x:c r="C346" s="17" t="str">
        <x:v>issuerType</x:v>
      </x:c>
      <x:c r="D346" s="4" t="str">
        <x:v>5</x:v>
      </x:c>
      <x:c r="E346" s="4" t="str">
        <x:v>Boolean</x:v>
      </x:c>
      <x:c r="F346" s="4" t="str">
        <x:v>YES</x:v>
      </x:c>
      <x:c r="G346" s="4" t="str">
        <x:v>待M阶段冻结</x:v>
      </x:c>
      <x:c r="H346" s="17" t="str">
        <x:v>INTERNAL</x:v>
      </x:c>
      <x:c r="I346" s="17" t="str">
        <x:v>按资源权限与数据域访问；公开DTO另行白名单</x:v>
      </x:c>
      <x:c r="J346" s="17" t="str">
        <x:v>数据库实体不得直接序列化为响应</x:v>
      </x:c>
      <x:c r="K346" s="17" t="str">
        <x:v>DTO白名单；长度/枚举/归属/状态校验；禁止信任客户端派生值</x:v>
      </x:c>
      <x:c r="L346" s="17" t="str">
        <x:v>按实体version或审计日志保留变更证据</x:v>
      </x:c>
      <x:c r="M346" s="4" t="str">
        <x:v>M3</x:v>
      </x:c>
      <x:c r="N346" s="4" t="str">
        <x:v>P0-051,P0-054</x:v>
      </x:c>
      <x:c r="O346" s="4" t="str">
        <x:v>综合方案§13核心数据模型</x:v>
      </x:c>
      <x:c r="P346" s="4" t="str">
        <x:v>DRAFT_FROM_SCHEME</x:v>
      </x:c>
    </x:row>
    <x:row r="347" ht="23" customHeight="1">
      <x:c r="A347" s="4" t="str">
        <x:v>WelfareCardProgram</x:v>
      </x:c>
      <x:c r="B347" s="4" t="str">
        <x:v>scopeType</x:v>
      </x:c>
      <x:c r="C347" s="17" t="str">
        <x:v>scopeType</x:v>
      </x:c>
      <x:c r="D347" s="4" t="str">
        <x:v>6</x:v>
      </x:c>
      <x:c r="E347" s="4" t="str">
        <x:v>Enum/String</x:v>
      </x:c>
      <x:c r="F347" s="4" t="str">
        <x:v>YES</x:v>
      </x:c>
      <x:c r="G347" s="4" t="str">
        <x:v>待M阶段冻结</x:v>
      </x:c>
      <x:c r="H347" s="17" t="str">
        <x:v>INTERNAL</x:v>
      </x:c>
      <x:c r="I347" s="17" t="str">
        <x:v>按资源权限与数据域访问；公开DTO另行白名单</x:v>
      </x:c>
      <x:c r="J347" s="17" t="str">
        <x:v>数据库实体不得直接序列化为响应</x:v>
      </x:c>
      <x:c r="K347" s="17" t="str">
        <x:v>DTO白名单；长度/枚举/归属/状态校验；禁止信任客户端派生值</x:v>
      </x:c>
      <x:c r="L347" s="17" t="str">
        <x:v>按实体version或审计日志保留变更证据</x:v>
      </x:c>
      <x:c r="M347" s="4" t="str">
        <x:v>M3</x:v>
      </x:c>
      <x:c r="N347" s="4" t="str">
        <x:v>P0-051,P0-054</x:v>
      </x:c>
      <x:c r="O347" s="4" t="str">
        <x:v>综合方案§13核心数据模型</x:v>
      </x:c>
      <x:c r="P347" s="4" t="str">
        <x:v>DRAFT_FROM_SCHEME</x:v>
      </x:c>
    </x:row>
    <x:row r="348" ht="23" customHeight="1">
      <x:c r="A348" s="4" t="str">
        <x:v>WelfareCardProgram</x:v>
      </x:c>
      <x:c r="B348" s="4" t="str">
        <x:v>scopeRules</x:v>
      </x:c>
      <x:c r="C348" s="17" t="str">
        <x:v>scopeRules</x:v>
      </x:c>
      <x:c r="D348" s="4" t="str">
        <x:v>7</x:v>
      </x:c>
      <x:c r="E348" s="4" t="str">
        <x:v>Json</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P0-051,P0-054</x:v>
      </x:c>
      <x:c r="O348" s="4" t="str">
        <x:v>综合方案§13核心数据模型</x:v>
      </x:c>
      <x:c r="P348" s="4" t="str">
        <x:v>DRAFT_FROM_SCHEME</x:v>
      </x:c>
    </x:row>
    <x:row r="349" ht="23" customHeight="1">
      <x:c r="A349" s="4" t="str">
        <x:v>WelfareCardProgram</x:v>
      </x:c>
      <x:c r="B349" s="4" t="str">
        <x:v>canPayDeliveryFee</x:v>
      </x:c>
      <x:c r="C349" s="17" t="str">
        <x:v>canPayDeliveryFee</x:v>
      </x:c>
      <x:c r="D349" s="4" t="str">
        <x:v>8</x:v>
      </x:c>
      <x:c r="E349" s="4" t="str">
        <x:v>Int(分)</x:v>
      </x:c>
      <x:c r="F349" s="4" t="str">
        <x:v>YES</x:v>
      </x:c>
      <x:c r="G349" s="4" t="str">
        <x:v>整数分</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P0-051,P0-054</x:v>
      </x:c>
      <x:c r="O349" s="4" t="str">
        <x:v>综合方案§13核心数据模型</x:v>
      </x:c>
      <x:c r="P349" s="4" t="str">
        <x:v>DRAFT_FROM_SCHEME</x:v>
      </x:c>
    </x:row>
    <x:row r="350" ht="23" customHeight="1">
      <x:c r="A350" s="4" t="str">
        <x:v>WelfareCardProgram</x:v>
      </x:c>
      <x:c r="B350" s="4" t="str">
        <x:v>refundPolicy</x:v>
      </x:c>
      <x:c r="C350" s="17" t="str">
        <x:v>refundPolicy</x:v>
      </x:c>
      <x:c r="D350" s="4" t="str">
        <x:v>9</x:v>
      </x:c>
      <x:c r="E350" s="4" t="str">
        <x:v>String</x:v>
      </x:c>
      <x:c r="F350" s="4" t="str">
        <x:v>YES</x:v>
      </x:c>
      <x:c r="G350" s="4" t="str">
        <x:v>待M阶段冻结</x:v>
      </x:c>
      <x:c r="H350" s="17" t="str">
        <x:v>FINANCIAL</x:v>
      </x:c>
      <x:c r="I350" s="17" t="str">
        <x:v>公司财务与必要业务职能；供应商仅本供应商结算视图</x:v>
      </x:c>
      <x:c r="J350" s="17" t="str">
        <x:v>消费者响应仅返回自身交易白名单字段</x:v>
      </x:c>
      <x:c r="K350" s="17" t="str">
        <x:v>DTO白名单；长度/枚举/归属/状态校验；禁止信任客户端派生值</x:v>
      </x:c>
      <x:c r="L350" s="17" t="str">
        <x:v>按实体version或审计日志保留变更证据</x:v>
      </x:c>
      <x:c r="M350" s="4" t="str">
        <x:v>M3</x:v>
      </x:c>
      <x:c r="N350" s="4" t="str">
        <x:v>P0-051,P0-054</x:v>
      </x:c>
      <x:c r="O350" s="4" t="str">
        <x:v>综合方案§13核心数据模型</x:v>
      </x:c>
      <x:c r="P350" s="4" t="str">
        <x:v>DRAFT_FROM_SCHEME</x:v>
      </x:c>
    </x:row>
    <x:row r="351" ht="23" customHeight="1">
      <x:c r="A351" s="4" t="str">
        <x:v>WelfareCardProgram</x:v>
      </x:c>
      <x:c r="B351" s="4" t="str">
        <x:v>complianceStatus</x:v>
      </x:c>
      <x:c r="C351" s="17" t="str">
        <x:v>complianceStatus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P0-051,P0-054</x:v>
      </x:c>
      <x:c r="O351" s="4" t="str">
        <x:v>综合方案§13核心数据模型</x:v>
      </x:c>
      <x:c r="P351" s="4" t="str">
        <x:v>DRAFT_FROM_SCHEME</x:v>
      </x:c>
    </x:row>
    <x:row r="352" ht="23" customHeight="1">
      <x:c r="A352" s="4" t="str">
        <x:v>WelfareCardProgram</x:v>
      </x:c>
      <x:c r="B352" s="4" t="str">
        <x:v>status</x:v>
      </x:c>
      <x:c r="C352" s="17" t="str">
        <x:v>status</x:v>
      </x:c>
      <x:c r="D352" s="4" t="str">
        <x:v>11</x:v>
      </x:c>
      <x:c r="E352" s="4" t="str">
        <x:v>Enum/String</x:v>
      </x:c>
      <x:c r="F352" s="4" t="str">
        <x:v>YES</x:v>
      </x:c>
      <x:c r="G352" s="4" t="str">
        <x:v>待M阶段冻结</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P0-051,P0-054</x:v>
      </x:c>
      <x:c r="O352" s="4" t="str">
        <x:v>综合方案§13核心数据模型</x:v>
      </x:c>
      <x:c r="P352" s="4" t="str">
        <x:v>DRAFT_FROM_SCHEME</x:v>
      </x:c>
    </x:row>
    <x:row r="353" ht="23" customHeight="1">
      <x:c r="A353" s="4" t="str">
        <x:v>WelfareCardProgram</x:v>
      </x:c>
      <x:c r="B353" s="4" t="str">
        <x:v>version</x:v>
      </x:c>
      <x:c r="C353" s="17" t="str">
        <x:v>version</x:v>
      </x:c>
      <x:c r="D353" s="4" t="str">
        <x:v>12</x:v>
      </x:c>
      <x:c r="E353" s="4" t="str">
        <x:v>Int</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P0-051,P0-054</x:v>
      </x:c>
      <x:c r="O353" s="4" t="str">
        <x:v>综合方案§13核心数据模型</x:v>
      </x:c>
      <x:c r="P353" s="4" t="str">
        <x:v>DRAFT_FROM_SCHEME</x:v>
      </x:c>
    </x:row>
    <x:row r="354" ht="23" customHeight="1">
      <x:c r="A354" s="4" t="str">
        <x:v>WelfareCardBatch</x:v>
      </x:c>
      <x:c r="B354" s="4" t="str">
        <x:v>id</x:v>
      </x:c>
      <x:c r="C354" s="17" t="str">
        <x:v>id</x:v>
      </x:c>
      <x:c r="D354" s="4" t="str">
        <x:v>1</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WelfareCardBatch</x:v>
      </x:c>
      <x:c r="B355" s="4" t="str">
        <x:v>programId</x:v>
      </x:c>
      <x:c r="C355" s="17" t="str">
        <x:v>programId</x:v>
      </x:c>
      <x:c r="D355" s="4" t="str">
        <x:v>2</x:v>
      </x:c>
      <x:c r="E355" s="4" t="str">
        <x:v>String/UUID</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WelfareCardBatch</x:v>
      </x:c>
      <x:c r="B356" s="4" t="str">
        <x:v>enterpriseCustomerId</x:v>
      </x:c>
      <x:c r="C356" s="17" t="str">
        <x:v>enterpriseCustomerId</x:v>
      </x:c>
      <x:c r="D356" s="4" t="str">
        <x:v>3</x:v>
      </x:c>
      <x:c r="E356" s="4" t="str">
        <x:v>String/UUID</x:v>
      </x:c>
      <x:c r="F356" s="4" t="str">
        <x:v>YES</x:v>
      </x:c>
      <x:c r="G356" s="4" t="str">
        <x:v>待M阶段冻结</x:v>
      </x:c>
      <x:c r="H356" s="17" t="str">
        <x:v>INTERNAL</x:v>
      </x:c>
      <x:c r="I356" s="17" t="str">
        <x:v>按资源权限与数据域访问；公开DTO另行白名单</x:v>
      </x:c>
      <x:c r="J356" s="17" t="str">
        <x:v>数据库实体不得直接序列化为响应</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WelfareCardBatch</x:v>
      </x:c>
      <x:c r="B357" s="4" t="str">
        <x:v>batchNo</x:v>
      </x:c>
      <x:c r="C357" s="17" t="str">
        <x:v>batchNo</x:v>
      </x:c>
      <x:c r="D357" s="4" t="str">
        <x:v>4</x:v>
      </x:c>
      <x:c r="E357" s="4" t="str">
        <x:v>String</x:v>
      </x:c>
      <x:c r="F357" s="4" t="str">
        <x:v>YES</x:v>
      </x:c>
      <x:c r="G357" s="4" t="str">
        <x:v>待M阶段冻结</x:v>
      </x:c>
      <x:c r="H357" s="17" t="str">
        <x:v>INTERNAL</x:v>
      </x:c>
      <x:c r="I357" s="17" t="str">
        <x:v>按资源权限与数据域访问；公开DTO另行白名单</x:v>
      </x:c>
      <x:c r="J357" s="17" t="str">
        <x:v>数据库实体不得直接序列化为响应</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WelfareCardBatch</x:v>
      </x:c>
      <x:c r="B358" s="4" t="str">
        <x:v>totalAmount</x:v>
      </x:c>
      <x:c r="C358" s="17" t="str">
        <x:v>totalAmount</x:v>
      </x:c>
      <x:c r="D358" s="4" t="str">
        <x:v>5</x:v>
      </x:c>
      <x:c r="E358" s="4" t="str">
        <x:v>Int(分)</x:v>
      </x:c>
      <x:c r="F358" s="4" t="str">
        <x:v>YES</x:v>
      </x:c>
      <x:c r="G358" s="4" t="str">
        <x:v>整数分</x:v>
      </x:c>
      <x:c r="H358" s="17" t="str">
        <x:v>FINANCIAL</x:v>
      </x:c>
      <x:c r="I358" s="17" t="str">
        <x:v>公司财务与必要业务职能；供应商仅本供应商结算视图</x:v>
      </x:c>
      <x:c r="J358" s="17" t="str">
        <x:v>消费者响应仅返回自身交易白名单字段</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WelfareCardBatch</x:v>
      </x:c>
      <x:c r="B359" s="4" t="str">
        <x:v>unitAmount</x:v>
      </x:c>
      <x:c r="C359" s="17" t="str">
        <x:v>unitAmount</x:v>
      </x:c>
      <x:c r="D359" s="4" t="str">
        <x:v>6</x:v>
      </x:c>
      <x:c r="E359" s="4" t="str">
        <x:v>Int(分)</x:v>
      </x:c>
      <x:c r="F359" s="4" t="str">
        <x:v>YES</x:v>
      </x:c>
      <x:c r="G359" s="4" t="str">
        <x:v>整数分</x:v>
      </x:c>
      <x:c r="H359" s="17" t="str">
        <x:v>FINANCIAL</x:v>
      </x:c>
      <x:c r="I359" s="17" t="str">
        <x:v>公司财务与必要业务职能；供应商仅本供应商结算视图</x:v>
      </x:c>
      <x:c r="J359" s="17" t="str">
        <x:v>消费者响应仅返回自身交易白名单字段</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WelfareCardBatch</x:v>
      </x:c>
      <x:c r="B360" s="4" t="str">
        <x:v>issueCount</x:v>
      </x:c>
      <x:c r="C360" s="17" t="str">
        <x:v>issueCount</x:v>
      </x:c>
      <x:c r="D360" s="4" t="str">
        <x:v>7</x:v>
      </x:c>
      <x:c r="E360" s="4" t="str">
        <x:v>Int</x:v>
      </x:c>
      <x:c r="F360" s="4" t="str">
        <x:v>YES</x:v>
      </x:c>
      <x:c r="G360" s="4" t="str">
        <x:v>待M阶段冻结</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WelfareCardBatch</x:v>
      </x:c>
      <x:c r="B361" s="4" t="str">
        <x:v>claimMode</x:v>
      </x:c>
      <x:c r="C361" s="17" t="str">
        <x:v>claimMode</x:v>
      </x:c>
      <x:c r="D361" s="4" t="str">
        <x:v>8</x:v>
      </x:c>
      <x:c r="E361" s="4" t="str">
        <x:v>Enum/String</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待切片细化</x:v>
      </x:c>
      <x:c r="O361" s="4" t="str">
        <x:v>综合方案§13核心数据模型</x:v>
      </x:c>
      <x:c r="P361" s="4" t="str">
        <x:v>DRAFT_FROM_SCHEME</x:v>
      </x:c>
    </x:row>
    <x:row r="362" ht="23" customHeight="1">
      <x:c r="A362" s="4" t="str">
        <x:v>WelfareCardBatch</x:v>
      </x:c>
      <x:c r="B362" s="4" t="str">
        <x:v>agreementVersion</x:v>
      </x:c>
      <x:c r="C362" s="17" t="str">
        <x:v>agreementVersion</x:v>
      </x:c>
      <x:c r="D362" s="4" t="str">
        <x:v>9</x:v>
      </x:c>
      <x:c r="E362" s="4" t="str">
        <x:v>Int</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待切片细化</x:v>
      </x:c>
      <x:c r="O362" s="4" t="str">
        <x:v>综合方案§13核心数据模型</x:v>
      </x:c>
      <x:c r="P362" s="4" t="str">
        <x:v>DRAFT_FROM_SCHEME</x:v>
      </x:c>
    </x:row>
    <x:row r="363" ht="23" customHeight="1">
      <x:c r="A363" s="4" t="str">
        <x:v>WelfareCardBatch</x:v>
      </x:c>
      <x:c r="B363" s="4" t="str">
        <x:v>status</x:v>
      </x:c>
      <x:c r="C363" s="17" t="str">
        <x:v>status</x:v>
      </x:c>
      <x:c r="D363" s="4" t="str">
        <x:v>10</x:v>
      </x:c>
      <x:c r="E363" s="4" t="str">
        <x:v>Enum/String</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待切片细化</x:v>
      </x:c>
      <x:c r="O363" s="4" t="str">
        <x:v>综合方案§13核心数据模型</x:v>
      </x:c>
      <x:c r="P363" s="4" t="str">
        <x:v>DRAFT_FROM_SCHEME</x:v>
      </x:c>
    </x:row>
    <x:row r="364" ht="23" customHeight="1">
      <x:c r="A364" s="4" t="str">
        <x:v>WelfareCardBatch</x:v>
      </x:c>
      <x:c r="B364" s="4" t="str">
        <x:v>createdAt</x:v>
      </x:c>
      <x:c r="C364" s="17" t="str">
        <x:v>createdAt</x:v>
      </x:c>
      <x:c r="D364" s="4" t="str">
        <x:v>11</x:v>
      </x:c>
      <x:c r="E364" s="4" t="str">
        <x:v>DateTime</x:v>
      </x:c>
      <x:c r="F364" s="4" t="str">
        <x:v>YES</x:v>
      </x:c>
      <x:c r="G364" s="4" t="str">
        <x:v>ISO-8601+明确时区</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待切片细化</x:v>
      </x:c>
      <x:c r="O364" s="4" t="str">
        <x:v>综合方案§13核心数据模型</x:v>
      </x:c>
      <x:c r="P364" s="4" t="str">
        <x:v>DRAFT_FROM_SCHEME</x:v>
      </x:c>
    </x:row>
    <x:row r="365" ht="23" customHeight="1">
      <x:c r="A365" s="4" t="str">
        <x:v>WelfareCardCode</x:v>
      </x:c>
      <x:c r="B365" s="4" t="str">
        <x:v>id</x:v>
      </x:c>
      <x:c r="C365" s="17" t="str">
        <x:v>id</x:v>
      </x:c>
      <x:c r="D365" s="4" t="str">
        <x:v>1</x:v>
      </x:c>
      <x:c r="E365" s="4" t="str">
        <x:v>String/UUID</x:v>
      </x:c>
      <x:c r="F365" s="4" t="str">
        <x:v>YES</x:v>
      </x:c>
      <x:c r="G365" s="4" t="str">
        <x:v>待M阶段冻结</x:v>
      </x:c>
      <x:c r="H365" s="17" t="str">
        <x:v>INTERNAL</x:v>
      </x:c>
      <x:c r="I365" s="17" t="str">
        <x:v>按资源权限与数据域访问；公开DTO另行白名单</x:v>
      </x:c>
      <x:c r="J365" s="17" t="str">
        <x:v>数据库实体不得直接序列化为响应</x:v>
      </x:c>
      <x:c r="K365" s="17" t="str">
        <x:v>DTO白名单；长度/枚举/归属/状态校验；禁止信任客户端派生值</x:v>
      </x:c>
      <x:c r="L365" s="17" t="str">
        <x:v>按实体version或审计日志保留变更证据</x:v>
      </x:c>
      <x:c r="M365" s="4" t="str">
        <x:v>M3</x:v>
      </x:c>
      <x:c r="N365" s="4" t="str">
        <x:v>待切片细化</x:v>
      </x:c>
      <x:c r="O365" s="4" t="str">
        <x:v>综合方案§13核心数据模型</x:v>
      </x:c>
      <x:c r="P365" s="4" t="str">
        <x:v>DRAFT_FROM_SCHEME</x:v>
      </x:c>
    </x:row>
    <x:row r="366" ht="23" customHeight="1">
      <x:c r="A366" s="4" t="str">
        <x:v>WelfareCardCode</x:v>
      </x:c>
      <x:c r="B366" s="4" t="str">
        <x:v>batchId</x:v>
      </x:c>
      <x:c r="C366" s="17" t="str">
        <x:v>batchId</x:v>
      </x:c>
      <x:c r="D366" s="4" t="str">
        <x:v>2</x:v>
      </x:c>
      <x:c r="E366" s="4" t="str">
        <x:v>String/UUID</x:v>
      </x:c>
      <x:c r="F366" s="4" t="str">
        <x:v>YES</x:v>
      </x:c>
      <x:c r="G366" s="4" t="str">
        <x:v>待M阶段冻结</x:v>
      </x:c>
      <x:c r="H366" s="17" t="str">
        <x:v>INTERNAL</x:v>
      </x:c>
      <x:c r="I366" s="17" t="str">
        <x:v>按资源权限与数据域访问；公开DTO另行白名单</x:v>
      </x:c>
      <x:c r="J366" s="17" t="str">
        <x:v>数据库实体不得直接序列化为响应</x:v>
      </x:c>
      <x:c r="K366" s="17" t="str">
        <x:v>DTO白名单；长度/枚举/归属/状态校验；禁止信任客户端派生值</x:v>
      </x:c>
      <x:c r="L366" s="17" t="str">
        <x:v>按实体version或审计日志保留变更证据</x:v>
      </x:c>
      <x:c r="M366" s="4" t="str">
        <x:v>M3</x:v>
      </x:c>
      <x:c r="N366" s="4" t="str">
        <x:v>待切片细化</x:v>
      </x:c>
      <x:c r="O366" s="4" t="str">
        <x:v>综合方案§13核心数据模型</x:v>
      </x:c>
      <x:c r="P366" s="4" t="str">
        <x:v>DRAFT_FROM_SCHEME</x:v>
      </x:c>
    </x:row>
    <x:row r="367" ht="23" customHeight="1">
      <x:c r="A367" s="4" t="str">
        <x:v>WelfareCardCode</x:v>
      </x:c>
      <x:c r="B367" s="4" t="str">
        <x:v>cardNo</x:v>
      </x:c>
      <x:c r="C367" s="17" t="str">
        <x:v>cardNo</x:v>
      </x:c>
      <x:c r="D367" s="4" t="str">
        <x:v>3</x:v>
      </x:c>
      <x:c r="E367" s="4" t="str">
        <x:v>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待切片细化</x:v>
      </x:c>
      <x:c r="O367" s="4" t="str">
        <x:v>综合方案§13核心数据模型</x:v>
      </x:c>
      <x:c r="P367" s="4" t="str">
        <x:v>DRAFT_FROM_SCHEME</x:v>
      </x:c>
    </x:row>
    <x:row r="368" ht="23" customHeight="1">
      <x:c r="A368" s="4" t="str">
        <x:v>WelfareCardCode</x:v>
      </x:c>
      <x:c r="B368" s="4" t="str">
        <x:v>secretHash</x:v>
      </x:c>
      <x:c r="C368" s="17" t="str">
        <x:v>secretHash</x:v>
      </x:c>
      <x:c r="D368" s="4" t="str">
        <x:v>4</x:v>
      </x:c>
      <x:c r="E368" s="4" t="str">
        <x:v>String</x:v>
      </x:c>
      <x:c r="F368" s="4" t="str">
        <x:v>YES</x:v>
      </x:c>
      <x:c r="G368" s="4" t="str">
        <x:v>待M阶段冻结</x:v>
      </x:c>
      <x:c r="H368" s="17" t="str">
        <x:v>SECRET_OR_CREDENTIAL</x:v>
      </x:c>
      <x:c r="I368" s="17" t="str">
        <x:v>仅后端最小权限读取，响应永不返回</x:v>
      </x:c>
      <x:c r="J368" s="17" t="str">
        <x:v>禁止提交、日志、快照和前端下发</x:v>
      </x:c>
      <x:c r="K368" s="17" t="str">
        <x:v>DTO白名单；长度/枚举/归属/状态校验；禁止信任客户端派生值</x:v>
      </x:c>
      <x:c r="L368" s="17" t="str">
        <x:v>按实体version或审计日志保留变更证据</x:v>
      </x:c>
      <x:c r="M368" s="4" t="str">
        <x:v>M3</x:v>
      </x:c>
      <x:c r="N368" s="4" t="str">
        <x:v>待切片细化</x:v>
      </x:c>
      <x:c r="O368" s="4" t="str">
        <x:v>综合方案§13核心数据模型</x:v>
      </x:c>
      <x:c r="P368" s="4" t="str">
        <x:v>DRAFT_FROM_SCHEME</x:v>
      </x:c>
    </x:row>
    <x:row r="369" ht="23" customHeight="1">
      <x:c r="A369" s="4" t="str">
        <x:v>WelfareCardCode</x:v>
      </x:c>
      <x:c r="B369" s="4" t="str">
        <x:v>amount</x:v>
      </x:c>
      <x:c r="C369" s="17" t="str">
        <x:v>amount</x:v>
      </x:c>
      <x:c r="D369" s="4" t="str">
        <x:v>5</x:v>
      </x:c>
      <x:c r="E369" s="4" t="str">
        <x:v>Int(分)</x:v>
      </x:c>
      <x:c r="F369" s="4" t="str">
        <x:v>YES</x:v>
      </x:c>
      <x:c r="G369" s="4" t="str">
        <x:v>整数分</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按实体version或审计日志保留变更证据</x:v>
      </x:c>
      <x:c r="M369" s="4" t="str">
        <x:v>M3</x:v>
      </x:c>
      <x:c r="N369" s="4" t="str">
        <x:v>待切片细化</x:v>
      </x:c>
      <x:c r="O369" s="4" t="str">
        <x:v>综合方案§13核心数据模型</x:v>
      </x:c>
      <x:c r="P369" s="4" t="str">
        <x:v>DRAFT_FROM_SCHEME</x:v>
      </x:c>
    </x:row>
    <x:row r="370" ht="23" customHeight="1">
      <x:c r="A370" s="4" t="str">
        <x:v>WelfareCardCode</x:v>
      </x:c>
      <x:c r="B370" s="4" t="str">
        <x:v>status</x:v>
      </x:c>
      <x:c r="C370" s="17" t="str">
        <x:v>status</x:v>
      </x:c>
      <x:c r="D370" s="4" t="str">
        <x:v>6</x:v>
      </x:c>
      <x:c r="E370" s="4" t="str">
        <x:v>Enum/String</x:v>
      </x:c>
      <x:c r="F370" s="4" t="str">
        <x:v>YES</x:v>
      </x:c>
      <x:c r="G370" s="4" t="str">
        <x:v>待M阶段冻结</x:v>
      </x:c>
      <x:c r="H370" s="17" t="str">
        <x:v>INTERNAL</x:v>
      </x:c>
      <x:c r="I370" s="17" t="str">
        <x:v>按资源权限与数据域访问；公开DTO另行白名单</x:v>
      </x:c>
      <x:c r="J370" s="17" t="str">
        <x:v>数据库实体不得直接序列化为响应</x:v>
      </x:c>
      <x:c r="K370" s="17" t="str">
        <x:v>DTO白名单；长度/枚举/归属/状态校验；禁止信任客户端派生值</x:v>
      </x:c>
      <x:c r="L370" s="17" t="str">
        <x:v>按实体version或审计日志保留变更证据</x:v>
      </x:c>
      <x:c r="M370" s="4" t="str">
        <x:v>M3</x:v>
      </x:c>
      <x:c r="N370" s="4" t="str">
        <x:v>待切片细化</x:v>
      </x:c>
      <x:c r="O370" s="4" t="str">
        <x:v>综合方案§13核心数据模型</x:v>
      </x:c>
      <x:c r="P370" s="4" t="str">
        <x:v>DRAFT_FROM_SCHEME</x:v>
      </x:c>
    </x:row>
    <x:row r="371" ht="23" customHeight="1">
      <x:c r="A371" s="4" t="str">
        <x:v>WelfareCardCode</x:v>
      </x:c>
      <x:c r="B371" s="4" t="str">
        <x:v>claimedByConsumerUserId</x:v>
      </x:c>
      <x:c r="C371" s="17" t="str">
        <x:v>claimedByConsumerUserId</x:v>
      </x:c>
      <x:c r="D371" s="4" t="str">
        <x:v>7</x:v>
      </x:c>
      <x:c r="E371" s="4" t="str">
        <x:v>String/UUID</x:v>
      </x:c>
      <x:c r="F371" s="4" t="str">
        <x:v>YES</x:v>
      </x:c>
      <x:c r="G371" s="4" t="str">
        <x:v>待M阶段冻结</x:v>
      </x:c>
      <x:c r="H371" s="17" t="str">
        <x:v>INTERNAL</x:v>
      </x:c>
      <x:c r="I371" s="17" t="str">
        <x:v>按资源权限与数据域访问；公开DTO另行白名单</x:v>
      </x:c>
      <x:c r="J371" s="17" t="str">
        <x:v>数据库实体不得直接序列化为响应</x:v>
      </x:c>
      <x:c r="K371" s="17" t="str">
        <x:v>DTO白名单；长度/枚举/归属/状态校验；禁止信任客户端派生值</x:v>
      </x:c>
      <x:c r="L371" s="17" t="str">
        <x:v>按实体version或审计日志保留变更证据</x:v>
      </x:c>
      <x:c r="M371" s="4" t="str">
        <x:v>M3</x:v>
      </x:c>
      <x:c r="N371" s="4" t="str">
        <x:v>待切片细化</x:v>
      </x:c>
      <x:c r="O371" s="4" t="str">
        <x:v>综合方案§13核心数据模型</x:v>
      </x:c>
      <x:c r="P371" s="4" t="str">
        <x:v>DRAFT_FROM_SCHEME</x:v>
      </x:c>
    </x:row>
    <x:row r="372" ht="23" customHeight="1">
      <x:c r="A372" s="4" t="str">
        <x:v>WelfareCardCode</x:v>
      </x:c>
      <x:c r="B372" s="4" t="str">
        <x:v>claimedAt</x:v>
      </x:c>
      <x:c r="C372" s="17" t="str">
        <x:v>claimedAt</x:v>
      </x:c>
      <x:c r="D372" s="4" t="str">
        <x:v>8</x:v>
      </x:c>
      <x:c r="E372" s="4" t="str">
        <x:v>DateTime</x:v>
      </x:c>
      <x:c r="F372" s="4" t="str">
        <x:v>YES</x:v>
      </x:c>
      <x:c r="G372" s="4" t="str">
        <x:v>ISO-8601+明确时区</x:v>
      </x:c>
      <x:c r="H372" s="17" t="str">
        <x:v>INTERNAL</x:v>
      </x:c>
      <x:c r="I372" s="17" t="str">
        <x:v>按资源权限与数据域访问；公开DTO另行白名单</x:v>
      </x:c>
      <x:c r="J372" s="17" t="str">
        <x:v>数据库实体不得直接序列化为响应</x:v>
      </x:c>
      <x:c r="K372" s="17" t="str">
        <x:v>DTO白名单；长度/枚举/归属/状态校验；禁止信任客户端派生值</x:v>
      </x:c>
      <x:c r="L372" s="17" t="str">
        <x:v>按实体version或审计日志保留变更证据</x:v>
      </x:c>
      <x:c r="M372" s="4" t="str">
        <x:v>M3</x:v>
      </x:c>
      <x:c r="N372" s="4" t="str">
        <x:v>待切片细化</x:v>
      </x:c>
      <x:c r="O372" s="4" t="str">
        <x:v>综合方案§13核心数据模型</x:v>
      </x:c>
      <x:c r="P372" s="4" t="str">
        <x:v>DRAFT_FROM_SCHEME</x:v>
      </x:c>
    </x:row>
    <x:row r="373" ht="23" customHeight="1">
      <x:c r="A373" s="4" t="str">
        <x:v>WelfareCardAccount</x:v>
      </x:c>
      <x:c r="B373" s="4" t="str">
        <x:v>id</x:v>
      </x:c>
      <x:c r="C373" s="17" t="str">
        <x:v>id</x:v>
      </x:c>
      <x:c r="D373" s="4" t="str">
        <x:v>1</x:v>
      </x:c>
      <x:c r="E373" s="4" t="str">
        <x:v>String/UUID</x:v>
      </x:c>
      <x:c r="F373" s="4" t="str">
        <x:v>YES</x:v>
      </x:c>
      <x:c r="G373" s="4" t="str">
        <x:v>待M阶段冻结</x:v>
      </x:c>
      <x:c r="H373" s="17" t="str">
        <x:v>INTERNAL</x:v>
      </x:c>
      <x:c r="I373" s="17" t="str">
        <x:v>按资源权限与数据域访问；公开DTO另行白名单</x:v>
      </x:c>
      <x:c r="J373" s="17" t="str">
        <x:v>数据库实体不得直接序列化为响应</x:v>
      </x:c>
      <x:c r="K373" s="17" t="str">
        <x:v>DTO白名单；长度/枚举/归属/状态校验；禁止信任客户端派生值</x:v>
      </x:c>
      <x:c r="L373" s="17" t="str">
        <x:v>按实体version或审计日志保留变更证据</x:v>
      </x:c>
      <x:c r="M373" s="4" t="str">
        <x:v>M3</x:v>
      </x:c>
      <x:c r="N373" s="4" t="str">
        <x:v>P0-052,P0-053</x:v>
      </x:c>
      <x:c r="O373" s="4" t="str">
        <x:v>综合方案§13核心数据模型</x:v>
      </x:c>
      <x:c r="P373" s="4" t="str">
        <x:v>DRAFT_FROM_SCHEME</x:v>
      </x:c>
    </x:row>
    <x:row r="374" ht="23" customHeight="1">
      <x:c r="A374" s="4" t="str">
        <x:v>WelfareCardAccount</x:v>
      </x:c>
      <x:c r="B374" s="4" t="str">
        <x:v>consumerUserId</x:v>
      </x:c>
      <x:c r="C374" s="17" t="str">
        <x:v>consumerUserId</x:v>
      </x:c>
      <x:c r="D374" s="4" t="str">
        <x:v>2</x:v>
      </x:c>
      <x:c r="E374" s="4" t="str">
        <x:v>String/UUID</x:v>
      </x:c>
      <x:c r="F374" s="4" t="str">
        <x:v>YES</x:v>
      </x:c>
      <x:c r="G374" s="4" t="str">
        <x:v>待M阶段冻结</x:v>
      </x:c>
      <x:c r="H374" s="17" t="str">
        <x:v>INTERNAL</x:v>
      </x:c>
      <x:c r="I374" s="17" t="str">
        <x:v>按资源权限与数据域访问；公开DTO另行白名单</x:v>
      </x:c>
      <x:c r="J374" s="17" t="str">
        <x:v>数据库实体不得直接序列化为响应</x:v>
      </x:c>
      <x:c r="K374" s="17" t="str">
        <x:v>DTO白名单；长度/枚举/归属/状态校验；禁止信任客户端派生值</x:v>
      </x:c>
      <x:c r="L374" s="17" t="str">
        <x:v>按实体version或审计日志保留变更证据</x:v>
      </x:c>
      <x:c r="M374" s="4" t="str">
        <x:v>M3</x:v>
      </x:c>
      <x:c r="N374" s="4" t="str">
        <x:v>P0-052,P0-053</x:v>
      </x:c>
      <x:c r="O374" s="4" t="str">
        <x:v>综合方案§13核心数据模型</x:v>
      </x:c>
      <x:c r="P374" s="4" t="str">
        <x:v>DRAFT_FROM_SCHEME</x:v>
      </x:c>
    </x:row>
    <x:row r="375" ht="23" customHeight="1">
      <x:c r="A375" s="4" t="str">
        <x:v>WelfareCardAccount</x:v>
      </x:c>
      <x:c r="B375" s="4" t="str">
        <x:v>programId</x:v>
      </x:c>
      <x:c r="C375" s="17" t="str">
        <x:v>programId</x:v>
      </x:c>
      <x:c r="D375" s="4" t="str">
        <x:v>3</x:v>
      </x:c>
      <x:c r="E375" s="4" t="str">
        <x:v>String/UUID</x:v>
      </x:c>
      <x:c r="F375" s="4" t="str">
        <x:v>YES</x:v>
      </x:c>
      <x:c r="G375" s="4" t="str">
        <x:v>待M阶段冻结</x:v>
      </x:c>
      <x:c r="H375" s="17" t="str">
        <x:v>INTERNAL</x:v>
      </x:c>
      <x:c r="I375" s="17" t="str">
        <x:v>按资源权限与数据域访问；公开DTO另行白名单</x:v>
      </x:c>
      <x:c r="J375" s="17" t="str">
        <x:v>数据库实体不得直接序列化为响应</x:v>
      </x:c>
      <x:c r="K375" s="17" t="str">
        <x:v>DTO白名单；长度/枚举/归属/状态校验；禁止信任客户端派生值</x:v>
      </x:c>
      <x:c r="L375" s="17" t="str">
        <x:v>按实体version或审计日志保留变更证据</x:v>
      </x:c>
      <x:c r="M375" s="4" t="str">
        <x:v>M3</x:v>
      </x:c>
      <x:c r="N375" s="4" t="str">
        <x:v>P0-052,P0-053</x:v>
      </x:c>
      <x:c r="O375" s="4" t="str">
        <x:v>综合方案§13核心数据模型</x:v>
      </x:c>
      <x:c r="P375" s="4" t="str">
        <x:v>DRAFT_FROM_SCHEME</x:v>
      </x:c>
    </x:row>
    <x:row r="376" ht="23" customHeight="1">
      <x:c r="A376" s="4" t="str">
        <x:v>WelfareCardAccount</x:v>
      </x:c>
      <x:c r="B376" s="4" t="str">
        <x:v>batchId</x:v>
      </x:c>
      <x:c r="C376" s="17" t="str">
        <x:v>batchId</x:v>
      </x:c>
      <x:c r="D376" s="4" t="str">
        <x:v>4</x:v>
      </x:c>
      <x:c r="E376" s="4" t="str">
        <x:v>String/UUID</x:v>
      </x:c>
      <x:c r="F376" s="4" t="str">
        <x:v>YES</x:v>
      </x:c>
      <x:c r="G376" s="4" t="str">
        <x:v>待M阶段冻结</x:v>
      </x:c>
      <x:c r="H376" s="17" t="str">
        <x:v>INTERNAL</x:v>
      </x:c>
      <x:c r="I376" s="17" t="str">
        <x:v>按资源权限与数据域访问；公开DTO另行白名单</x:v>
      </x:c>
      <x:c r="J376" s="17" t="str">
        <x:v>数据库实体不得直接序列化为响应</x:v>
      </x:c>
      <x:c r="K376" s="17" t="str">
        <x:v>DTO白名单；长度/枚举/归属/状态校验；禁止信任客户端派生值</x:v>
      </x:c>
      <x:c r="L376" s="17" t="str">
        <x:v>按实体version或审计日志保留变更证据</x:v>
      </x:c>
      <x:c r="M376" s="4" t="str">
        <x:v>M3</x:v>
      </x:c>
      <x:c r="N376" s="4" t="str">
        <x:v>P0-052,P0-053</x:v>
      </x:c>
      <x:c r="O376" s="4" t="str">
        <x:v>综合方案§13核心数据模型</x:v>
      </x:c>
      <x:c r="P376" s="4" t="str">
        <x:v>DRAFT_FROM_SCHEME</x:v>
      </x:c>
    </x:row>
    <x:row r="377" ht="23" customHeight="1">
      <x:c r="A377" s="4" t="str">
        <x:v>WelfareCardAccount</x:v>
      </x:c>
      <x:c r="B377" s="4" t="str">
        <x:v>balanceAmount</x:v>
      </x:c>
      <x:c r="C377" s="17" t="str">
        <x:v>balanceAmount</x:v>
      </x:c>
      <x:c r="D377" s="4" t="str">
        <x:v>5</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按实体version或审计日志保留变更证据</x:v>
      </x:c>
      <x:c r="M377" s="4" t="str">
        <x:v>M3</x:v>
      </x:c>
      <x:c r="N377" s="4" t="str">
        <x:v>P0-052,P0-053</x:v>
      </x:c>
      <x:c r="O377" s="4" t="str">
        <x:v>综合方案§13核心数据模型</x:v>
      </x:c>
      <x:c r="P377" s="4" t="str">
        <x:v>DRAFT_FROM_SCHEME</x:v>
      </x:c>
    </x:row>
    <x:row r="378" ht="23" customHeight="1">
      <x:c r="A378" s="4" t="str">
        <x:v>WelfareCardAccount</x:v>
      </x:c>
      <x:c r="B378" s="4" t="str">
        <x:v>frozenAmount</x:v>
      </x:c>
      <x:c r="C378" s="17" t="str">
        <x:v>frozenAmount</x:v>
      </x:c>
      <x:c r="D378" s="4" t="str">
        <x:v>6</x:v>
      </x:c>
      <x:c r="E378" s="4" t="str">
        <x:v>Int(分)</x:v>
      </x:c>
      <x:c r="F378" s="4" t="str">
        <x:v>YES</x:v>
      </x:c>
      <x:c r="G378" s="4" t="str">
        <x:v>整数分</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按实体version或审计日志保留变更证据</x:v>
      </x:c>
      <x:c r="M378" s="4" t="str">
        <x:v>M3</x:v>
      </x:c>
      <x:c r="N378" s="4" t="str">
        <x:v>P0-052,P0-053</x:v>
      </x:c>
      <x:c r="O378" s="4" t="str">
        <x:v>综合方案§13核心数据模型</x:v>
      </x:c>
      <x:c r="P378" s="4" t="str">
        <x:v>DRAFT_FROM_SCHEME</x:v>
      </x:c>
    </x:row>
    <x:row r="379" ht="23" customHeight="1">
      <x:c r="A379" s="4" t="str">
        <x:v>WelfareCardAccount</x:v>
      </x:c>
      <x:c r="B379" s="4" t="str">
        <x:v>status</x:v>
      </x:c>
      <x:c r="C379" s="17" t="str">
        <x:v>status</x:v>
      </x:c>
      <x:c r="D379" s="4" t="str">
        <x:v>7</x:v>
      </x:c>
      <x:c r="E379" s="4" t="str">
        <x:v>Enum/String</x:v>
      </x:c>
      <x:c r="F379" s="4" t="str">
        <x:v>YES</x:v>
      </x:c>
      <x:c r="G379" s="4" t="str">
        <x:v>待M阶段冻结</x:v>
      </x:c>
      <x:c r="H379" s="17" t="str">
        <x:v>INTERNAL</x:v>
      </x:c>
      <x:c r="I379" s="17" t="str">
        <x:v>按资源权限与数据域访问；公开DTO另行白名单</x:v>
      </x:c>
      <x:c r="J379" s="17" t="str">
        <x:v>数据库实体不得直接序列化为响应</x:v>
      </x:c>
      <x:c r="K379" s="17" t="str">
        <x:v>DTO白名单；长度/枚举/归属/状态校验；禁止信任客户端派生值</x:v>
      </x:c>
      <x:c r="L379" s="17" t="str">
        <x:v>按实体version或审计日志保留变更证据</x:v>
      </x:c>
      <x:c r="M379" s="4" t="str">
        <x:v>M3</x:v>
      </x:c>
      <x:c r="N379" s="4" t="str">
        <x:v>P0-052,P0-053</x:v>
      </x:c>
      <x:c r="O379" s="4" t="str">
        <x:v>综合方案§13核心数据模型</x:v>
      </x:c>
      <x:c r="P379" s="4" t="str">
        <x:v>DRAFT_FROM_SCHEME</x:v>
      </x:c>
    </x:row>
    <x:row r="380" ht="23" customHeight="1">
      <x:c r="A380" s="4" t="str">
        <x:v>WelfareCardAccount</x:v>
      </x:c>
      <x:c r="B380" s="4" t="str">
        <x:v>version</x:v>
      </x:c>
      <x:c r="C380" s="17" t="str">
        <x:v>version</x:v>
      </x:c>
      <x:c r="D380" s="4" t="str">
        <x:v>8</x:v>
      </x:c>
      <x:c r="E380" s="4" t="str">
        <x:v>Int</x:v>
      </x:c>
      <x:c r="F380" s="4" t="str">
        <x:v>YES</x:v>
      </x:c>
      <x:c r="G380" s="4" t="str">
        <x:v>待M阶段冻结</x:v>
      </x:c>
      <x:c r="H380" s="17" t="str">
        <x:v>INTERNAL</x:v>
      </x:c>
      <x:c r="I380" s="17" t="str">
        <x:v>按资源权限与数据域访问；公开DTO另行白名单</x:v>
      </x:c>
      <x:c r="J380" s="17" t="str">
        <x:v>数据库实体不得直接序列化为响应</x:v>
      </x:c>
      <x:c r="K380" s="17" t="str">
        <x:v>DTO白名单；长度/枚举/归属/状态校验；禁止信任客户端派生值</x:v>
      </x:c>
      <x:c r="L380" s="17" t="str">
        <x:v>按实体version或审计日志保留变更证据</x:v>
      </x:c>
      <x:c r="M380" s="4" t="str">
        <x:v>M3</x:v>
      </x:c>
      <x:c r="N380" s="4" t="str">
        <x:v>P0-052,P0-053</x:v>
      </x:c>
      <x:c r="O380" s="4" t="str">
        <x:v>综合方案§13核心数据模型</x:v>
      </x:c>
      <x:c r="P380" s="4" t="str">
        <x:v>DRAFT_FROM_SCHEME</x:v>
      </x:c>
    </x:row>
    <x:row r="381" ht="23" customHeight="1">
      <x:c r="A381" s="4" t="str">
        <x:v>WelfareCardLedger</x:v>
      </x:c>
      <x:c r="B381" s="4" t="str">
        <x:v>id</x:v>
      </x:c>
      <x:c r="C381" s="17" t="str">
        <x:v>id</x:v>
      </x:c>
      <x:c r="D381" s="4" t="str">
        <x:v>1</x:v>
      </x:c>
      <x:c r="E381" s="4" t="str">
        <x:v>String/UUID</x:v>
      </x:c>
      <x:c r="F381" s="4" t="str">
        <x:v>YES</x:v>
      </x:c>
      <x:c r="G381" s="4" t="str">
        <x:v>待M阶段冻结</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WelfareCardLedger</x:v>
      </x:c>
      <x:c r="B382" s="4" t="str">
        <x:v>accountId</x:v>
      </x:c>
      <x:c r="C382" s="17" t="str">
        <x:v>accountId</x:v>
      </x:c>
      <x:c r="D382" s="4" t="str">
        <x:v>2</x:v>
      </x:c>
      <x:c r="E382" s="4" t="str">
        <x:v>String/UUID</x:v>
      </x:c>
      <x:c r="F382" s="4" t="str">
        <x:v>YES</x:v>
      </x:c>
      <x:c r="G382" s="4" t="str">
        <x:v>待M阶段冻结</x:v>
      </x:c>
      <x:c r="H382" s="17" t="str">
        <x:v>FINANCIAL</x:v>
      </x:c>
      <x:c r="I382" s="17" t="str">
        <x:v>公司财务与必要业务职能；供应商仅本供应商结算视图</x:v>
      </x:c>
      <x:c r="J382" s="17" t="str">
        <x:v>消费者响应仅返回自身交易白名单字段</x:v>
      </x:c>
      <x:c r="K382" s="17" t="str">
        <x:v>DTO白名单；长度/枚举/归属/状态校验；禁止信任客户端派生值</x:v>
      </x:c>
      <x:c r="L382" s="17" t="str">
        <x:v>追加/版本/快照，不覆盖已生效历史</x:v>
      </x:c>
      <x:c r="M382" s="4" t="str">
        <x:v>M3</x:v>
      </x:c>
      <x:c r="N382" s="4" t="str">
        <x:v>P0-055,P0-056,P0-057,P0-058,P0-059</x:v>
      </x:c>
      <x:c r="O382" s="4" t="str">
        <x:v>综合方案§13核心数据模型</x:v>
      </x:c>
      <x:c r="P382" s="4" t="str">
        <x:v>DRAFT_FROM_SCHEME</x:v>
      </x:c>
    </x:row>
    <x:row r="383" ht="23" customHeight="1">
      <x:c r="A383" s="4" t="str">
        <x:v>WelfareCardLedger</x:v>
      </x:c>
      <x:c r="B383" s="4" t="str">
        <x:v>orderId</x:v>
      </x:c>
      <x:c r="C383" s="17" t="str">
        <x:v>orderId</x:v>
      </x:c>
      <x:c r="D383" s="4" t="str">
        <x:v>3</x:v>
      </x:c>
      <x:c r="E383" s="4" t="str">
        <x:v>String/UUID</x:v>
      </x:c>
      <x:c r="F383" s="4" t="str">
        <x:v>YES</x:v>
      </x:c>
      <x:c r="G383" s="4" t="str">
        <x:v>待M阶段冻结</x:v>
      </x:c>
      <x:c r="H383" s="17" t="str">
        <x:v>FINANCIAL</x:v>
      </x:c>
      <x:c r="I383" s="17" t="str">
        <x:v>公司财务与必要业务职能；供应商仅本供应商结算视图</x:v>
      </x:c>
      <x:c r="J383" s="17" t="str">
        <x:v>消费者响应仅返回自身交易白名单字段</x:v>
      </x:c>
      <x:c r="K383" s="17" t="str">
        <x:v>DTO白名单；长度/枚举/归属/状态校验；禁止信任客户端派生值</x:v>
      </x:c>
      <x:c r="L383" s="17" t="str">
        <x:v>追加/版本/快照，不覆盖已生效历史</x:v>
      </x:c>
      <x:c r="M383" s="4" t="str">
        <x:v>M3</x:v>
      </x:c>
      <x:c r="N383" s="4" t="str">
        <x:v>P0-055,P0-056,P0-057,P0-058,P0-059</x:v>
      </x:c>
      <x:c r="O383" s="4" t="str">
        <x:v>综合方案§13核心数据模型</x:v>
      </x:c>
      <x:c r="P383" s="4" t="str">
        <x:v>DRAFT_FROM_SCHEME</x:v>
      </x:c>
    </x:row>
    <x:row r="384" ht="23" customHeight="1">
      <x:c r="A384" s="4" t="str">
        <x:v>WelfareCardLedger</x:v>
      </x:c>
      <x:c r="B384" s="4" t="str">
        <x:v>refundId</x:v>
      </x:c>
      <x:c r="C384" s="17" t="str">
        <x:v>refundId</x:v>
      </x:c>
      <x:c r="D384" s="4" t="str">
        <x:v>4</x:v>
      </x:c>
      <x:c r="E384" s="4" t="str">
        <x:v>String/UUID</x:v>
      </x:c>
      <x:c r="F384" s="4" t="str">
        <x:v>YES</x:v>
      </x:c>
      <x:c r="G384" s="4" t="str">
        <x:v>待M阶段冻结</x:v>
      </x:c>
      <x:c r="H384" s="17" t="str">
        <x:v>FINANCIAL</x:v>
      </x:c>
      <x:c r="I384" s="17" t="str">
        <x:v>公司财务与必要业务职能；供应商仅本供应商结算视图</x:v>
      </x:c>
      <x:c r="J384" s="17" t="str">
        <x:v>消费者响应仅返回自身交易白名单字段</x:v>
      </x:c>
      <x:c r="K384" s="17" t="str">
        <x:v>DTO白名单；长度/枚举/归属/状态校验；禁止信任客户端派生值</x:v>
      </x:c>
      <x:c r="L384" s="17" t="str">
        <x:v>追加/版本/快照，不覆盖已生效历史</x:v>
      </x:c>
      <x:c r="M384" s="4" t="str">
        <x:v>M3</x:v>
      </x:c>
      <x:c r="N384" s="4" t="str">
        <x:v>P0-055,P0-056,P0-057,P0-058,P0-059</x:v>
      </x:c>
      <x:c r="O384" s="4" t="str">
        <x:v>综合方案§13核心数据模型</x:v>
      </x:c>
      <x:c r="P384" s="4" t="str">
        <x:v>DRAFT_FROM_SCHEME</x:v>
      </x:c>
    </x:row>
    <x:row r="385" ht="23" customHeight="1">
      <x:c r="A385" s="4" t="str">
        <x:v>WelfareCardLedger</x:v>
      </x:c>
      <x:c r="B385" s="4" t="str">
        <x:v>businessType</x:v>
      </x:c>
      <x:c r="C385" s="17" t="str">
        <x:v>businessType</x:v>
      </x:c>
      <x:c r="D385" s="4" t="str">
        <x:v>5</x:v>
      </x:c>
      <x:c r="E385" s="4" t="str">
        <x:v>Enum/String</x:v>
      </x:c>
      <x:c r="F385" s="4" t="str">
        <x:v>YES</x:v>
      </x:c>
      <x:c r="G385" s="4" t="str">
        <x:v>待M阶段冻结</x:v>
      </x:c>
      <x:c r="H385" s="17" t="str">
        <x:v>FINANCIAL</x:v>
      </x:c>
      <x:c r="I385" s="17" t="str">
        <x:v>公司财务与必要业务职能；供应商仅本供应商结算视图</x:v>
      </x:c>
      <x:c r="J385" s="17" t="str">
        <x:v>消费者响应仅返回自身交易白名单字段</x:v>
      </x:c>
      <x:c r="K385" s="17" t="str">
        <x:v>DTO白名单；长度/枚举/归属/状态校验；禁止信任客户端派生值</x:v>
      </x:c>
      <x:c r="L385" s="17" t="str">
        <x:v>追加/版本/快照，不覆盖已生效历史</x:v>
      </x:c>
      <x:c r="M385" s="4" t="str">
        <x:v>M3</x:v>
      </x:c>
      <x:c r="N385" s="4" t="str">
        <x:v>P0-055,P0-056,P0-057,P0-058,P0-059</x:v>
      </x:c>
      <x:c r="O385" s="4" t="str">
        <x:v>综合方案§13核心数据模型</x:v>
      </x:c>
      <x:c r="P385" s="4" t="str">
        <x:v>DRAFT_FROM_SCHEME</x:v>
      </x:c>
    </x:row>
    <x:row r="386" ht="23" customHeight="1">
      <x:c r="A386" s="4" t="str">
        <x:v>WelfareCardLedger</x:v>
      </x:c>
      <x:c r="B386" s="4" t="str">
        <x:v>direction</x:v>
      </x:c>
      <x:c r="C386" s="17" t="str">
        <x:v>direction</x:v>
      </x:c>
      <x:c r="D386" s="4" t="str">
        <x:v>6</x:v>
      </x:c>
      <x:c r="E386" s="4" t="str">
        <x:v>Enum/String</x:v>
      </x:c>
      <x:c r="F386" s="4" t="str">
        <x:v>YES</x:v>
      </x:c>
      <x:c r="G386" s="4" t="str">
        <x:v>待M阶段冻结</x:v>
      </x:c>
      <x:c r="H386" s="17" t="str">
        <x:v>FINANCIAL</x:v>
      </x:c>
      <x:c r="I386" s="17" t="str">
        <x:v>公司财务与必要业务职能；供应商仅本供应商结算视图</x:v>
      </x:c>
      <x:c r="J386" s="17" t="str">
        <x:v>消费者响应仅返回自身交易白名单字段</x:v>
      </x:c>
      <x:c r="K386" s="17" t="str">
        <x:v>DTO白名单；长度/枚举/归属/状态校验；禁止信任客户端派生值</x:v>
      </x:c>
      <x:c r="L386" s="17" t="str">
        <x:v>追加/版本/快照，不覆盖已生效历史</x:v>
      </x:c>
      <x:c r="M386" s="4" t="str">
        <x:v>M3</x:v>
      </x:c>
      <x:c r="N386" s="4" t="str">
        <x:v>P0-055,P0-056,P0-057,P0-058,P0-059</x:v>
      </x:c>
      <x:c r="O386" s="4" t="str">
        <x:v>综合方案§13核心数据模型</x:v>
      </x:c>
      <x:c r="P386" s="4" t="str">
        <x:v>DRAFT_FROM_SCHEME</x:v>
      </x:c>
    </x:row>
    <x:row r="387" ht="23" customHeight="1">
      <x:c r="A387" s="4" t="str">
        <x:v>WelfareCardLedger</x:v>
      </x:c>
      <x:c r="B387" s="4" t="str">
        <x:v>amount</x:v>
      </x:c>
      <x:c r="C387" s="17" t="str">
        <x:v>amount</x:v>
      </x:c>
      <x:c r="D387" s="4" t="str">
        <x:v>7</x:v>
      </x:c>
      <x:c r="E387" s="4" t="str">
        <x:v>Int(分)</x:v>
      </x:c>
      <x:c r="F387" s="4" t="str">
        <x:v>YES</x:v>
      </x:c>
      <x:c r="G387" s="4" t="str">
        <x:v>整数分</x:v>
      </x:c>
      <x:c r="H387" s="17" t="str">
        <x:v>FINANCIAL</x:v>
      </x:c>
      <x:c r="I387" s="17" t="str">
        <x:v>公司财务与必要业务职能；供应商仅本供应商结算视图</x:v>
      </x:c>
      <x:c r="J387" s="17" t="str">
        <x:v>消费者响应仅返回自身交易白名单字段</x:v>
      </x:c>
      <x:c r="K387" s="17" t="str">
        <x:v>DTO白名单；长度/枚举/归属/状态校验；禁止信任客户端派生值</x:v>
      </x:c>
      <x:c r="L387" s="17" t="str">
        <x:v>追加/版本/快照，不覆盖已生效历史</x:v>
      </x:c>
      <x:c r="M387" s="4" t="str">
        <x:v>M3</x:v>
      </x:c>
      <x:c r="N387" s="4" t="str">
        <x:v>P0-055,P0-056,P0-057,P0-058,P0-059</x:v>
      </x:c>
      <x:c r="O387" s="4" t="str">
        <x:v>综合方案§13核心数据模型</x:v>
      </x:c>
      <x:c r="P387" s="4" t="str">
        <x:v>DRAFT_FROM_SCHEME</x:v>
      </x:c>
    </x:row>
    <x:row r="388" ht="23" customHeight="1">
      <x:c r="A388" s="4" t="str">
        <x:v>WelfareCardLedger</x:v>
      </x:c>
      <x:c r="B388" s="4" t="str">
        <x:v>beforeBalance</x:v>
      </x:c>
      <x:c r="C388" s="17" t="str">
        <x:v>beforeBalance</x:v>
      </x:c>
      <x:c r="D388" s="4" t="str">
        <x:v>8</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P0-055,P0-056,P0-057,P0-058,P0-059</x:v>
      </x:c>
      <x:c r="O388" s="4" t="str">
        <x:v>综合方案§13核心数据模型</x:v>
      </x:c>
      <x:c r="P388" s="4" t="str">
        <x:v>DRAFT_FROM_SCHEME</x:v>
      </x:c>
    </x:row>
    <x:row r="389" ht="23" customHeight="1">
      <x:c r="A389" s="4" t="str">
        <x:v>WelfareCardLedger</x:v>
      </x:c>
      <x:c r="B389" s="4" t="str">
        <x:v>afterBalance</x:v>
      </x:c>
      <x:c r="C389" s="17" t="str">
        <x:v>afterBalance</x:v>
      </x:c>
      <x:c r="D389" s="4" t="str">
        <x:v>9</x:v>
      </x:c>
      <x:c r="E389" s="4" t="str">
        <x:v>Int(分)</x:v>
      </x:c>
      <x:c r="F389" s="4" t="str">
        <x:v>YES</x:v>
      </x:c>
      <x:c r="G389" s="4" t="str">
        <x:v>整数分</x:v>
      </x:c>
      <x:c r="H389" s="17" t="str">
        <x:v>FINANCIAL</x:v>
      </x:c>
      <x:c r="I389" s="17" t="str">
        <x:v>公司财务与必要业务职能；供应商仅本供应商结算视图</x:v>
      </x:c>
      <x:c r="J389" s="17" t="str">
        <x:v>消费者响应仅返回自身交易白名单字段</x:v>
      </x:c>
      <x:c r="K389" s="17" t="str">
        <x:v>DTO白名单；长度/枚举/归属/状态校验；禁止信任客户端派生值</x:v>
      </x:c>
      <x:c r="L389" s="17" t="str">
        <x:v>追加/版本/快照，不覆盖已生效历史</x:v>
      </x:c>
      <x:c r="M389" s="4" t="str">
        <x:v>M3</x:v>
      </x:c>
      <x:c r="N389" s="4" t="str">
        <x:v>P0-055,P0-056,P0-057,P0-058,P0-059</x:v>
      </x:c>
      <x:c r="O389" s="4" t="str">
        <x:v>综合方案§13核心数据模型</x:v>
      </x:c>
      <x:c r="P389" s="4" t="str">
        <x:v>DRAFT_FROM_SCHEME</x:v>
      </x:c>
    </x:row>
    <x:row r="390" ht="23" customHeight="1">
      <x:c r="A390" s="4" t="str">
        <x:v>WelfareCardLedger</x:v>
      </x:c>
      <x:c r="B390" s="4" t="str">
        <x:v>beforeFrozen</x:v>
      </x:c>
      <x:c r="C390" s="17" t="str">
        <x:v>beforeFrozen</x:v>
      </x:c>
      <x:c r="D390" s="4" t="str">
        <x:v>10</x:v>
      </x:c>
      <x:c r="E390" s="4" t="str">
        <x:v>String</x:v>
      </x:c>
      <x:c r="F390" s="4" t="str">
        <x:v>YES</x:v>
      </x:c>
      <x:c r="G390" s="4" t="str">
        <x:v>待M阶段冻结</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P0-055,P0-056,P0-057,P0-058,P0-059</x:v>
      </x:c>
      <x:c r="O390" s="4" t="str">
        <x:v>综合方案§13核心数据模型</x:v>
      </x:c>
      <x:c r="P390" s="4" t="str">
        <x:v>DRAFT_FROM_SCHEME</x:v>
      </x:c>
    </x:row>
    <x:row r="391" ht="23" customHeight="1">
      <x:c r="A391" s="4" t="str">
        <x:v>WelfareCardLedger</x:v>
      </x:c>
      <x:c r="B391" s="4" t="str">
        <x:v>afterFrozen</x:v>
      </x:c>
      <x:c r="C391" s="17" t="str">
        <x:v>afterFrozen</x:v>
      </x:c>
      <x:c r="D391" s="4" t="str">
        <x:v>11</x:v>
      </x:c>
      <x:c r="E391" s="4" t="str">
        <x:v>String</x:v>
      </x:c>
      <x:c r="F391" s="4" t="str">
        <x:v>YES</x:v>
      </x:c>
      <x:c r="G391" s="4" t="str">
        <x:v>待M阶段冻结</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P0-055,P0-056,P0-057,P0-058,P0-059</x:v>
      </x:c>
      <x:c r="O391" s="4" t="str">
        <x:v>综合方案§13核心数据模型</x:v>
      </x:c>
      <x:c r="P391" s="4" t="str">
        <x:v>DRAFT_FROM_SCHEME</x:v>
      </x:c>
    </x:row>
    <x:row r="392" ht="23" customHeight="1">
      <x:c r="A392" s="4" t="str">
        <x:v>WelfareCardLedger</x:v>
      </x:c>
      <x:c r="B392" s="4" t="str">
        <x:v>idempotencyKey</x:v>
      </x:c>
      <x:c r="C392" s="17" t="str">
        <x:v>idempotencyKey</x:v>
      </x:c>
      <x:c r="D392" s="4" t="str">
        <x:v>12</x:v>
      </x:c>
      <x:c r="E392" s="4" t="str">
        <x:v>String</x:v>
      </x:c>
      <x:c r="F392" s="4" t="str">
        <x:v>YES</x:v>
      </x:c>
      <x:c r="G392" s="4" t="str">
        <x:v>待M阶段冻结</x:v>
      </x:c>
      <x:c r="H392" s="17" t="str">
        <x:v>FINANCIAL</x:v>
      </x:c>
      <x:c r="I392" s="17" t="str">
        <x:v>公司财务与必要业务职能；供应商仅本供应商结算视图</x:v>
      </x:c>
      <x:c r="J392" s="17" t="str">
        <x:v>消费者响应仅返回自身交易白名单字段</x:v>
      </x:c>
      <x:c r="K392" s="17" t="str">
        <x:v>DTO白名单；长度/枚举/归属/状态校验；禁止信任客户端派生值</x:v>
      </x:c>
      <x:c r="L392" s="17" t="str">
        <x:v>追加/版本/快照，不覆盖已生效历史</x:v>
      </x:c>
      <x:c r="M392" s="4" t="str">
        <x:v>M3</x:v>
      </x:c>
      <x:c r="N392" s="4" t="str">
        <x:v>P0-055,P0-056,P0-057,P0-058,P0-059</x:v>
      </x:c>
      <x:c r="O392" s="4" t="str">
        <x:v>综合方案§13核心数据模型</x:v>
      </x:c>
      <x:c r="P392" s="4" t="str">
        <x:v>DRAFT_FROM_SCHEME</x:v>
      </x:c>
    </x:row>
    <x:row r="393" ht="23" customHeight="1">
      <x:c r="A393" s="4" t="str">
        <x:v>WelfareCardLedger</x:v>
      </x:c>
      <x:c r="B393" s="4" t="str">
        <x:v>occurredAt</x:v>
      </x:c>
      <x:c r="C393" s="17" t="str">
        <x:v>occurredAt</x:v>
      </x:c>
      <x:c r="D393" s="4" t="str">
        <x:v>13</x:v>
      </x:c>
      <x:c r="E393" s="4" t="str">
        <x:v>DateTime</x:v>
      </x:c>
      <x:c r="F393" s="4" t="str">
        <x:v>YES</x:v>
      </x:c>
      <x:c r="G393" s="4" t="str">
        <x:v>ISO-8601+明确时区</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P0-055,P0-056,P0-057,P0-058,P0-059</x:v>
      </x:c>
      <x:c r="O393" s="4" t="str">
        <x:v>综合方案§13核心数据模型</x:v>
      </x:c>
      <x:c r="P393" s="4" t="str">
        <x:v>DRAFT_FROM_SCHEME</x:v>
      </x:c>
    </x:row>
    <x:row r="394" ht="23" customHeight="1">
      <x:c r="A394" s="4" t="str">
        <x:v>Order</x:v>
      </x:c>
      <x:c r="B394" s="4" t="str">
        <x:v>id</x:v>
      </x:c>
      <x:c r="C394" s="17" t="str">
        <x:v>id</x:v>
      </x:c>
      <x:c r="D394" s="4" t="str">
        <x:v>1</x:v>
      </x:c>
      <x:c r="E394" s="4" t="str">
        <x:v>String/UUID</x:v>
      </x:c>
      <x:c r="F394" s="4" t="str">
        <x:v>YES</x:v>
      </x:c>
      <x:c r="G394" s="4" t="str">
        <x:v>待M阶段冻结</x:v>
      </x:c>
      <x:c r="H394" s="17" t="str">
        <x:v>INTERNAL</x:v>
      </x:c>
      <x:c r="I394" s="17" t="str">
        <x:v>按资源权限与数据域访问；公开DTO另行白名单</x:v>
      </x:c>
      <x:c r="J394" s="17" t="str">
        <x:v>数据库实体不得直接序列化为响应</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orderNo</x:v>
      </x:c>
      <x:c r="C395" s="17" t="str">
        <x:v>orderNo</x:v>
      </x:c>
      <x:c r="D395" s="4" t="str">
        <x:v>2</x:v>
      </x:c>
      <x:c r="E395" s="4" t="str">
        <x:v>String</x:v>
      </x:c>
      <x:c r="F395" s="4" t="str">
        <x:v>YES</x:v>
      </x:c>
      <x:c r="G395" s="4" t="str">
        <x:v>待M阶段冻结</x:v>
      </x:c>
      <x:c r="H395" s="17" t="str">
        <x:v>INTERNAL</x:v>
      </x:c>
      <x:c r="I395" s="17" t="str">
        <x:v>按资源权限与数据域访问；公开DTO另行白名单</x:v>
      </x:c>
      <x:c r="J395" s="17" t="str">
        <x:v>数据库实体不得直接序列化为响应</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companyId</x:v>
      </x:c>
      <x:c r="C396" s="17" t="str">
        <x:v>companyId</x:v>
      </x:c>
      <x:c r="D396" s="4" t="str">
        <x:v>3</x:v>
      </x:c>
      <x:c r="E396" s="4" t="str">
        <x:v>String/UUID</x:v>
      </x:c>
      <x:c r="F396" s="4" t="str">
        <x:v>YES</x:v>
      </x:c>
      <x:c r="G396" s="4" t="str">
        <x:v>待M阶段冻结</x:v>
      </x:c>
      <x:c r="H396" s="17" t="str">
        <x:v>INTERNAL</x:v>
      </x:c>
      <x:c r="I396" s="17" t="str">
        <x:v>按资源权限与数据域访问；公开DTO另行白名单</x:v>
      </x:c>
      <x:c r="J396" s="17" t="str">
        <x:v>数据库实体不得直接序列化为响应</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consumerUserId</x:v>
      </x:c>
      <x:c r="C397" s="17" t="str">
        <x:v>consumerUserId?</x:v>
      </x:c>
      <x:c r="D397" s="4" t="str">
        <x:v>4</x:v>
      </x:c>
      <x:c r="E397" s="4" t="str">
        <x:v>String/UUID</x:v>
      </x:c>
      <x:c r="F397" s="4" t="str">
        <x:v>NO</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enterpriseCustomerId</x:v>
      </x:c>
      <x:c r="C398" s="17" t="str">
        <x:v>enterpriseCustomerId?</x:v>
      </x:c>
      <x:c r="D398" s="4" t="str">
        <x:v>5</x:v>
      </x:c>
      <x:c r="E398" s="4" t="str">
        <x:v>String/UUID</x:v>
      </x:c>
      <x:c r="F398" s="4" t="str">
        <x:v>NO</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x:v>
      </x:c>
      <x:c r="B399" s="4" t="str">
        <x:v>orderType</x:v>
      </x:c>
      <x:c r="C399" s="17" t="str">
        <x:v>orderType</x:v>
      </x:c>
      <x:c r="D399" s="4" t="str">
        <x:v>6</x:v>
      </x:c>
      <x:c r="E399" s="4" t="str">
        <x:v>Enum/String</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P0-022,P0-025,P0-029,P0-062</x:v>
      </x:c>
      <x:c r="O399" s="4" t="str">
        <x:v>综合方案§13核心数据模型</x:v>
      </x:c>
      <x:c r="P399" s="4" t="str">
        <x:v>DRAFT_FROM_SCHEME</x:v>
      </x:c>
    </x:row>
    <x:row r="400" ht="23" customHeight="1">
      <x:c r="A400" s="4" t="str">
        <x:v>Order</x:v>
      </x:c>
      <x:c r="B400" s="4" t="str">
        <x:v>goodsAmount</x:v>
      </x:c>
      <x:c r="C400" s="17" t="str">
        <x:v>goodsAmount</x:v>
      </x:c>
      <x:c r="D400" s="4" t="str">
        <x:v>7</x:v>
      </x:c>
      <x:c r="E400" s="4" t="str">
        <x:v>Int(分)</x:v>
      </x:c>
      <x:c r="F400" s="4" t="str">
        <x:v>YES</x:v>
      </x:c>
      <x:c r="G400" s="4" t="str">
        <x:v>整数分</x:v>
      </x:c>
      <x:c r="H400" s="17" t="str">
        <x:v>FINANCIAL</x:v>
      </x:c>
      <x:c r="I400" s="17" t="str">
        <x:v>公司财务与必要业务职能；供应商仅本供应商结算视图</x:v>
      </x:c>
      <x:c r="J400" s="17" t="str">
        <x:v>消费者响应仅返回自身交易白名单字段</x:v>
      </x:c>
      <x:c r="K400" s="17" t="str">
        <x:v>DTO白名单；长度/枚举/归属/状态校验；禁止信任客户端派生值</x:v>
      </x:c>
      <x:c r="L400" s="17" t="str">
        <x:v>追加/版本/快照，不覆盖已生效历史</x:v>
      </x:c>
      <x:c r="M400" s="4" t="str">
        <x:v>M3</x:v>
      </x:c>
      <x:c r="N400" s="4" t="str">
        <x:v>P0-022,P0-025,P0-029,P0-062</x:v>
      </x:c>
      <x:c r="O400" s="4" t="str">
        <x:v>综合方案§13核心数据模型</x:v>
      </x:c>
      <x:c r="P400" s="4" t="str">
        <x:v>DRAFT_FROM_SCHEME</x:v>
      </x:c>
    </x:row>
    <x:row r="401" ht="23" customHeight="1">
      <x:c r="A401" s="4" t="str">
        <x:v>Order</x:v>
      </x:c>
      <x:c r="B401" s="4" t="str">
        <x:v>deliveryFee</x:v>
      </x:c>
      <x:c r="C401" s="17" t="str">
        <x:v>deliveryFee</x:v>
      </x:c>
      <x:c r="D401" s="4" t="str">
        <x:v>8</x:v>
      </x:c>
      <x:c r="E401" s="4" t="str">
        <x:v>Int(分)</x:v>
      </x:c>
      <x:c r="F401" s="4" t="str">
        <x:v>YES</x:v>
      </x:c>
      <x:c r="G401" s="4" t="str">
        <x:v>整数分</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P0-022,P0-025,P0-029,P0-062</x:v>
      </x:c>
      <x:c r="O401" s="4" t="str">
        <x:v>综合方案§13核心数据模型</x:v>
      </x:c>
      <x:c r="P401" s="4" t="str">
        <x:v>DRAFT_FROM_SCHEME</x:v>
      </x:c>
    </x:row>
    <x:row r="402" ht="23" customHeight="1">
      <x:c r="A402" s="4" t="str">
        <x:v>Order</x:v>
      </x:c>
      <x:c r="B402" s="4" t="str">
        <x:v>discountAmount</x:v>
      </x:c>
      <x:c r="C402" s="17" t="str">
        <x:v>discountAmount</x:v>
      </x:c>
      <x:c r="D402" s="4" t="str">
        <x:v>9</x:v>
      </x:c>
      <x:c r="E402" s="4" t="str">
        <x:v>Int(分)</x:v>
      </x:c>
      <x:c r="F402" s="4" t="str">
        <x:v>YES</x:v>
      </x:c>
      <x:c r="G402" s="4" t="str">
        <x:v>整数分</x:v>
      </x:c>
      <x:c r="H402" s="17" t="str">
        <x:v>FINANCIAL</x:v>
      </x:c>
      <x:c r="I402" s="17" t="str">
        <x:v>公司财务与必要业务职能；供应商仅本供应商结算视图</x:v>
      </x:c>
      <x:c r="J402" s="17" t="str">
        <x:v>消费者响应仅返回自身交易白名单字段</x:v>
      </x:c>
      <x:c r="K402" s="17" t="str">
        <x:v>DTO白名单；长度/枚举/归属/状态校验；禁止信任客户端派生值</x:v>
      </x:c>
      <x:c r="L402" s="17" t="str">
        <x:v>追加/版本/快照，不覆盖已生效历史</x:v>
      </x:c>
      <x:c r="M402" s="4" t="str">
        <x:v>M3</x:v>
      </x:c>
      <x:c r="N402" s="4" t="str">
        <x:v>P0-022,P0-025,P0-029,P0-062</x:v>
      </x:c>
      <x:c r="O402" s="4" t="str">
        <x:v>综合方案§13核心数据模型</x:v>
      </x:c>
      <x:c r="P402" s="4" t="str">
        <x:v>DRAFT_FROM_SCHEME</x:v>
      </x:c>
    </x:row>
    <x:row r="403" ht="23" customHeight="1">
      <x:c r="A403" s="4" t="str">
        <x:v>Order</x:v>
      </x:c>
      <x:c r="B403" s="4" t="str">
        <x:v>totalAmount</x:v>
      </x:c>
      <x:c r="C403" s="17" t="str">
        <x:v>totalAmount</x:v>
      </x:c>
      <x:c r="D403" s="4" t="str">
        <x:v>10</x:v>
      </x:c>
      <x:c r="E403" s="4" t="str">
        <x:v>Int(分)</x:v>
      </x:c>
      <x:c r="F403" s="4" t="str">
        <x:v>YES</x:v>
      </x:c>
      <x:c r="G403" s="4" t="str">
        <x:v>整数分</x:v>
      </x:c>
      <x:c r="H403" s="17" t="str">
        <x:v>FINANCIAL</x:v>
      </x:c>
      <x:c r="I403" s="17" t="str">
        <x:v>公司财务与必要业务职能；供应商仅本供应商结算视图</x:v>
      </x:c>
      <x:c r="J403" s="17" t="str">
        <x:v>消费者响应仅返回自身交易白名单字段</x:v>
      </x:c>
      <x:c r="K403" s="17" t="str">
        <x:v>DTO白名单；长度/枚举/归属/状态校验；禁止信任客户端派生值</x:v>
      </x:c>
      <x:c r="L403" s="17" t="str">
        <x:v>追加/版本/快照，不覆盖已生效历史</x:v>
      </x:c>
      <x:c r="M403" s="4" t="str">
        <x:v>M3</x:v>
      </x:c>
      <x:c r="N403" s="4" t="str">
        <x:v>P0-022,P0-025,P0-029,P0-062</x:v>
      </x:c>
      <x:c r="O403" s="4" t="str">
        <x:v>综合方案§13核心数据模型</x:v>
      </x:c>
      <x:c r="P403" s="4" t="str">
        <x:v>DRAFT_FROM_SCHEME</x:v>
      </x:c>
    </x:row>
    <x:row r="404" ht="23" customHeight="1">
      <x:c r="A404" s="4" t="str">
        <x:v>Order</x:v>
      </x:c>
      <x:c r="B404" s="4" t="str">
        <x:v>welfareCardAccountId</x:v>
      </x:c>
      <x:c r="C404" s="17" t="str">
        <x:v>welfareCardAccountId</x:v>
      </x:c>
      <x:c r="D404" s="4" t="str">
        <x:v>11</x:v>
      </x:c>
      <x:c r="E404" s="4" t="str">
        <x:v>String/UUID</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P0-022,P0-025,P0-029,P0-062</x:v>
      </x:c>
      <x:c r="O404" s="4" t="str">
        <x:v>综合方案§13核心数据模型</x:v>
      </x:c>
      <x:c r="P404" s="4" t="str">
        <x:v>DRAFT_FROM_SCHEME</x:v>
      </x:c>
    </x:row>
    <x:row r="405" ht="23" customHeight="1">
      <x:c r="A405" s="4" t="str">
        <x:v>Order</x:v>
      </x:c>
      <x:c r="B405" s="4" t="str">
        <x:v>welfareCardAmount</x:v>
      </x:c>
      <x:c r="C405" s="17" t="str">
        <x:v>welfareCardAmount</x:v>
      </x:c>
      <x:c r="D405" s="4" t="str">
        <x:v>12</x:v>
      </x:c>
      <x:c r="E405" s="4" t="str">
        <x:v>Int(分)</x:v>
      </x:c>
      <x:c r="F405" s="4" t="str">
        <x:v>YES</x:v>
      </x:c>
      <x:c r="G405" s="4" t="str">
        <x:v>整数分</x:v>
      </x:c>
      <x:c r="H405" s="17" t="str">
        <x:v>FINANCIAL</x:v>
      </x:c>
      <x:c r="I405" s="17" t="str">
        <x:v>公司财务与必要业务职能；供应商仅本供应商结算视图</x:v>
      </x:c>
      <x:c r="J405" s="17" t="str">
        <x:v>消费者响应仅返回自身交易白名单字段</x:v>
      </x:c>
      <x:c r="K405" s="17" t="str">
        <x:v>DTO白名单；长度/枚举/归属/状态校验；禁止信任客户端派生值</x:v>
      </x:c>
      <x:c r="L405" s="17" t="str">
        <x:v>追加/版本/快照，不覆盖已生效历史</x:v>
      </x:c>
      <x:c r="M405" s="4" t="str">
        <x:v>M3</x:v>
      </x:c>
      <x:c r="N405" s="4" t="str">
        <x:v>P0-022,P0-025,P0-029,P0-062</x:v>
      </x:c>
      <x:c r="O405" s="4" t="str">
        <x:v>综合方案§13核心数据模型</x:v>
      </x:c>
      <x:c r="P405" s="4" t="str">
        <x:v>DRAFT_FROM_SCHEME</x:v>
      </x:c>
    </x:row>
    <x:row r="406" ht="23" customHeight="1">
      <x:c r="A406" s="4" t="str">
        <x:v>Order</x:v>
      </x:c>
      <x:c r="B406" s="4" t="str">
        <x:v>cashAmount</x:v>
      </x:c>
      <x:c r="C406" s="17" t="str">
        <x:v>cashAmount</x:v>
      </x:c>
      <x:c r="D406" s="4" t="str">
        <x:v>13</x:v>
      </x:c>
      <x:c r="E406" s="4" t="str">
        <x:v>Int(分)</x:v>
      </x:c>
      <x:c r="F406" s="4" t="str">
        <x:v>YES</x:v>
      </x:c>
      <x:c r="G406" s="4" t="str">
        <x:v>整数分</x:v>
      </x:c>
      <x:c r="H406" s="17" t="str">
        <x:v>FINANCIAL</x:v>
      </x:c>
      <x:c r="I406" s="17" t="str">
        <x:v>公司财务与必要业务职能；供应商仅本供应商结算视图</x:v>
      </x:c>
      <x:c r="J406" s="17" t="str">
        <x:v>消费者响应仅返回自身交易白名单字段</x:v>
      </x:c>
      <x:c r="K406" s="17" t="str">
        <x:v>DTO白名单；长度/枚举/归属/状态校验；禁止信任客户端派生值</x:v>
      </x:c>
      <x:c r="L406" s="17" t="str">
        <x:v>追加/版本/快照，不覆盖已生效历史</x:v>
      </x:c>
      <x:c r="M406" s="4" t="str">
        <x:v>M3</x:v>
      </x:c>
      <x:c r="N406" s="4" t="str">
        <x:v>P0-022,P0-025,P0-029,P0-062</x:v>
      </x:c>
      <x:c r="O406" s="4" t="str">
        <x:v>综合方案§13核心数据模型</x:v>
      </x:c>
      <x:c r="P406" s="4" t="str">
        <x:v>DRAFT_FROM_SCHEME</x:v>
      </x:c>
    </x:row>
    <x:row r="407" ht="23" customHeight="1">
      <x:c r="A407" s="4" t="str">
        <x:v>Order</x:v>
      </x:c>
      <x:c r="B407" s="4" t="str">
        <x:v>externalPaymentMethod</x:v>
      </x:c>
      <x:c r="C407" s="17" t="str">
        <x:v>externalPaymentMethod(WECHAT_PAY|BANK_TRANSFER)?</x:v>
      </x:c>
      <x:c r="D407" s="4" t="str">
        <x:v>14</x:v>
      </x:c>
      <x:c r="E407" s="4" t="str">
        <x:v>Enum</x:v>
      </x:c>
      <x:c r="F407" s="4" t="str">
        <x:v>NO</x:v>
      </x:c>
      <x:c r="G407" s="4" t="str">
        <x:v>待M阶段冻结</x:v>
      </x:c>
      <x:c r="H407" s="17" t="str">
        <x:v>FINANCIAL</x:v>
      </x:c>
      <x:c r="I407" s="17" t="str">
        <x:v>公司财务与必要业务职能；供应商仅本供应商结算视图</x:v>
      </x:c>
      <x:c r="J407" s="17" t="str">
        <x:v>消费者响应仅返回自身交易白名单字段</x:v>
      </x:c>
      <x:c r="K407" s="17" t="str">
        <x:v>DTO白名单；长度/枚举/归属/状态校验；禁止信任客户端派生值</x:v>
      </x:c>
      <x:c r="L407" s="17" t="str">
        <x:v>追加/版本/快照，不覆盖已生效历史</x:v>
      </x:c>
      <x:c r="M407" s="4" t="str">
        <x:v>M3</x:v>
      </x:c>
      <x:c r="N407" s="4" t="str">
        <x:v>P0-022,P0-025,P0-029,P0-062</x:v>
      </x:c>
      <x:c r="O407" s="4" t="str">
        <x:v>综合方案§13核心数据模型</x:v>
      </x:c>
      <x:c r="P407" s="4" t="str">
        <x:v>DRAFT_FROM_SCHEME</x:v>
      </x:c>
    </x:row>
    <x:row r="408" ht="23" customHeight="1">
      <x:c r="A408" s="4" t="str">
        <x:v>Order</x:v>
      </x:c>
      <x:c r="B408" s="4" t="str">
        <x:v>paymentStatus</x:v>
      </x:c>
      <x:c r="C408" s="17" t="str">
        <x:v>paymentStatus</x:v>
      </x:c>
      <x:c r="D408" s="4" t="str">
        <x:v>15</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P0-022,P0-025,P0-029,P0-062</x:v>
      </x:c>
      <x:c r="O408" s="4" t="str">
        <x:v>综合方案§13核心数据模型</x:v>
      </x:c>
      <x:c r="P408" s="4" t="str">
        <x:v>DRAFT_FROM_SCHEME</x:v>
      </x:c>
    </x:row>
    <x:row r="409" ht="23" customHeight="1">
      <x:c r="A409" s="4" t="str">
        <x:v>Order</x:v>
      </x:c>
      <x:c r="B409" s="4" t="str">
        <x:v>orderStatus</x:v>
      </x:c>
      <x:c r="C409" s="17" t="str">
        <x:v>orderStatus</x:v>
      </x:c>
      <x:c r="D409" s="4" t="str">
        <x:v>16</x:v>
      </x:c>
      <x:c r="E409" s="4" t="str">
        <x:v>Enum/String</x:v>
      </x:c>
      <x:c r="F409" s="4" t="str">
        <x:v>YES</x:v>
      </x:c>
      <x:c r="G409" s="4" t="str">
        <x:v>待M阶段冻结</x:v>
      </x:c>
      <x:c r="H409" s="17" t="str">
        <x:v>INTERNAL</x:v>
      </x:c>
      <x:c r="I409" s="17" t="str">
        <x:v>按资源权限与数据域访问；公开DTO另行白名单</x:v>
      </x:c>
      <x:c r="J409" s="17" t="str">
        <x:v>数据库实体不得直接序列化为响应</x:v>
      </x:c>
      <x:c r="K409" s="17" t="str">
        <x:v>DTO白名单；长度/枚举/归属/状态校验；禁止信任客户端派生值</x:v>
      </x:c>
      <x:c r="L409" s="17" t="str">
        <x:v>追加/版本/快照，不覆盖已生效历史</x:v>
      </x:c>
      <x:c r="M409" s="4" t="str">
        <x:v>M3</x:v>
      </x:c>
      <x:c r="N409" s="4" t="str">
        <x:v>P0-022,P0-025,P0-029,P0-062</x:v>
      </x:c>
      <x:c r="O409" s="4" t="str">
        <x:v>综合方案§13核心数据模型</x:v>
      </x:c>
      <x:c r="P409" s="4" t="str">
        <x:v>DRAFT_FROM_SCHEME</x:v>
      </x:c>
    </x:row>
    <x:row r="410" ht="23" customHeight="1">
      <x:c r="A410" s="4" t="str">
        <x:v>Order</x:v>
      </x:c>
      <x:c r="B410" s="4" t="str">
        <x:v>idempotencyKey</x:v>
      </x:c>
      <x:c r="C410" s="17" t="str">
        <x:v>idempotencyKey</x:v>
      </x:c>
      <x:c r="D410" s="4" t="str">
        <x:v>17</x:v>
      </x:c>
      <x:c r="E410" s="4" t="str">
        <x:v>String</x:v>
      </x:c>
      <x:c r="F410" s="4" t="str">
        <x:v>YES</x:v>
      </x:c>
      <x:c r="G410" s="4" t="str">
        <x:v>待M阶段冻结</x:v>
      </x:c>
      <x:c r="H410" s="17" t="str">
        <x:v>INTERNAL</x:v>
      </x:c>
      <x:c r="I410" s="17" t="str">
        <x:v>按资源权限与数据域访问；公开DTO另行白名单</x:v>
      </x:c>
      <x:c r="J410" s="17" t="str">
        <x:v>数据库实体不得直接序列化为响应</x:v>
      </x:c>
      <x:c r="K410" s="17" t="str">
        <x:v>DTO白名单；长度/枚举/归属/状态校验；禁止信任客户端派生值</x:v>
      </x:c>
      <x:c r="L410" s="17" t="str">
        <x:v>追加/版本/快照，不覆盖已生效历史</x:v>
      </x:c>
      <x:c r="M410" s="4" t="str">
        <x:v>M3</x:v>
      </x:c>
      <x:c r="N410" s="4" t="str">
        <x:v>P0-022,P0-025,P0-029,P0-062</x:v>
      </x:c>
      <x:c r="O410" s="4" t="str">
        <x:v>综合方案§13核心数据模型</x:v>
      </x:c>
      <x:c r="P410" s="4" t="str">
        <x:v>DRAFT_FROM_SCHEME</x:v>
      </x:c>
    </x:row>
    <x:row r="411" ht="23" customHeight="1">
      <x:c r="A411" s="4" t="str">
        <x:v>OrderItem</x:v>
      </x:c>
      <x:c r="B411" s="4" t="str">
        <x:v>id</x:v>
      </x:c>
      <x:c r="C411" s="17" t="str">
        <x:v>id</x:v>
      </x:c>
      <x:c r="D411" s="4" t="str">
        <x:v>1</x:v>
      </x:c>
      <x:c r="E411" s="4" t="str">
        <x:v>String/UUID</x:v>
      </x:c>
      <x:c r="F411" s="4" t="str">
        <x:v>YES</x:v>
      </x:c>
      <x:c r="G411" s="4" t="str">
        <x:v>待M阶段冻结</x:v>
      </x:c>
      <x:c r="H411" s="17" t="str">
        <x:v>INTERNAL</x:v>
      </x:c>
      <x:c r="I411" s="17" t="str">
        <x:v>按资源权限与数据域访问；公开DTO另行白名单</x:v>
      </x:c>
      <x:c r="J411" s="17" t="str">
        <x:v>数据库实体不得直接序列化为响应</x:v>
      </x:c>
      <x:c r="K411" s="17" t="str">
        <x:v>DTO白名单；长度/枚举/归属/状态校验；禁止信任客户端派生值</x:v>
      </x:c>
      <x:c r="L411" s="17" t="str">
        <x:v>追加/版本/快照，不覆盖已生效历史</x:v>
      </x:c>
      <x:c r="M411" s="4" t="str">
        <x:v>M3</x:v>
      </x:c>
      <x:c r="N411" s="4" t="str">
        <x:v>P0-021,P0-022,P0-065</x:v>
      </x:c>
      <x:c r="O411" s="4" t="str">
        <x:v>综合方案§13核心数据模型</x:v>
      </x:c>
      <x:c r="P411" s="4" t="str">
        <x:v>DRAFT_FROM_SCHEME</x:v>
      </x:c>
    </x:row>
    <x:row r="412" ht="23" customHeight="1">
      <x:c r="A412" s="4" t="str">
        <x:v>OrderItem</x:v>
      </x:c>
      <x:c r="B412" s="4" t="str">
        <x:v>orderId</x:v>
      </x:c>
      <x:c r="C412" s="17" t="str">
        <x:v>orderId</x:v>
      </x:c>
      <x:c r="D412" s="4" t="str">
        <x:v>2</x:v>
      </x:c>
      <x:c r="E412" s="4" t="str">
        <x:v>String/UUID</x:v>
      </x:c>
      <x:c r="F412" s="4" t="str">
        <x:v>YES</x:v>
      </x:c>
      <x:c r="G412" s="4" t="str">
        <x:v>待M阶段冻结</x:v>
      </x:c>
      <x:c r="H412" s="17" t="str">
        <x:v>INTERNAL</x:v>
      </x:c>
      <x:c r="I412" s="17" t="str">
        <x:v>按资源权限与数据域访问；公开DTO另行白名单</x:v>
      </x:c>
      <x:c r="J412" s="17" t="str">
        <x:v>数据库实体不得直接序列化为响应</x:v>
      </x:c>
      <x:c r="K412" s="17" t="str">
        <x:v>DTO白名单；长度/枚举/归属/状态校验；禁止信任客户端派生值</x:v>
      </x:c>
      <x:c r="L412" s="17" t="str">
        <x:v>追加/版本/快照，不覆盖已生效历史</x:v>
      </x:c>
      <x:c r="M412" s="4" t="str">
        <x:v>M3</x:v>
      </x:c>
      <x:c r="N412" s="4" t="str">
        <x:v>P0-021,P0-022,P0-065</x:v>
      </x:c>
      <x:c r="O412" s="4" t="str">
        <x:v>综合方案§13核心数据模型</x:v>
      </x:c>
      <x:c r="P412" s="4" t="str">
        <x:v>DRAFT_FROM_SCHEME</x:v>
      </x:c>
    </x:row>
    <x:row r="413" ht="23" customHeight="1">
      <x:c r="A413" s="4" t="str">
        <x:v>OrderItem</x:v>
      </x:c>
      <x:c r="B413" s="4" t="str">
        <x:v>supplierId</x:v>
      </x:c>
      <x:c r="C413" s="17" t="str">
        <x:v>supplierId</x:v>
      </x:c>
      <x:c r="D413" s="4" t="str">
        <x:v>3</x:v>
      </x:c>
      <x:c r="E413" s="4" t="str">
        <x:v>String/UUID</x:v>
      </x:c>
      <x:c r="F413" s="4" t="str">
        <x:v>YES</x:v>
      </x:c>
      <x:c r="G413" s="4" t="str">
        <x:v>待M阶段冻结</x:v>
      </x:c>
      <x:c r="H413" s="17" t="str">
        <x:v>INTERNAL</x:v>
      </x:c>
      <x:c r="I413" s="17" t="str">
        <x:v>按资源权限与数据域访问；公开DTO另行白名单</x:v>
      </x:c>
      <x:c r="J413" s="17" t="str">
        <x:v>数据库实体不得直接序列化为响应</x:v>
      </x:c>
      <x:c r="K413" s="17" t="str">
        <x:v>DTO白名单；长度/枚举/归属/状态校验；禁止信任客户端派生值</x:v>
      </x:c>
      <x:c r="L413" s="17" t="str">
        <x:v>追加/版本/快照，不覆盖已生效历史</x:v>
      </x:c>
      <x:c r="M413" s="4" t="str">
        <x:v>M3</x:v>
      </x:c>
      <x:c r="N413" s="4" t="str">
        <x:v>P0-021,P0-022,P0-065</x:v>
      </x:c>
      <x:c r="O413" s="4" t="str">
        <x:v>综合方案§13核心数据模型</x:v>
      </x:c>
      <x:c r="P413" s="4" t="str">
        <x:v>DRAFT_FROM_SCHEME</x:v>
      </x:c>
    </x:row>
    <x:row r="414" ht="23" customHeight="1">
      <x:c r="A414" s="4" t="str">
        <x:v>OrderItem</x:v>
      </x:c>
      <x:c r="B414" s="4" t="str">
        <x:v>productId</x:v>
      </x:c>
      <x:c r="C414" s="17" t="str">
        <x:v>productId</x:v>
      </x:c>
      <x:c r="D414" s="4" t="str">
        <x:v>4</x:v>
      </x:c>
      <x:c r="E414" s="4" t="str">
        <x:v>String/UUID</x:v>
      </x:c>
      <x:c r="F414" s="4" t="str">
        <x:v>YES</x:v>
      </x:c>
      <x:c r="G414" s="4" t="str">
        <x:v>待M阶段冻结</x:v>
      </x:c>
      <x:c r="H414" s="17" t="str">
        <x:v>INTERNAL</x:v>
      </x:c>
      <x:c r="I414" s="17" t="str">
        <x:v>按资源权限与数据域访问；公开DTO另行白名单</x:v>
      </x:c>
      <x:c r="J414" s="17" t="str">
        <x:v>数据库实体不得直接序列化为响应</x:v>
      </x:c>
      <x:c r="K414" s="17" t="str">
        <x:v>DTO白名单；长度/枚举/归属/状态校验；禁止信任客户端派生值</x:v>
      </x:c>
      <x:c r="L414" s="17" t="str">
        <x:v>追加/版本/快照，不覆盖已生效历史</x:v>
      </x:c>
      <x:c r="M414" s="4" t="str">
        <x:v>M3</x:v>
      </x:c>
      <x:c r="N414" s="4" t="str">
        <x:v>P0-021,P0-022,P0-065</x:v>
      </x:c>
      <x:c r="O414" s="4" t="str">
        <x:v>综合方案§13核心数据模型</x:v>
      </x:c>
      <x:c r="P414" s="4" t="str">
        <x:v>DRAFT_FROM_SCHEME</x:v>
      </x:c>
    </x:row>
    <x:row r="415" ht="23" customHeight="1">
      <x:c r="A415" s="4" t="str">
        <x:v>OrderItem</x:v>
      </x:c>
      <x:c r="B415" s="4" t="str">
        <x:v>skuId</x:v>
      </x:c>
      <x:c r="C415" s="17" t="str">
        <x:v>skuId</x:v>
      </x:c>
      <x:c r="D415" s="4" t="str">
        <x:v>5</x:v>
      </x:c>
      <x:c r="E415" s="4" t="str">
        <x:v>String/UUID</x:v>
      </x:c>
      <x:c r="F415" s="4" t="str">
        <x:v>YES</x:v>
      </x:c>
      <x:c r="G415" s="4" t="str">
        <x:v>待M阶段冻结</x:v>
      </x:c>
      <x:c r="H415" s="17" t="str">
        <x:v>INTERNAL</x:v>
      </x:c>
      <x:c r="I415" s="17" t="str">
        <x:v>按资源权限与数据域访问；公开DTO另行白名单</x:v>
      </x:c>
      <x:c r="J415" s="17" t="str">
        <x:v>数据库实体不得直接序列化为响应</x:v>
      </x:c>
      <x:c r="K415" s="17" t="str">
        <x:v>DTO白名单；长度/枚举/归属/状态校验；禁止信任客户端派生值</x:v>
      </x:c>
      <x:c r="L415" s="17" t="str">
        <x:v>追加/版本/快照，不覆盖已生效历史</x:v>
      </x:c>
      <x:c r="M415" s="4" t="str">
        <x:v>M3</x:v>
      </x:c>
      <x:c r="N415" s="4" t="str">
        <x:v>P0-021,P0-022,P0-065</x:v>
      </x:c>
      <x:c r="O415" s="4" t="str">
        <x:v>综合方案§13核心数据模型</x:v>
      </x:c>
      <x:c r="P415" s="4" t="str">
        <x:v>DRAFT_FROM_SCHEME</x:v>
      </x:c>
    </x:row>
    <x:row r="416" ht="23" customHeight="1">
      <x:c r="A416" s="4" t="str">
        <x:v>OrderItem</x:v>
      </x:c>
      <x:c r="B416" s="4" t="str">
        <x:v>productSnapshot</x:v>
      </x:c>
      <x:c r="C416" s="17" t="str">
        <x:v>productSnapshot</x:v>
      </x:c>
      <x:c r="D416" s="4" t="str">
        <x:v>6</x:v>
      </x:c>
      <x:c r="E416" s="4" t="str">
        <x:v>Json</x:v>
      </x:c>
      <x:c r="F416" s="4" t="str">
        <x:v>YES</x:v>
      </x:c>
      <x:c r="G416" s="4" t="str">
        <x:v>待M阶段冻结</x:v>
      </x:c>
      <x:c r="H416" s="17" t="str">
        <x:v>INTERNAL</x:v>
      </x:c>
      <x:c r="I416" s="17" t="str">
        <x:v>按资源权限与数据域访问；公开DTO另行白名单</x:v>
      </x:c>
      <x:c r="J416" s="17" t="str">
        <x:v>数据库实体不得直接序列化为响应</x:v>
      </x:c>
      <x:c r="K416" s="17" t="str">
        <x:v>DTO白名单；长度/枚举/归属/状态校验；禁止信任客户端派生值</x:v>
      </x:c>
      <x:c r="L416" s="17" t="str">
        <x:v>追加/版本/快照，不覆盖已生效历史</x:v>
      </x:c>
      <x:c r="M416" s="4" t="str">
        <x:v>M3</x:v>
      </x:c>
      <x:c r="N416" s="4" t="str">
        <x:v>P0-021,P0-022,P0-065</x:v>
      </x:c>
      <x:c r="O416" s="4" t="str">
        <x:v>综合方案§13核心数据模型</x:v>
      </x:c>
      <x:c r="P416" s="4" t="str">
        <x:v>DRAFT_FROM_SCHEME</x:v>
      </x:c>
    </x:row>
    <x:row r="417" ht="23" customHeight="1">
      <x:c r="A417" s="4" t="str">
        <x:v>OrderItem</x:v>
      </x:c>
      <x:c r="B417" s="4" t="str">
        <x:v>quantity</x:v>
      </x:c>
      <x:c r="C417" s="17" t="str">
        <x:v>quantity</x:v>
      </x:c>
      <x:c r="D417" s="4" t="str">
        <x:v>7</x:v>
      </x:c>
      <x:c r="E417" s="4" t="str">
        <x:v>Int</x:v>
      </x:c>
      <x:c r="F417" s="4" t="str">
        <x:v>YES</x:v>
      </x:c>
      <x:c r="G417" s="4" t="str">
        <x:v>待M阶段冻结</x:v>
      </x:c>
      <x:c r="H417" s="17" t="str">
        <x:v>INTERNAL</x:v>
      </x:c>
      <x:c r="I417" s="17" t="str">
        <x:v>按资源权限与数据域访问；公开DTO另行白名单</x:v>
      </x:c>
      <x:c r="J417" s="17" t="str">
        <x:v>数据库实体不得直接序列化为响应</x:v>
      </x:c>
      <x:c r="K417" s="17" t="str">
        <x:v>DTO白名单；长度/枚举/归属/状态校验；禁止信任客户端派生值</x:v>
      </x:c>
      <x:c r="L417" s="17" t="str">
        <x:v>追加/版本/快照，不覆盖已生效历史</x:v>
      </x:c>
      <x:c r="M417" s="4" t="str">
        <x:v>M3</x:v>
      </x:c>
      <x:c r="N417" s="4" t="str">
        <x:v>P0-021,P0-022,P0-065</x:v>
      </x:c>
      <x:c r="O417" s="4" t="str">
        <x:v>综合方案§13核心数据模型</x:v>
      </x:c>
      <x:c r="P417" s="4" t="str">
        <x:v>DRAFT_FROM_SCHEME</x:v>
      </x:c>
    </x:row>
    <x:row r="418" ht="23" customHeight="1">
      <x:c r="A418" s="4" t="str">
        <x:v>OrderItem</x:v>
      </x:c>
      <x:c r="B418" s="4" t="str">
        <x:v>salePriceSnapshot</x:v>
      </x:c>
      <x:c r="C418" s="17" t="str">
        <x:v>salePriceSnapshot</x:v>
      </x:c>
      <x:c r="D418" s="4" t="str">
        <x:v>8</x:v>
      </x:c>
      <x:c r="E418" s="4" t="str">
        <x:v>Json</x:v>
      </x:c>
      <x:c r="F418" s="4" t="str">
        <x:v>YES</x:v>
      </x:c>
      <x:c r="G418" s="4" t="str">
        <x:v>待M阶段冻结</x:v>
      </x:c>
      <x:c r="H418" s="17" t="str">
        <x:v>INTERNAL</x:v>
      </x:c>
      <x:c r="I418" s="17" t="str">
        <x:v>按资源权限与数据域访问；公开DTO另行白名单</x:v>
      </x:c>
      <x:c r="J418" s="17" t="str">
        <x:v>数据库实体不得直接序列化为响应</x:v>
      </x:c>
      <x:c r="K418" s="17" t="str">
        <x:v>DTO白名单；长度/枚举/归属/状态校验；禁止信任客户端派生值</x:v>
      </x:c>
      <x:c r="L418" s="17" t="str">
        <x:v>追加/版本/快照，不覆盖已生效历史</x:v>
      </x:c>
      <x:c r="M418" s="4" t="str">
        <x:v>M3</x:v>
      </x:c>
      <x:c r="N418" s="4" t="str">
        <x:v>P0-021,P0-022,P0-065</x:v>
      </x:c>
      <x:c r="O418" s="4" t="str">
        <x:v>综合方案§13核心数据模型</x:v>
      </x:c>
      <x:c r="P418" s="4" t="str">
        <x:v>DRAFT_FROM_SCHEME</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待M阶段冻结</x:v>
      </x:c>
      <x:c r="H419" s="17" t="str">
        <x:v>STRICT_INTERNAL_SUPPLY_PRICE</x:v>
      </x:c>
      <x:c r="I419" s="17" t="str">
        <x:v>仅公司价格/财务及本供应商价格/财务职能可见</x:v>
      </x:c>
      <x:c r="J419" s="17" t="str">
        <x:v>禁止出现在消费者端、企业采购端、门户公开端及非授权日志</x:v>
      </x:c>
      <x:c r="K419" s="17" t="str">
        <x:v>DTO白名单；长度/枚举/归属/状态校验；禁止信任客户端派生值</x:v>
      </x:c>
      <x:c r="L419" s="17" t="str">
        <x:v>追加/版本/快照，不覆盖已生效历史</x:v>
      </x:c>
      <x:c r="M419" s="4" t="str">
        <x:v>M3</x:v>
      </x:c>
      <x:c r="N419" s="4" t="str">
        <x:v>P0-021,P0-022,P0-065</x:v>
      </x:c>
      <x:c r="O419" s="4" t="str">
        <x:v>综合方案§13核心数据模型</x:v>
      </x:c>
      <x:c r="P419" s="4" t="str">
        <x:v>DRAFT_FROM_SCHEME</x:v>
      </x:c>
    </x:row>
    <x:row r="420" ht="23" customHeight="1">
      <x:c r="A420" s="4" t="str">
        <x:v>OrderItem</x:v>
      </x:c>
      <x:c r="B420" s="4" t="str">
        <x:v>refundStatus</x:v>
      </x:c>
      <x:c r="C420" s="17" t="str">
        <x:v>refundStatus</x:v>
      </x:c>
      <x:c r="D420" s="4" t="str">
        <x:v>10</x:v>
      </x:c>
      <x:c r="E420" s="4" t="str">
        <x:v>Enum/String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P0-021,P0-022,P0-065</x:v>
      </x:c>
      <x:c r="O420" s="4" t="str">
        <x:v>综合方案§13核心数据模型</x:v>
      </x:c>
      <x:c r="P420" s="4" t="str">
        <x:v>DRAFT_FROM_SCHEME</x:v>
      </x:c>
    </x:row>
    <x:row r="421" ht="23" customHeight="1">
      <x:c r="A421" s="4" t="str">
        <x:v>OrderPaymentAllocation</x:v>
      </x:c>
      <x:c r="B421" s="4" t="str">
        <x:v>id</x:v>
      </x:c>
      <x:c r="C421" s="17" t="str">
        <x:v>id</x:v>
      </x:c>
      <x:c r="D421" s="4" t="str">
        <x:v>1</x:v>
      </x:c>
      <x:c r="E421" s="4" t="str">
        <x:v>String/UUID</x:v>
      </x:c>
      <x:c r="F421" s="4" t="str">
        <x:v>YES</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待切片细化</x:v>
      </x:c>
      <x:c r="O421" s="4" t="str">
        <x:v>综合方案§13核心数据模型</x:v>
      </x:c>
      <x:c r="P421" s="4" t="str">
        <x:v>DRAFT_FROM_SCHEME</x:v>
      </x:c>
    </x:row>
    <x:row r="422" ht="23" customHeight="1">
      <x:c r="A422" s="4" t="str">
        <x:v>OrderPaymentAllocation</x:v>
      </x:c>
      <x:c r="B422" s="4" t="str">
        <x:v>orderId</x:v>
      </x:c>
      <x:c r="C422" s="17" t="str">
        <x:v>orderId</x:v>
      </x:c>
      <x:c r="D422" s="4" t="str">
        <x:v>2</x:v>
      </x:c>
      <x:c r="E422" s="4" t="str">
        <x:v>String/UUID</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待切片细化</x:v>
      </x:c>
      <x:c r="O422" s="4" t="str">
        <x:v>综合方案§13核心数据模型</x:v>
      </x:c>
      <x:c r="P422" s="4" t="str">
        <x:v>DRAFT_FROM_SCHEME</x:v>
      </x:c>
    </x:row>
    <x:row r="423" ht="23" customHeight="1">
      <x:c r="A423" s="4" t="str">
        <x:v>OrderPaymentAllocation</x:v>
      </x:c>
      <x:c r="B423" s="4" t="str">
        <x:v>orderItemId</x:v>
      </x:c>
      <x:c r="C423" s="17" t="str">
        <x:v>orderItemId</x:v>
      </x:c>
      <x:c r="D423" s="4" t="str">
        <x:v>3</x:v>
      </x:c>
      <x:c r="E423" s="4" t="str">
        <x:v>String/UUID</x:v>
      </x:c>
      <x:c r="F423" s="4" t="str">
        <x:v>YES</x:v>
      </x:c>
      <x:c r="G423" s="4" t="str">
        <x:v>待M阶段冻结</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待切片细化</x:v>
      </x:c>
      <x:c r="O423" s="4" t="str">
        <x:v>综合方案§13核心数据模型</x:v>
      </x:c>
      <x:c r="P423" s="4" t="str">
        <x:v>DRAFT_FROM_SCHEME</x:v>
      </x:c>
    </x:row>
    <x:row r="424" ht="23" customHeight="1">
      <x:c r="A424" s="4" t="str">
        <x:v>OrderPaymentAllocation</x:v>
      </x:c>
      <x:c r="B424" s="4" t="str">
        <x:v>welfareCardAmount</x:v>
      </x:c>
      <x:c r="C424" s="17" t="str">
        <x:v>welfareCardAmount</x:v>
      </x:c>
      <x:c r="D424" s="4" t="str">
        <x:v>4</x:v>
      </x:c>
      <x:c r="E424" s="4" t="str">
        <x:v>Int(分)</x:v>
      </x:c>
      <x:c r="F424" s="4" t="str">
        <x:v>YES</x:v>
      </x:c>
      <x:c r="G424" s="4" t="str">
        <x:v>整数分</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待切片细化</x:v>
      </x:c>
      <x:c r="O424" s="4" t="str">
        <x:v>综合方案§13核心数据模型</x:v>
      </x:c>
      <x:c r="P424" s="4" t="str">
        <x:v>DRAFT_FROM_SCHEME</x:v>
      </x:c>
    </x:row>
    <x:row r="425" ht="23" customHeight="1">
      <x:c r="A425" s="4" t="str">
        <x:v>OrderPaymentAllocation</x:v>
      </x:c>
      <x:c r="B425" s="4" t="str">
        <x:v>cashAmount</x:v>
      </x:c>
      <x:c r="C425" s="17" t="str">
        <x:v>cashAmount</x:v>
      </x:c>
      <x:c r="D425" s="4" t="str">
        <x:v>5</x:v>
      </x:c>
      <x:c r="E425" s="4" t="str">
        <x:v>Int(分)</x:v>
      </x:c>
      <x:c r="F425" s="4" t="str">
        <x:v>YES</x:v>
      </x:c>
      <x:c r="G425" s="4" t="str">
        <x:v>整数分</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待切片细化</x:v>
      </x:c>
      <x:c r="O425" s="4" t="str">
        <x:v>综合方案§13核心数据模型</x:v>
      </x:c>
      <x:c r="P425" s="4" t="str">
        <x:v>DRAFT_FROM_SCHEME</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待切片细化</x:v>
      </x:c>
      <x:c r="O426" s="4" t="str">
        <x:v>综合方案§13核心数据模型</x:v>
      </x:c>
      <x:c r="P426" s="4" t="str">
        <x:v>DRAFT_FROM_SCHEME</x:v>
      </x:c>
    </x:row>
    <x:row r="427" ht="23" customHeight="1">
      <x:c r="A427" s="4" t="str">
        <x:v>OrderPaymentAllocation</x:v>
      </x:c>
      <x:c r="B427" s="4" t="str">
        <x:v>createdAt</x:v>
      </x:c>
      <x:c r="C427" s="17" t="str">
        <x:v>createdAt</x:v>
      </x:c>
      <x:c r="D427" s="4" t="str">
        <x:v>7</x:v>
      </x:c>
      <x:c r="E427" s="4" t="str">
        <x:v>DateTime</x:v>
      </x:c>
      <x:c r="F427" s="4" t="str">
        <x:v>YES</x:v>
      </x:c>
      <x:c r="G427" s="4" t="str">
        <x:v>ISO-8601+明确时区</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待切片细化</x:v>
      </x:c>
      <x:c r="O427" s="4" t="str">
        <x:v>综合方案§13核心数据模型</x:v>
      </x:c>
      <x:c r="P427" s="4" t="str">
        <x:v>DRAFT_FROM_SCHEME</x:v>
      </x:c>
    </x:row>
    <x:row r="428" ht="23" customHeight="1">
      <x:c r="A428" s="4" t="str">
        <x:v>PaymentTransaction</x:v>
      </x:c>
      <x:c r="B428" s="4" t="str">
        <x:v>id</x:v>
      </x:c>
      <x:c r="C428" s="17" t="str">
        <x:v>id</x:v>
      </x:c>
      <x:c r="D428" s="4" t="str">
        <x:v>1</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P0-024,P0-056,P0-093</x:v>
      </x:c>
      <x:c r="O428" s="4" t="str">
        <x:v>综合方案§13核心数据模型</x:v>
      </x:c>
      <x:c r="P428" s="4" t="str">
        <x:v>DRAFT_FROM_SCHEME</x:v>
      </x:c>
    </x:row>
    <x:row r="429" ht="23" customHeight="1">
      <x:c r="A429" s="4" t="str">
        <x:v>PaymentTransaction</x:v>
      </x:c>
      <x:c r="B429" s="4" t="str">
        <x:v>orderId</x:v>
      </x:c>
      <x:c r="C429" s="17" t="str">
        <x:v>orderId</x:v>
      </x:c>
      <x:c r="D429" s="4" t="str">
        <x:v>2</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P0-024,P0-056,P0-093</x:v>
      </x:c>
      <x:c r="O429" s="4" t="str">
        <x:v>综合方案§13核心数据模型</x:v>
      </x:c>
      <x:c r="P429" s="4" t="str">
        <x:v>DRAFT_FROM_SCHEME</x:v>
      </x:c>
    </x:row>
    <x:row r="430" ht="23" customHeight="1">
      <x:c r="A430" s="4" t="str">
        <x:v>PaymentTransaction</x:v>
      </x:c>
      <x:c r="B430" s="4" t="str">
        <x:v>channel</x:v>
      </x:c>
      <x:c r="C430" s="17" t="str">
        <x:v>channel=WECHAT_PAY</x:v>
      </x:c>
      <x:c r="D430" s="4" t="str">
        <x:v>3</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P0-024,P0-056,P0-093</x:v>
      </x:c>
      <x:c r="O430" s="4" t="str">
        <x:v>综合方案§13核心数据模型</x:v>
      </x:c>
      <x:c r="P430" s="4" t="str">
        <x:v>DRAFT_FROM_SCHEME</x:v>
      </x:c>
    </x:row>
    <x:row r="431" ht="23" customHeight="1">
      <x:c r="A431" s="4" t="str">
        <x:v>PaymentTransaction</x:v>
      </x:c>
      <x:c r="B431" s="4" t="str">
        <x:v>amount</x:v>
      </x:c>
      <x:c r="C431" s="17" t="str">
        <x:v>amount</x:v>
      </x:c>
      <x:c r="D431" s="4" t="str">
        <x:v>4</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P0-024,P0-056,P0-093</x:v>
      </x:c>
      <x:c r="O431" s="4" t="str">
        <x:v>综合方案§13核心数据模型</x:v>
      </x:c>
      <x:c r="P431" s="4" t="str">
        <x:v>DRAFT_FROM_SCHEME</x:v>
      </x:c>
    </x:row>
    <x:row r="432" ht="23" customHeight="1">
      <x:c r="A432" s="4" t="str">
        <x:v>PaymentTransaction</x:v>
      </x:c>
      <x:c r="B432" s="4" t="str">
        <x:v>outTradeNo</x:v>
      </x:c>
      <x:c r="C432" s="17" t="str">
        <x:v>outTradeNo</x:v>
      </x:c>
      <x:c r="D432" s="4" t="str">
        <x:v>5</x:v>
      </x:c>
      <x:c r="E432" s="4" t="str">
        <x:v>String</x:v>
      </x:c>
      <x:c r="F432" s="4" t="str">
        <x:v>YES</x:v>
      </x:c>
      <x:c r="G432" s="4" t="str">
        <x:v>待M阶段冻结</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P0-024,P0-056,P0-093</x:v>
      </x:c>
      <x:c r="O432" s="4" t="str">
        <x:v>综合方案§13核心数据模型</x:v>
      </x:c>
      <x:c r="P432" s="4" t="str">
        <x:v>DRAFT_FROM_SCHEME</x:v>
      </x:c>
    </x:row>
    <x:row r="433" ht="23" customHeight="1">
      <x:c r="A433" s="4" t="str">
        <x:v>PaymentTransaction</x:v>
      </x:c>
      <x:c r="B433" s="4" t="str">
        <x:v>wechatTransactionId</x:v>
      </x:c>
      <x:c r="C433" s="17" t="str">
        <x:v>wechatTransactionId?</x:v>
      </x:c>
      <x:c r="D433" s="4" t="str">
        <x:v>6</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P0-024,P0-056,P0-093</x:v>
      </x:c>
      <x:c r="O433" s="4" t="str">
        <x:v>综合方案§13核心数据模型</x:v>
      </x:c>
      <x:c r="P433" s="4" t="str">
        <x:v>DRAFT_FROM_SCHEME</x:v>
      </x:c>
    </x:row>
    <x:row r="434" ht="23" customHeight="1">
      <x:c r="A434" s="4" t="str">
        <x:v>PaymentTransaction</x:v>
      </x:c>
      <x:c r="B434" s="4" t="str">
        <x:v>status</x:v>
      </x:c>
      <x:c r="C434" s="17" t="str">
        <x:v>status</x:v>
      </x:c>
      <x:c r="D434" s="4" t="str">
        <x:v>7</x:v>
      </x:c>
      <x:c r="E434" s="4" t="str">
        <x:v>Enum/String</x:v>
      </x:c>
      <x:c r="F434" s="4" t="str">
        <x:v>YES</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P0-024,P0-056,P0-093</x:v>
      </x:c>
      <x:c r="O434" s="4" t="str">
        <x:v>综合方案§13核心数据模型</x:v>
      </x:c>
      <x:c r="P434" s="4" t="str">
        <x:v>DRAFT_FROM_SCHEME</x:v>
      </x:c>
    </x:row>
    <x:row r="435" ht="23" customHeight="1">
      <x:c r="A435" s="4" t="str">
        <x:v>PaymentTransaction</x:v>
      </x:c>
      <x:c r="B435" s="4" t="str">
        <x:v>notifyVerifiedAt</x:v>
      </x:c>
      <x:c r="C435" s="17" t="str">
        <x:v>notifyVerifiedAt?</x:v>
      </x:c>
      <x:c r="D435" s="4" t="str">
        <x:v>8</x:v>
      </x:c>
      <x:c r="E435" s="4" t="str">
        <x:v>DateTime</x:v>
      </x:c>
      <x:c r="F435" s="4" t="str">
        <x:v>NO</x:v>
      </x:c>
      <x:c r="G435" s="4" t="str">
        <x:v>ISO-8601+明确时区</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P0-024,P0-056,P0-093</x:v>
      </x:c>
      <x:c r="O435" s="4" t="str">
        <x:v>综合方案§13核心数据模型</x:v>
      </x:c>
      <x:c r="P435" s="4" t="str">
        <x:v>DRAFT_FROM_SCHEME</x:v>
      </x:c>
    </x:row>
    <x:row r="436" ht="23" customHeight="1">
      <x:c r="A436" s="4" t="str">
        <x:v>PaymentTransaction</x:v>
      </x:c>
      <x:c r="B436" s="4" t="str">
        <x:v>paidAt</x:v>
      </x:c>
      <x:c r="C436" s="17" t="str">
        <x:v>paidAt?</x:v>
      </x:c>
      <x:c r="D436" s="4" t="str">
        <x:v>9</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P0-024,P0-056,P0-093</x:v>
      </x:c>
      <x:c r="O436" s="4" t="str">
        <x:v>综合方案§13核心数据模型</x:v>
      </x:c>
      <x:c r="P436" s="4" t="str">
        <x:v>DRAFT_FROM_SCHEME</x:v>
      </x:c>
    </x:row>
    <x:row r="437" ht="23" customHeight="1">
      <x:c r="A437" s="4" t="str">
        <x:v>PaymentTransaction</x:v>
      </x:c>
      <x:c r="B437" s="4" t="str">
        <x:v>closedAt</x:v>
      </x:c>
      <x:c r="C437" s="17" t="str">
        <x:v>closedAt?</x:v>
      </x:c>
      <x:c r="D437" s="4" t="str">
        <x:v>10</x:v>
      </x:c>
      <x:c r="E437" s="4" t="str">
        <x:v>DateTime</x:v>
      </x:c>
      <x:c r="F437" s="4" t="str">
        <x:v>NO</x:v>
      </x:c>
      <x:c r="G437" s="4" t="str">
        <x:v>ISO-8601+明确时区</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P0-024,P0-056,P0-093</x:v>
      </x:c>
      <x:c r="O437" s="4" t="str">
        <x:v>综合方案§13核心数据模型</x:v>
      </x:c>
      <x:c r="P437" s="4" t="str">
        <x:v>DRAFT_FROM_SCHEME</x:v>
      </x:c>
    </x:row>
    <x:row r="438" ht="23" customHeight="1">
      <x:c r="A438" s="4" t="str">
        <x:v>PaymentTransaction</x:v>
      </x:c>
      <x:c r="B438" s="4" t="str">
        <x:v>idempotencyKey</x:v>
      </x:c>
      <x:c r="C438" s="17" t="str">
        <x:v>idempotencyKey</x:v>
      </x:c>
      <x:c r="D438" s="4" t="str">
        <x:v>11</x:v>
      </x:c>
      <x:c r="E438" s="4" t="str">
        <x:v>String</x:v>
      </x:c>
      <x:c r="F438" s="4" t="str">
        <x:v>YES</x:v>
      </x:c>
      <x:c r="G438" s="4" t="str">
        <x:v>待M阶段冻结</x:v>
      </x:c>
      <x:c r="H438" s="17" t="str">
        <x:v>FINANCIAL</x:v>
      </x:c>
      <x:c r="I438" s="17" t="str">
        <x:v>公司财务与必要业务职能；供应商仅本供应商结算视图</x:v>
      </x:c>
      <x:c r="J438" s="17" t="str">
        <x:v>消费者响应仅返回自身交易白名单字段</x:v>
      </x:c>
      <x:c r="K438" s="17" t="str">
        <x:v>DTO白名单；长度/枚举/归属/状态校验；禁止信任客户端派生值</x:v>
      </x:c>
      <x:c r="L438" s="17" t="str">
        <x:v>追加/版本/快照，不覆盖已生效历史</x:v>
      </x:c>
      <x:c r="M438" s="4" t="str">
        <x:v>M3</x:v>
      </x:c>
      <x:c r="N438" s="4" t="str">
        <x:v>P0-024,P0-056,P0-093</x:v>
      </x:c>
      <x:c r="O438" s="4" t="str">
        <x:v>综合方案§13核心数据模型</x:v>
      </x:c>
      <x:c r="P438" s="4" t="str">
        <x:v>DRAFT_FROM_SCHEME</x:v>
      </x:c>
    </x:row>
    <x:row r="439" ht="23" customHeight="1">
      <x:c r="A439" s="4" t="str">
        <x:v>RefundTransaction</x:v>
      </x:c>
      <x:c r="B439" s="4" t="str">
        <x:v>id</x:v>
      </x:c>
      <x:c r="C439" s="17" t="str">
        <x:v>id</x:v>
      </x:c>
      <x:c r="D439" s="4" t="str">
        <x:v>1</x:v>
      </x:c>
      <x:c r="E439" s="4" t="str">
        <x:v>String/UUID</x:v>
      </x:c>
      <x:c r="F439" s="4" t="str">
        <x:v>YES</x:v>
      </x:c>
      <x:c r="G439" s="4" t="str">
        <x:v>待M阶段冻结</x:v>
      </x:c>
      <x:c r="H439" s="17" t="str">
        <x:v>FINANCIAL</x:v>
      </x:c>
      <x:c r="I439" s="17" t="str">
        <x:v>公司财务与必要业务职能；供应商仅本供应商结算视图</x:v>
      </x:c>
      <x:c r="J439" s="17" t="str">
        <x:v>消费者响应仅返回自身交易白名单字段</x:v>
      </x:c>
      <x:c r="K439" s="17" t="str">
        <x:v>DTO白名单；长度/枚举/归属/状态校验；禁止信任客户端派生值</x:v>
      </x:c>
      <x:c r="L439" s="17" t="str">
        <x:v>追加/版本/快照，不覆盖已生效历史</x:v>
      </x:c>
      <x:c r="M439" s="4" t="str">
        <x:v>M3</x:v>
      </x:c>
      <x:c r="N439" s="4" t="str">
        <x:v>P0-026,P0-058,P0-096</x:v>
      </x:c>
      <x:c r="O439" s="4" t="str">
        <x:v>综合方案§13核心数据模型</x:v>
      </x:c>
      <x:c r="P439" s="4" t="str">
        <x:v>DRAFT_FROM_SCHEME</x:v>
      </x:c>
    </x:row>
    <x:row r="440" ht="23" customHeight="1">
      <x:c r="A440" s="4" t="str">
        <x:v>RefundTransaction</x:v>
      </x:c>
      <x:c r="B440" s="4" t="str">
        <x:v>orderId</x:v>
      </x:c>
      <x:c r="C440" s="17" t="str">
        <x:v>orderId</x:v>
      </x:c>
      <x:c r="D440" s="4" t="str">
        <x:v>2</x:v>
      </x:c>
      <x:c r="E440" s="4" t="str">
        <x:v>String/UUID</x:v>
      </x:c>
      <x:c r="F440" s="4" t="str">
        <x:v>YES</x:v>
      </x:c>
      <x:c r="G440" s="4" t="str">
        <x:v>待M阶段冻结</x:v>
      </x:c>
      <x:c r="H440" s="17" t="str">
        <x:v>FINANCIAL</x:v>
      </x:c>
      <x:c r="I440" s="17" t="str">
        <x:v>公司财务与必要业务职能；供应商仅本供应商结算视图</x:v>
      </x:c>
      <x:c r="J440" s="17" t="str">
        <x:v>消费者响应仅返回自身交易白名单字段</x:v>
      </x:c>
      <x:c r="K440" s="17" t="str">
        <x:v>DTO白名单；长度/枚举/归属/状态校验；禁止信任客户端派生值</x:v>
      </x:c>
      <x:c r="L440" s="17" t="str">
        <x:v>追加/版本/快照，不覆盖已生效历史</x:v>
      </x:c>
      <x:c r="M440" s="4" t="str">
        <x:v>M3</x:v>
      </x:c>
      <x:c r="N440" s="4" t="str">
        <x:v>P0-026,P0-058,P0-096</x:v>
      </x:c>
      <x:c r="O440" s="4" t="str">
        <x:v>综合方案§13核心数据模型</x:v>
      </x:c>
      <x:c r="P440" s="4" t="str">
        <x:v>DRAFT_FROM_SCHEME</x:v>
      </x:c>
    </x:row>
    <x:row r="441" ht="23" customHeight="1">
      <x:c r="A441" s="4" t="str">
        <x:v>RefundTransaction</x:v>
      </x:c>
      <x:c r="B441" s="4" t="str">
        <x:v>orderItemId</x:v>
      </x:c>
      <x:c r="C441" s="17" t="str">
        <x:v>orderItemId</x:v>
      </x:c>
      <x:c r="D441" s="4" t="str">
        <x:v>3</x:v>
      </x:c>
      <x:c r="E441" s="4" t="str">
        <x:v>String/UUID</x:v>
      </x:c>
      <x:c r="F441" s="4" t="str">
        <x:v>YES</x:v>
      </x:c>
      <x:c r="G441" s="4" t="str">
        <x:v>待M阶段冻结</x:v>
      </x:c>
      <x:c r="H441" s="17" t="str">
        <x:v>FINANCIAL</x:v>
      </x:c>
      <x:c r="I441" s="17" t="str">
        <x:v>公司财务与必要业务职能；供应商仅本供应商结算视图</x:v>
      </x:c>
      <x:c r="J441" s="17" t="str">
        <x:v>消费者响应仅返回自身交易白名单字段</x:v>
      </x:c>
      <x:c r="K441" s="17" t="str">
        <x:v>DTO白名单；长度/枚举/归属/状态校验；禁止信任客户端派生值</x:v>
      </x:c>
      <x:c r="L441" s="17" t="str">
        <x:v>追加/版本/快照，不覆盖已生效历史</x:v>
      </x:c>
      <x:c r="M441" s="4" t="str">
        <x:v>M3</x:v>
      </x:c>
      <x:c r="N441" s="4" t="str">
        <x:v>P0-026,P0-058,P0-096</x:v>
      </x:c>
      <x:c r="O441" s="4" t="str">
        <x:v>综合方案§13核心数据模型</x:v>
      </x:c>
      <x:c r="P441" s="4" t="str">
        <x:v>DRAFT_FROM_SCHEME</x:v>
      </x:c>
    </x:row>
    <x:row r="442" ht="23" customHeight="1">
      <x:c r="A442" s="4" t="str">
        <x:v>RefundTransaction</x:v>
      </x:c>
      <x:c r="B442" s="4" t="str">
        <x:v>refundNo</x:v>
      </x:c>
      <x:c r="C442" s="17" t="str">
        <x:v>refundNo</x:v>
      </x:c>
      <x:c r="D442" s="4" t="str">
        <x:v>4</x:v>
      </x:c>
      <x:c r="E442" s="4" t="str">
        <x:v>String</x:v>
      </x:c>
      <x:c r="F442" s="4" t="str">
        <x:v>YES</x:v>
      </x:c>
      <x:c r="G442" s="4" t="str">
        <x:v>待M阶段冻结</x:v>
      </x:c>
      <x:c r="H442" s="17" t="str">
        <x:v>FINANCIAL</x:v>
      </x:c>
      <x:c r="I442" s="17" t="str">
        <x:v>公司财务与必要业务职能；供应商仅本供应商结算视图</x:v>
      </x:c>
      <x:c r="J442" s="17" t="str">
        <x:v>消费者响应仅返回自身交易白名单字段</x:v>
      </x:c>
      <x:c r="K442" s="17" t="str">
        <x:v>DTO白名单；长度/枚举/归属/状态校验；禁止信任客户端派生值</x:v>
      </x:c>
      <x:c r="L442" s="17" t="str">
        <x:v>追加/版本/快照，不覆盖已生效历史</x:v>
      </x:c>
      <x:c r="M442" s="4" t="str">
        <x:v>M3</x:v>
      </x:c>
      <x:c r="N442" s="4" t="str">
        <x:v>P0-026,P0-058,P0-096</x:v>
      </x:c>
      <x:c r="O442" s="4" t="str">
        <x:v>综合方案§13核心数据模型</x:v>
      </x:c>
      <x:c r="P442" s="4" t="str">
        <x:v>DRAFT_FROM_SCHEME</x:v>
      </x:c>
    </x:row>
    <x:row r="443" ht="23" customHeight="1">
      <x:c r="A443" s="4" t="str">
        <x:v>RefundTransaction</x:v>
      </x:c>
      <x:c r="B443" s="4" t="str">
        <x:v>welfareCardRefundAmount</x:v>
      </x:c>
      <x:c r="C443" s="17" t="str">
        <x:v>welfareCardRefundAmount</x:v>
      </x:c>
      <x:c r="D443" s="4" t="str">
        <x:v>5</x:v>
      </x:c>
      <x:c r="E443" s="4" t="str">
        <x:v>Int(分)</x:v>
      </x:c>
      <x:c r="F443" s="4" t="str">
        <x:v>YES</x:v>
      </x:c>
      <x:c r="G443" s="4" t="str">
        <x:v>整数分</x:v>
      </x:c>
      <x:c r="H443" s="17" t="str">
        <x:v>FINANCIAL</x:v>
      </x:c>
      <x:c r="I443" s="17" t="str">
        <x:v>公司财务与必要业务职能；供应商仅本供应商结算视图</x:v>
      </x:c>
      <x:c r="J443" s="17" t="str">
        <x:v>消费者响应仅返回自身交易白名单字段</x:v>
      </x:c>
      <x:c r="K443" s="17" t="str">
        <x:v>DTO白名单；长度/枚举/归属/状态校验；禁止信任客户端派生值</x:v>
      </x:c>
      <x:c r="L443" s="17" t="str">
        <x:v>追加/版本/快照，不覆盖已生效历史</x:v>
      </x:c>
      <x:c r="M443" s="4" t="str">
        <x:v>M3</x:v>
      </x:c>
      <x:c r="N443" s="4" t="str">
        <x:v>P0-026,P0-058,P0-096</x:v>
      </x:c>
      <x:c r="O443" s="4" t="str">
        <x:v>综合方案§13核心数据模型</x:v>
      </x:c>
      <x:c r="P443" s="4" t="str">
        <x:v>DRAFT_FROM_SCHEME</x:v>
      </x:c>
    </x:row>
    <x:row r="444" ht="23" customHeight="1">
      <x:c r="A444" s="4" t="str">
        <x:v>RefundTransaction</x:v>
      </x:c>
      <x:c r="B444" s="4" t="str">
        <x:v>cashRefundAmount</x:v>
      </x:c>
      <x:c r="C444" s="17" t="str">
        <x:v>cashRefundAmount</x:v>
      </x:c>
      <x:c r="D444" s="4" t="str">
        <x:v>6</x:v>
      </x:c>
      <x:c r="E444" s="4" t="str">
        <x:v>Int(分)</x:v>
      </x:c>
      <x:c r="F444" s="4" t="str">
        <x:v>YES</x:v>
      </x:c>
      <x:c r="G444" s="4" t="str">
        <x:v>整数分</x:v>
      </x:c>
      <x:c r="H444" s="17" t="str">
        <x:v>FINANCIAL</x:v>
      </x:c>
      <x:c r="I444" s="17" t="str">
        <x:v>公司财务与必要业务职能；供应商仅本供应商结算视图</x:v>
      </x:c>
      <x:c r="J444" s="17" t="str">
        <x:v>消费者响应仅返回自身交易白名单字段</x:v>
      </x:c>
      <x:c r="K444" s="17" t="str">
        <x:v>DTO白名单；长度/枚举/归属/状态校验；禁止信任客户端派生值</x:v>
      </x:c>
      <x:c r="L444" s="17" t="str">
        <x:v>追加/版本/快照，不覆盖已生效历史</x:v>
      </x:c>
      <x:c r="M444" s="4" t="str">
        <x:v>M3</x:v>
      </x:c>
      <x:c r="N444" s="4" t="str">
        <x:v>P0-026,P0-058,P0-096</x:v>
      </x:c>
      <x:c r="O444" s="4" t="str">
        <x:v>综合方案§13核心数据模型</x:v>
      </x:c>
      <x:c r="P444" s="4" t="str">
        <x:v>DRAFT_FROM_SCHEME</x:v>
      </x:c>
    </x:row>
    <x:row r="445" ht="23" customHeight="1">
      <x:c r="A445" s="4" t="str">
        <x:v>RefundTransaction</x:v>
      </x:c>
      <x:c r="B445" s="4" t="str">
        <x:v>originalPaymentTransactionId</x:v>
      </x:c>
      <x:c r="C445" s="17" t="str">
        <x:v>originalPaymentTransactionId?</x:v>
      </x:c>
      <x:c r="D445" s="4" t="str">
        <x:v>7</x:v>
      </x:c>
      <x:c r="E445" s="4" t="str">
        <x:v>String/UUID</x:v>
      </x:c>
      <x:c r="F445" s="4" t="str">
        <x:v>NO</x:v>
      </x:c>
      <x:c r="G445" s="4" t="str">
        <x:v>待M阶段冻结</x:v>
      </x:c>
      <x:c r="H445" s="17" t="str">
        <x:v>FINANCIAL</x:v>
      </x:c>
      <x:c r="I445" s="17" t="str">
        <x:v>公司财务与必要业务职能；供应商仅本供应商结算视图</x:v>
      </x:c>
      <x:c r="J445" s="17" t="str">
        <x:v>消费者响应仅返回自身交易白名单字段</x:v>
      </x:c>
      <x:c r="K445" s="17" t="str">
        <x:v>DTO白名单；长度/枚举/归属/状态校验；禁止信任客户端派生值</x:v>
      </x:c>
      <x:c r="L445" s="17" t="str">
        <x:v>追加/版本/快照，不覆盖已生效历史</x:v>
      </x:c>
      <x:c r="M445" s="4" t="str">
        <x:v>M3</x:v>
      </x:c>
      <x:c r="N445" s="4" t="str">
        <x:v>P0-026,P0-058,P0-096</x:v>
      </x:c>
      <x:c r="O445" s="4" t="str">
        <x:v>综合方案§13核心数据模型</x:v>
      </x:c>
      <x:c r="P445" s="4" t="str">
        <x:v>DRAFT_FROM_SCHEME</x:v>
      </x:c>
    </x:row>
    <x:row r="446" ht="23" customHeight="1">
      <x:c r="A446" s="4" t="str">
        <x:v>RefundTransaction</x:v>
      </x:c>
      <x:c r="B446" s="4" t="str">
        <x:v>wechatRefundNo</x:v>
      </x:c>
      <x:c r="C446" s="17" t="str">
        <x:v>wechatRefundNo?</x:v>
      </x:c>
      <x:c r="D446" s="4" t="str">
        <x:v>8</x:v>
      </x:c>
      <x:c r="E446" s="4" t="str">
        <x:v>String</x:v>
      </x:c>
      <x:c r="F446" s="4" t="str">
        <x:v>NO</x:v>
      </x:c>
      <x:c r="G446" s="4" t="str">
        <x:v>待M阶段冻结</x:v>
      </x:c>
      <x:c r="H446" s="17" t="str">
        <x:v>FINANCIAL</x:v>
      </x:c>
      <x:c r="I446" s="17" t="str">
        <x:v>公司财务与必要业务职能；供应商仅本供应商结算视图</x:v>
      </x:c>
      <x:c r="J446" s="17" t="str">
        <x:v>消费者响应仅返回自身交易白名单字段</x:v>
      </x:c>
      <x:c r="K446" s="17" t="str">
        <x:v>DTO白名单；长度/枚举/归属/状态校验；禁止信任客户端派生值</x:v>
      </x:c>
      <x:c r="L446" s="17" t="str">
        <x:v>追加/版本/快照，不覆盖已生效历史</x:v>
      </x:c>
      <x:c r="M446" s="4" t="str">
        <x:v>M3</x:v>
      </x:c>
      <x:c r="N446" s="4" t="str">
        <x:v>P0-026,P0-058,P0-096</x:v>
      </x:c>
      <x:c r="O446" s="4" t="str">
        <x:v>综合方案§13核心数据模型</x:v>
      </x:c>
      <x:c r="P446" s="4" t="str">
        <x:v>DRAFT_FROM_SCHEME</x:v>
      </x:c>
    </x:row>
    <x:row r="447" ht="23" customHeight="1">
      <x:c r="A447" s="4" t="str">
        <x:v>RefundTransaction</x:v>
      </x:c>
      <x:c r="B447" s="4" t="str">
        <x:v>status</x:v>
      </x:c>
      <x:c r="C447" s="17" t="str">
        <x:v>status</x:v>
      </x:c>
      <x:c r="D447" s="4" t="str">
        <x:v>9</x:v>
      </x:c>
      <x:c r="E447" s="4" t="str">
        <x:v>Enum/String</x:v>
      </x:c>
      <x:c r="F447" s="4" t="str">
        <x:v>YES</x:v>
      </x:c>
      <x:c r="G447" s="4" t="str">
        <x:v>待M阶段冻结</x:v>
      </x:c>
      <x:c r="H447" s="17" t="str">
        <x:v>FINANCIAL</x:v>
      </x:c>
      <x:c r="I447" s="17" t="str">
        <x:v>公司财务与必要业务职能；供应商仅本供应商结算视图</x:v>
      </x:c>
      <x:c r="J447" s="17" t="str">
        <x:v>消费者响应仅返回自身交易白名单字段</x:v>
      </x:c>
      <x:c r="K447" s="17" t="str">
        <x:v>DTO白名单；长度/枚举/归属/状态校验；禁止信任客户端派生值</x:v>
      </x:c>
      <x:c r="L447" s="17" t="str">
        <x:v>追加/版本/快照，不覆盖已生效历史</x:v>
      </x:c>
      <x:c r="M447" s="4" t="str">
        <x:v>M3</x:v>
      </x:c>
      <x:c r="N447" s="4" t="str">
        <x:v>P0-026,P0-058,P0-096</x:v>
      </x:c>
      <x:c r="O447" s="4" t="str">
        <x:v>综合方案§13核心数据模型</x:v>
      </x:c>
      <x:c r="P447" s="4" t="str">
        <x:v>DRAFT_FROM_SCHEME</x:v>
      </x:c>
    </x:row>
    <x:row r="448" ht="23" customHeight="1">
      <x:c r="A448" s="4" t="str">
        <x:v>RefundTransaction</x:v>
      </x:c>
      <x:c r="B448" s="4" t="str">
        <x:v>notifyVerifiedAt</x:v>
      </x:c>
      <x:c r="C448" s="17" t="str">
        <x:v>notifyVerifiedAt?</x:v>
      </x:c>
      <x:c r="D448" s="4" t="str">
        <x:v>10</x:v>
      </x:c>
      <x:c r="E448" s="4" t="str">
        <x:v>DateTime</x:v>
      </x:c>
      <x:c r="F448" s="4" t="str">
        <x:v>NO</x:v>
      </x:c>
      <x:c r="G448" s="4" t="str">
        <x:v>ISO-8601+明确时区</x:v>
      </x:c>
      <x:c r="H448" s="17" t="str">
        <x:v>FINANCIAL</x:v>
      </x:c>
      <x:c r="I448" s="17" t="str">
        <x:v>公司财务与必要业务职能；供应商仅本供应商结算视图</x:v>
      </x:c>
      <x:c r="J448" s="17" t="str">
        <x:v>消费者响应仅返回自身交易白名单字段</x:v>
      </x:c>
      <x:c r="K448" s="17" t="str">
        <x:v>DTO白名单；长度/枚举/归属/状态校验；禁止信任客户端派生值</x:v>
      </x:c>
      <x:c r="L448" s="17" t="str">
        <x:v>追加/版本/快照，不覆盖已生效历史</x:v>
      </x:c>
      <x:c r="M448" s="4" t="str">
        <x:v>M3</x:v>
      </x:c>
      <x:c r="N448" s="4" t="str">
        <x:v>P0-026,P0-058,P0-096</x:v>
      </x:c>
      <x:c r="O448" s="4" t="str">
        <x:v>综合方案§13核心数据模型</x:v>
      </x:c>
      <x:c r="P448" s="4" t="str">
        <x:v>DRAFT_FROM_SCHEME</x:v>
      </x:c>
    </x:row>
    <x:row r="449" ht="23" customHeight="1">
      <x:c r="A449" s="4" t="str">
        <x:v>RefundTransaction</x:v>
      </x:c>
      <x:c r="B449" s="4" t="str">
        <x:v>idempotencyKey</x:v>
      </x:c>
      <x:c r="C449" s="17" t="str">
        <x:v>idempotencyKey</x:v>
      </x:c>
      <x:c r="D449" s="4" t="str">
        <x:v>11</x:v>
      </x:c>
      <x:c r="E449" s="4" t="str">
        <x:v>String</x:v>
      </x:c>
      <x:c r="F449" s="4" t="str">
        <x:v>YES</x:v>
      </x:c>
      <x:c r="G449" s="4" t="str">
        <x:v>待M阶段冻结</x:v>
      </x:c>
      <x:c r="H449" s="17" t="str">
        <x:v>FINANCIAL</x:v>
      </x:c>
      <x:c r="I449" s="17" t="str">
        <x:v>公司财务与必要业务职能；供应商仅本供应商结算视图</x:v>
      </x:c>
      <x:c r="J449" s="17" t="str">
        <x:v>消费者响应仅返回自身交易白名单字段</x:v>
      </x:c>
      <x:c r="K449" s="17" t="str">
        <x:v>DTO白名单；长度/枚举/归属/状态校验；禁止信任客户端派生值</x:v>
      </x:c>
      <x:c r="L449" s="17" t="str">
        <x:v>追加/版本/快照，不覆盖已生效历史</x:v>
      </x:c>
      <x:c r="M449" s="4" t="str">
        <x:v>M3</x:v>
      </x:c>
      <x:c r="N449" s="4" t="str">
        <x:v>P0-026,P0-058,P0-096</x:v>
      </x:c>
      <x:c r="O449" s="4" t="str">
        <x:v>综合方案§13核心数据模型</x:v>
      </x:c>
      <x:c r="P449" s="4" t="str">
        <x:v>DRAFT_FROM_SCHEME</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String/UUID</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按实体version或审计日志保留变更证据</x:v>
      </x:c>
      <x:c r="M571" s="4" t="str">
        <x:v>M3</x:v>
      </x:c>
      <x:c r="N571" s="4" t="str">
        <x:v>待切片细化</x:v>
      </x:c>
      <x:c r="O571" s="4" t="str">
        <x:v>综合方案§13核心数据模型</x:v>
      </x:c>
      <x:c r="P571" s="4" t="str">
        <x:v>DRAFT_FROM_SCHEME</x:v>
      </x:c>
    </x:row>
    <x:row r="572" ht="23" customHeight="1">
      <x:c r="A572" s="4" t="str">
        <x:v>EnterpriseProcurementProfile</x:v>
      </x:c>
      <x:c r="B572" s="4" t="str">
        <x:v>enterpriseCustomerId</x:v>
      </x:c>
      <x:c r="C572" s="17" t="str">
        <x:v>enterpriseCustomerId</x:v>
      </x:c>
      <x:c r="D572" s="4" t="str">
        <x:v>2</x:v>
      </x:c>
      <x:c r="E572" s="4" t="str">
        <x:v>String/UUID</x:v>
      </x:c>
      <x:c r="F572" s="4" t="str">
        <x:v>YES</x:v>
      </x:c>
      <x:c r="G572" s="4" t="str">
        <x:v>待M阶段冻结</x:v>
      </x:c>
      <x:c r="H572" s="17" t="str">
        <x:v>INTERNAL</x:v>
      </x:c>
      <x:c r="I572" s="17" t="str">
        <x:v>按资源权限与数据域访问；公开DTO另行白名单</x:v>
      </x:c>
      <x:c r="J572" s="17" t="str">
        <x:v>数据库实体不得直接序列化为响应</x:v>
      </x:c>
      <x:c r="K572" s="17" t="str">
        <x:v>DTO白名单；长度/枚举/归属/状态校验；禁止信任客户端派生值</x:v>
      </x:c>
      <x:c r="L572" s="17" t="str">
        <x:v>按实体version或审计日志保留变更证据</x:v>
      </x:c>
      <x:c r="M572" s="4" t="str">
        <x:v>M3</x:v>
      </x:c>
      <x:c r="N572" s="4" t="str">
        <x:v>待切片细化</x:v>
      </x:c>
      <x:c r="O572" s="4" t="str">
        <x:v>综合方案§13核心数据模型</x:v>
      </x:c>
      <x:c r="P572" s="4" t="str">
        <x:v>DRAFT_FROM_SCHEME</x:v>
      </x:c>
    </x:row>
    <x:row r="573" ht="23" customHeight="1">
      <x:c r="A573" s="4" t="str">
        <x:v>EnterpriseProcurementProfile</x:v>
      </x:c>
      <x:c r="B573" s="4" t="str">
        <x:v>defaultInvoiceProfileId</x:v>
      </x:c>
      <x:c r="C573" s="17" t="str">
        <x:v>defaultInvoiceProfileId</x:v>
      </x:c>
      <x:c r="D573" s="4" t="str">
        <x:v>3</x:v>
      </x:c>
      <x:c r="E573" s="4" t="str">
        <x:v>String/UUID</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按实体version或审计日志保留变更证据</x:v>
      </x:c>
      <x:c r="M573" s="4" t="str">
        <x:v>M3</x:v>
      </x:c>
      <x:c r="N573" s="4" t="str">
        <x:v>待切片细化</x:v>
      </x:c>
      <x:c r="O573" s="4" t="str">
        <x:v>综合方案§13核心数据模型</x:v>
      </x:c>
      <x:c r="P573" s="4" t="str">
        <x:v>DRAFT_FROM_SCHEME</x:v>
      </x:c>
    </x:row>
    <x:row r="574" ht="23" customHeight="1">
      <x:c r="A574" s="4" t="str">
        <x:v>EnterpriseProcurementProfile</x:v>
      </x:c>
      <x:c r="B574" s="4" t="str">
        <x:v>defaultAddressId</x:v>
      </x:c>
      <x:c r="C574" s="17" t="str">
        <x:v>defaultAddressId</x:v>
      </x:c>
      <x:c r="D574" s="4" t="str">
        <x:v>4</x:v>
      </x:c>
      <x:c r="E574" s="4" t="str">
        <x:v>String/UUID</x:v>
      </x:c>
      <x:c r="F574" s="4" t="str">
        <x:v>YES</x:v>
      </x:c>
      <x:c r="G574" s="4" t="str">
        <x:v>待M阶段冻结</x:v>
      </x:c>
      <x:c r="H574" s="17" t="str">
        <x:v>PERSONAL_OR_SENSITIVE</x:v>
      </x:c>
      <x:c r="I574" s="17" t="str">
        <x:v>按角色、对象归属及配送阶段脱敏/解密</x:v>
      </x:c>
      <x:c r="J574" s="17" t="str">
        <x:v>禁止跨供应商、越阶段或批量无审批导出</x:v>
      </x:c>
      <x:c r="K574" s="17" t="str">
        <x:v>DTO白名单；长度/枚举/归属/状态校验；禁止信任客户端派生值</x:v>
      </x:c>
      <x:c r="L574" s="17" t="str">
        <x:v>按实体version或审计日志保留变更证据</x:v>
      </x:c>
      <x:c r="M574" s="4" t="str">
        <x:v>M3</x:v>
      </x:c>
      <x:c r="N574" s="4" t="str">
        <x:v>待切片细化</x:v>
      </x:c>
      <x:c r="O574" s="4" t="str">
        <x:v>综合方案§13核心数据模型</x:v>
      </x:c>
      <x:c r="P574" s="4" t="str">
        <x:v>DRAFT_FROM_SCHEME</x:v>
      </x:c>
    </x:row>
    <x:row r="575" ht="23" customHeight="1">
      <x:c r="A575" s="4" t="str">
        <x:v>EnterpriseProcurementProfile</x:v>
      </x:c>
      <x:c r="B575" s="4" t="str">
        <x:v>status</x:v>
      </x:c>
      <x:c r="C575" s="17" t="str">
        <x:v>status</x:v>
      </x:c>
      <x:c r="D575" s="4" t="str">
        <x:v>5</x:v>
      </x:c>
      <x:c r="E575" s="4" t="str">
        <x:v>Enum/String</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按实体version或审计日志保留变更证据</x:v>
      </x:c>
      <x:c r="M575" s="4" t="str">
        <x:v>M3</x:v>
      </x:c>
      <x:c r="N575" s="4" t="str">
        <x:v>待切片细化</x:v>
      </x:c>
      <x:c r="O575" s="4" t="str">
        <x:v>综合方案§13核心数据模型</x:v>
      </x:c>
      <x:c r="P575" s="4" t="str">
        <x:v>DRAFT_FROM_SCHEME</x:v>
      </x:c>
    </x:row>
    <x:row r="576" ht="23" customHeight="1">
      <x:c r="A576" s="4" t="str">
        <x:v>EnterpriseProcurementOrder</x:v>
      </x:c>
      <x:c r="B576" s="4" t="str">
        <x:v>id</x:v>
      </x:c>
      <x:c r="C576" s="17" t="str">
        <x:v>id</x:v>
      </x:c>
      <x:c r="D576" s="4" t="str">
        <x:v>1</x:v>
      </x:c>
      <x:c r="E576" s="4" t="str">
        <x:v>String/UUID</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M3</x:v>
      </x:c>
      <x:c r="N576" s="4" t="str">
        <x:v>P0-029,P0-062,P0-080</x:v>
      </x:c>
      <x:c r="O576" s="4" t="str">
        <x:v>综合方案§13核心数据模型</x:v>
      </x:c>
      <x:c r="P576" s="4" t="str">
        <x:v>DRAFT_FROM_SCHEME</x:v>
      </x:c>
    </x:row>
    <x:row r="577" ht="23" customHeight="1">
      <x:c r="A577" s="4" t="str">
        <x:v>EnterpriseProcurementOrder</x:v>
      </x:c>
      <x:c r="B577" s="4" t="str">
        <x:v>orderId</x:v>
      </x:c>
      <x:c r="C577" s="17" t="str">
        <x:v>orderId</x:v>
      </x:c>
      <x:c r="D577" s="4" t="str">
        <x:v>2</x:v>
      </x:c>
      <x:c r="E577" s="4" t="str">
        <x:v>String/UUID</x:v>
      </x:c>
      <x:c r="F577" s="4" t="str">
        <x:v>YES</x:v>
      </x:c>
      <x:c r="G577" s="4" t="str">
        <x:v>待M阶段冻结</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M3</x:v>
      </x:c>
      <x:c r="N577" s="4" t="str">
        <x:v>P0-029,P0-062,P0-080</x:v>
      </x:c>
      <x:c r="O577" s="4" t="str">
        <x:v>综合方案§13核心数据模型</x:v>
      </x:c>
      <x:c r="P577" s="4" t="str">
        <x:v>DRAFT_FROM_SCHEME</x:v>
      </x:c>
    </x:row>
    <x:row r="578" ht="23" customHeight="1">
      <x:c r="A578" s="4" t="str">
        <x:v>EnterpriseProcurementOrder</x:v>
      </x:c>
      <x:c r="B578" s="4" t="str">
        <x:v>enterpriseCustomerId</x:v>
      </x:c>
      <x:c r="C578" s="17" t="str">
        <x:v>enterpriseCustomerId</x:v>
      </x:c>
      <x:c r="D578" s="4" t="str">
        <x:v>3</x:v>
      </x:c>
      <x:c r="E578" s="4" t="str">
        <x:v>String/UUID</x:v>
      </x:c>
      <x:c r="F578" s="4" t="str">
        <x:v>YES</x:v>
      </x:c>
      <x:c r="G578" s="4" t="str">
        <x:v>待M阶段冻结</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M3</x:v>
      </x:c>
      <x:c r="N578" s="4" t="str">
        <x:v>P0-029,P0-062,P0-080</x:v>
      </x:c>
      <x:c r="O578" s="4" t="str">
        <x:v>综合方案§13核心数据模型</x:v>
      </x:c>
      <x:c r="P578" s="4" t="str">
        <x:v>DRAFT_FROM_SCHEME</x:v>
      </x:c>
    </x:row>
    <x:row r="579" ht="23" customHeight="1">
      <x:c r="A579" s="4" t="str">
        <x:v>EnterpriseProcurementOrder</x:v>
      </x:c>
      <x:c r="B579" s="4" t="str">
        <x:v>purchaserUserId</x:v>
      </x:c>
      <x:c r="C579" s="17" t="str">
        <x:v>purchaserUserId</x:v>
      </x:c>
      <x:c r="D579" s="4" t="str">
        <x:v>4</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追加/版本/快照，不覆盖已生效历史</x:v>
      </x:c>
      <x:c r="M579" s="4" t="str">
        <x:v>M3</x:v>
      </x:c>
      <x:c r="N579" s="4" t="str">
        <x:v>P0-029,P0-062,P0-080</x:v>
      </x:c>
      <x:c r="O579" s="4" t="str">
        <x:v>综合方案§13核心数据模型</x:v>
      </x:c>
      <x:c r="P579" s="4" t="str">
        <x:v>DRAFT_FROM_SCHEME</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追加/版本/快照，不覆盖已生效历史</x:v>
      </x:c>
      <x:c r="M580" s="4" t="str">
        <x:v>M3</x:v>
      </x:c>
      <x:c r="N580" s="4" t="str">
        <x:v>P0-029,P0-062,P0-080</x:v>
      </x:c>
      <x:c r="O580" s="4" t="str">
        <x:v>综合方案§13核心数据模型</x:v>
      </x:c>
      <x:c r="P580" s="4" t="str">
        <x:v>DRAFT_FROM_SCHEME</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待M阶段冻结</x:v>
      </x:c>
      <x:c r="H581" s="17" t="str">
        <x:v>PERSONAL_OR_SENSITIVE</x:v>
      </x:c>
      <x:c r="I581" s="17" t="str">
        <x:v>按角色、对象归属及配送阶段脱敏/解密</x:v>
      </x:c>
      <x:c r="J581" s="17" t="str">
        <x:v>禁止跨供应商、越阶段或批量无审批导出</x:v>
      </x:c>
      <x:c r="K581" s="17" t="str">
        <x:v>DTO白名单；长度/枚举/归属/状态校验；禁止信任客户端派生值</x:v>
      </x:c>
      <x:c r="L581" s="17" t="str">
        <x:v>追加/版本/快照，不覆盖已生效历史</x:v>
      </x:c>
      <x:c r="M581" s="4" t="str">
        <x:v>M3</x:v>
      </x:c>
      <x:c r="N581" s="4" t="str">
        <x:v>P0-029,P0-062,P0-080</x:v>
      </x:c>
      <x:c r="O581" s="4" t="str">
        <x:v>综合方案§13核心数据模型</x:v>
      </x:c>
      <x:c r="P581" s="4" t="str">
        <x:v>DRAFT_FROM_SCHEME</x:v>
      </x:c>
    </x:row>
    <x:row r="582" ht="23" customHeight="1">
      <x:c r="A582" s="4" t="str">
        <x:v>EnterpriseProcurementOrder</x:v>
      </x:c>
      <x:c r="B582" s="4" t="str">
        <x:v>paymentMethod</x:v>
      </x:c>
      <x:c r="C582" s="17" t="str">
        <x:v>paymentMethod(WECHAT_PAY|BANK_TRANSFER)</x:v>
      </x:c>
      <x:c r="D582" s="4" t="str">
        <x:v>7</x:v>
      </x:c>
      <x:c r="E582" s="4" t="str">
        <x:v>Enum</x:v>
      </x:c>
      <x:c r="F582" s="4" t="str">
        <x:v>YES</x:v>
      </x:c>
      <x:c r="G582" s="4" t="str">
        <x:v>待M阶段冻结</x:v>
      </x:c>
      <x:c r="H582" s="17" t="str">
        <x:v>FINANCIAL</x:v>
      </x:c>
      <x:c r="I582" s="17" t="str">
        <x:v>公司财务与必要业务职能；供应商仅本供应商结算视图</x:v>
      </x:c>
      <x:c r="J582" s="17" t="str">
        <x:v>消费者响应仅返回自身交易白名单字段</x:v>
      </x:c>
      <x:c r="K582" s="17" t="str">
        <x:v>DTO白名单；长度/枚举/归属/状态校验；禁止信任客户端派生值</x:v>
      </x:c>
      <x:c r="L582" s="17" t="str">
        <x:v>追加/版本/快照，不覆盖已生效历史</x:v>
      </x:c>
      <x:c r="M582" s="4" t="str">
        <x:v>M3</x:v>
      </x:c>
      <x:c r="N582" s="4" t="str">
        <x:v>P0-029,P0-062,P0-080</x:v>
      </x:c>
      <x:c r="O582" s="4" t="str">
        <x:v>综合方案§13核心数据模型</x:v>
      </x:c>
      <x:c r="P582" s="4" t="str">
        <x:v>DRAFT_FROM_SCHEME</x:v>
      </x:c>
    </x:row>
    <x:row r="583" ht="23" customHeight="1">
      <x:c r="A583" s="4" t="str">
        <x:v>EnterpriseProcurementOrder</x:v>
      </x:c>
      <x:c r="B583" s="4" t="str">
        <x:v>remittanceReviewStatus</x:v>
      </x:c>
      <x:c r="C583" s="17" t="str">
        <x:v>remittanceReviewStatus</x:v>
      </x:c>
      <x:c r="D583" s="4" t="str">
        <x:v>8</x:v>
      </x:c>
      <x:c r="E583" s="4" t="str">
        <x:v>Enum/String</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追加/版本/快照，不覆盖已生效历史</x:v>
      </x:c>
      <x:c r="M583" s="4" t="str">
        <x:v>M3</x:v>
      </x:c>
      <x:c r="N583" s="4" t="str">
        <x:v>P0-029,P0-062,P0-080</x:v>
      </x:c>
      <x:c r="O583" s="4" t="str">
        <x:v>综合方案§13核心数据模型</x:v>
      </x:c>
      <x:c r="P583" s="4" t="str">
        <x:v>DRAFT_FROM_SCHEME</x:v>
      </x:c>
    </x:row>
    <x:row r="584" ht="23" customHeight="1">
      <x:c r="A584" s="4" t="str">
        <x:v>EnterpriseProcurementOrder</x:v>
      </x:c>
      <x:c r="B584" s="4" t="str">
        <x:v>status</x:v>
      </x:c>
      <x:c r="C584" s="17" t="str">
        <x:v>status</x:v>
      </x:c>
      <x:c r="D584" s="4" t="str">
        <x:v>9</x:v>
      </x:c>
      <x:c r="E584" s="4" t="str">
        <x:v>Enum/String</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追加/版本/快照，不覆盖已生效历史</x:v>
      </x:c>
      <x:c r="M584" s="4" t="str">
        <x:v>M3</x:v>
      </x:c>
      <x:c r="N584" s="4" t="str">
        <x:v>P0-029,P0-062,P0-080</x:v>
      </x:c>
      <x:c r="O584" s="4" t="str">
        <x:v>综合方案§13核心数据模型</x:v>
      </x:c>
      <x:c r="P584" s="4" t="str">
        <x:v>DRAFT_FROM_SCHEME</x:v>
      </x:c>
    </x:row>
    <x:row r="585" ht="23" customHeight="1">
      <x:c r="A585" s="4" t="str">
        <x:v>SupplierFulfillmentSubOrder</x:v>
      </x:c>
      <x:c r="B585" s="4" t="str">
        <x:v>id</x:v>
      </x:c>
      <x:c r="C585" s="17" t="str">
        <x:v>id</x:v>
      </x:c>
      <x:c r="D585" s="4" t="str">
        <x:v>1</x:v>
      </x:c>
      <x:c r="E585" s="4" t="str">
        <x:v>String/UUID</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追加/版本/快照，不覆盖已生效历史</x:v>
      </x:c>
      <x:c r="M585" s="4" t="str">
        <x:v>M3</x:v>
      </x:c>
      <x:c r="N585" s="4" t="str">
        <x:v>P0-031,P0-064,P0-065</x:v>
      </x:c>
      <x:c r="O585" s="4" t="str">
        <x:v>综合方案§13核心数据模型</x:v>
      </x:c>
      <x:c r="P585" s="4" t="str">
        <x:v>DRAFT_FROM_SCHEME</x:v>
      </x:c>
    </x:row>
    <x:row r="586" ht="23" customHeight="1">
      <x:c r="A586" s="4" t="str">
        <x:v>SupplierFulfillmentSubOrder</x:v>
      </x:c>
      <x:c r="B586" s="4" t="str">
        <x:v>orderId</x:v>
      </x:c>
      <x:c r="C586" s="17" t="str">
        <x:v>orderId</x:v>
      </x:c>
      <x:c r="D586" s="4" t="str">
        <x:v>2</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M3</x:v>
      </x:c>
      <x:c r="N586" s="4" t="str">
        <x:v>P0-031,P0-064,P0-065</x:v>
      </x:c>
      <x:c r="O586" s="4" t="str">
        <x:v>综合方案§13核心数据模型</x:v>
      </x:c>
      <x:c r="P586" s="4" t="str">
        <x:v>DRAFT_FROM_SCHEME</x:v>
      </x:c>
    </x:row>
    <x:row r="587" ht="23" customHeight="1">
      <x:c r="A587" s="4" t="str">
        <x:v>SupplierFulfillmentSubOrder</x:v>
      </x:c>
      <x:c r="B587" s="4" t="str">
        <x:v>enterpriseProcurementOrderId</x:v>
      </x:c>
      <x:c r="C587" s="17" t="str">
        <x:v>enterpriseProcurementOrderId?</x:v>
      </x:c>
      <x:c r="D587" s="4" t="str">
        <x:v>3</x:v>
      </x:c>
      <x:c r="E587" s="4" t="str">
        <x:v>String/UUID</x:v>
      </x:c>
      <x:c r="F587" s="4" t="str">
        <x:v>NO</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M3</x:v>
      </x:c>
      <x:c r="N587" s="4" t="str">
        <x:v>P0-031,P0-064,P0-065</x:v>
      </x:c>
      <x:c r="O587" s="4" t="str">
        <x:v>综合方案§13核心数据模型</x:v>
      </x:c>
      <x:c r="P587" s="4" t="str">
        <x:v>DRAFT_FROM_SCHEME</x:v>
      </x:c>
    </x:row>
    <x:row r="588" ht="23" customHeight="1">
      <x:c r="A588" s="4" t="str">
        <x:v>SupplierFulfillmentSubOrder</x:v>
      </x:c>
      <x:c r="B588" s="4" t="str">
        <x:v>supplierId</x:v>
      </x:c>
      <x:c r="C588" s="17" t="str">
        <x:v>supplierId</x:v>
      </x:c>
      <x:c r="D588" s="4" t="str">
        <x:v>4</x:v>
      </x:c>
      <x:c r="E588" s="4" t="str">
        <x:v>String/UUID</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M3</x:v>
      </x:c>
      <x:c r="N588" s="4" t="str">
        <x:v>P0-031,P0-064,P0-065</x:v>
      </x:c>
      <x:c r="O588" s="4" t="str">
        <x:v>综合方案§13核心数据模型</x:v>
      </x:c>
      <x:c r="P588" s="4" t="str">
        <x:v>DRAFT_FROM_SCHEME</x:v>
      </x:c>
    </x:row>
    <x:row r="589" ht="23" customHeight="1">
      <x:c r="A589" s="4" t="str">
        <x:v>SupplierFulfillmentSubOrder</x:v>
      </x:c>
      <x:c r="B589" s="4" t="str">
        <x:v>subOrderNo</x:v>
      </x:c>
      <x:c r="C589" s="17" t="str">
        <x:v>subOrderNo</x:v>
      </x:c>
      <x:c r="D589" s="4" t="str">
        <x:v>5</x:v>
      </x:c>
      <x:c r="E589" s="4" t="str">
        <x:v>String</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M3</x:v>
      </x:c>
      <x:c r="N589" s="4" t="str">
        <x:v>P0-031,P0-064,P0-065</x:v>
      </x:c>
      <x:c r="O589" s="4" t="str">
        <x:v>综合方案§13核心数据模型</x:v>
      </x:c>
      <x:c r="P589" s="4" t="str">
        <x:v>DRAFT_FROM_SCHEME</x:v>
      </x:c>
    </x:row>
    <x:row r="590" ht="23" customHeight="1">
      <x:c r="A590" s="4" t="str">
        <x:v>SupplierFulfillmentSubOrder</x:v>
      </x:c>
      <x:c r="B590" s="4" t="str">
        <x:v>goodsAmount</x:v>
      </x:c>
      <x:c r="C590" s="17" t="str">
        <x:v>goodsAmount</x:v>
      </x:c>
      <x:c r="D590" s="4" t="str">
        <x:v>6</x:v>
      </x:c>
      <x:c r="E590" s="4" t="str">
        <x:v>Int(分)</x:v>
      </x:c>
      <x:c r="F590" s="4" t="str">
        <x:v>YES</x:v>
      </x:c>
      <x:c r="G590" s="4" t="str">
        <x:v>整数分</x:v>
      </x:c>
      <x:c r="H590" s="17" t="str">
        <x:v>FINANCIAL</x:v>
      </x:c>
      <x:c r="I590" s="17" t="str">
        <x:v>公司财务与必要业务职能；供应商仅本供应商结算视图</x:v>
      </x:c>
      <x:c r="J590" s="17" t="str">
        <x:v>消费者响应仅返回自身交易白名单字段</x:v>
      </x:c>
      <x:c r="K590" s="17" t="str">
        <x:v>DTO白名单；长度/枚举/归属/状态校验；禁止信任客户端派生值</x:v>
      </x:c>
      <x:c r="L590" s="17" t="str">
        <x:v>追加/版本/快照，不覆盖已生效历史</x:v>
      </x:c>
      <x:c r="M590" s="4" t="str">
        <x:v>M3</x:v>
      </x:c>
      <x:c r="N590" s="4" t="str">
        <x:v>P0-031,P0-064,P0-065</x:v>
      </x:c>
      <x:c r="O590" s="4" t="str">
        <x:v>综合方案§13核心数据模型</x:v>
      </x:c>
      <x:c r="P590" s="4" t="str">
        <x:v>DRAFT_FROM_SCHEME</x:v>
      </x:c>
    </x:row>
    <x:row r="591" ht="23" customHeight="1">
      <x:c r="A591" s="4" t="str">
        <x:v>SupplierFulfillmentSubOrder</x:v>
      </x:c>
      <x:c r="B591" s="4" t="str">
        <x:v>supplyAmount</x:v>
      </x:c>
      <x:c r="C591" s="17" t="str">
        <x:v>supplyAmount</x:v>
      </x:c>
      <x:c r="D591" s="4" t="str">
        <x:v>7</x:v>
      </x:c>
      <x:c r="E591" s="4" t="str">
        <x:v>Int(分)</x:v>
      </x:c>
      <x:c r="F591" s="4" t="str">
        <x:v>YES</x:v>
      </x:c>
      <x:c r="G591" s="4" t="str">
        <x:v>整数分</x:v>
      </x:c>
      <x:c r="H591" s="17" t="str">
        <x:v>STRICT_INTERNAL_SUPPLY_PRICE</x:v>
      </x:c>
      <x:c r="I591" s="17" t="str">
        <x:v>仅公司价格/财务及本供应商价格/财务职能可见</x:v>
      </x:c>
      <x:c r="J591" s="17" t="str">
        <x:v>禁止出现在消费者端、企业采购端、门户公开端及非授权日志</x:v>
      </x:c>
      <x:c r="K591" s="17" t="str">
        <x:v>DTO白名单；长度/枚举/归属/状态校验；禁止信任客户端派生值</x:v>
      </x:c>
      <x:c r="L591" s="17" t="str">
        <x:v>追加/版本/快照，不覆盖已生效历史</x:v>
      </x:c>
      <x:c r="M591" s="4" t="str">
        <x:v>M3</x:v>
      </x:c>
      <x:c r="N591" s="4" t="str">
        <x:v>P0-031,P0-064,P0-065</x:v>
      </x:c>
      <x:c r="O591" s="4" t="str">
        <x:v>综合方案§13核心数据模型</x:v>
      </x:c>
      <x:c r="P591" s="4" t="str">
        <x:v>DRAFT_FROM_SCHEME</x:v>
      </x:c>
    </x:row>
    <x:row r="592" ht="23" customHeight="1">
      <x:c r="A592" s="4" t="str">
        <x:v>SupplierFulfillmentSubOrder</x:v>
      </x:c>
      <x:c r="B592" s="4" t="str">
        <x:v>channelType</x:v>
      </x:c>
      <x:c r="C592" s="17" t="str">
        <x:v>channelType</x:v>
      </x:c>
      <x:c r="D592" s="4" t="str">
        <x:v>8</x:v>
      </x:c>
      <x:c r="E592" s="4" t="str">
        <x:v>Enum/String</x:v>
      </x:c>
      <x:c r="F592" s="4" t="str">
        <x:v>YES</x:v>
      </x:c>
      <x:c r="G592" s="4" t="str">
        <x:v>待M阶段冻结</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M3</x:v>
      </x:c>
      <x:c r="N592" s="4" t="str">
        <x:v>P0-031,P0-064,P0-065</x:v>
      </x:c>
      <x:c r="O592" s="4" t="str">
        <x:v>综合方案§13核心数据模型</x:v>
      </x:c>
      <x:c r="P592" s="4" t="str">
        <x:v>DRAFT_FROM_SCHEME</x:v>
      </x:c>
    </x:row>
    <x:row r="593" ht="23" customHeight="1">
      <x:c r="A593" s="4" t="str">
        <x:v>SupplierFulfillmentSubOrder</x:v>
      </x:c>
      <x:c r="B593" s="4" t="str">
        <x:v>preparationStatus</x:v>
      </x:c>
      <x:c r="C593" s="17" t="str">
        <x:v>preparationStatus</x:v>
      </x:c>
      <x:c r="D593" s="4" t="str">
        <x:v>9</x:v>
      </x:c>
      <x:c r="E593" s="4" t="str">
        <x:v>Enum/String</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追加/版本/快照，不覆盖已生效历史</x:v>
      </x:c>
      <x:c r="M593" s="4" t="str">
        <x:v>M3</x:v>
      </x:c>
      <x:c r="N593" s="4" t="str">
        <x:v>P0-031,P0-064,P0-065</x:v>
      </x:c>
      <x:c r="O593" s="4" t="str">
        <x:v>综合方案§13核心数据模型</x:v>
      </x:c>
      <x:c r="P593" s="4" t="str">
        <x:v>DRAFT_FROM_SCHEME</x:v>
      </x:c>
    </x:row>
    <x:row r="594" ht="23" customHeight="1">
      <x:c r="A594" s="4" t="str">
        <x:v>SupplierFulfillmentSubOrder</x:v>
      </x:c>
      <x:c r="B594" s="4" t="str">
        <x:v>handoverStatus</x:v>
      </x:c>
      <x:c r="C594" s="17" t="str">
        <x:v>handoverStatus</x:v>
      </x:c>
      <x:c r="D594" s="4" t="str">
        <x:v>10</x:v>
      </x:c>
      <x:c r="E594" s="4" t="str">
        <x:v>Enum/String</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追加/版本/快照，不覆盖已生效历史</x:v>
      </x:c>
      <x:c r="M594" s="4" t="str">
        <x:v>M3</x:v>
      </x:c>
      <x:c r="N594" s="4" t="str">
        <x:v>P0-031,P0-064,P0-065</x:v>
      </x:c>
      <x:c r="O594" s="4" t="str">
        <x:v>综合方案§13核心数据模型</x:v>
      </x:c>
      <x:c r="P594" s="4" t="str">
        <x:v>DRAFT_FROM_SCHEME</x:v>
      </x:c>
    </x:row>
    <x:row r="595" ht="23" customHeight="1">
      <x:c r="A595" s="4" t="str">
        <x:v>SupplierFulfillmentSubOrder</x:v>
      </x:c>
      <x:c r="B595" s="4" t="str">
        <x:v>settlementStatus</x:v>
      </x:c>
      <x:c r="C595" s="17" t="str">
        <x:v>settlementStatus</x:v>
      </x:c>
      <x:c r="D595" s="4" t="str">
        <x:v>11</x:v>
      </x:c>
      <x:c r="E595" s="4" t="str">
        <x:v>Enum/String</x:v>
      </x:c>
      <x:c r="F595" s="4" t="str">
        <x:v>YES</x:v>
      </x:c>
      <x:c r="G595" s="4" t="str">
        <x:v>待M阶段冻结</x:v>
      </x:c>
      <x:c r="H595" s="17" t="str">
        <x:v>FINANCIAL</x:v>
      </x:c>
      <x:c r="I595" s="17" t="str">
        <x:v>公司财务与必要业务职能；供应商仅本供应商结算视图</x:v>
      </x:c>
      <x:c r="J595" s="17" t="str">
        <x:v>消费者响应仅返回自身交易白名单字段</x:v>
      </x:c>
      <x:c r="K595" s="17" t="str">
        <x:v>DTO白名单；长度/枚举/归属/状态校验；禁止信任客户端派生值</x:v>
      </x:c>
      <x:c r="L595" s="17" t="str">
        <x:v>追加/版本/快照，不覆盖已生效历史</x:v>
      </x:c>
      <x:c r="M595" s="4" t="str">
        <x:v>M3</x:v>
      </x:c>
      <x:c r="N595" s="4" t="str">
        <x:v>P0-031,P0-064,P0-065</x:v>
      </x:c>
      <x:c r="O595" s="4" t="str">
        <x:v>综合方案§13核心数据模型</x:v>
      </x:c>
      <x:c r="P595" s="4" t="str">
        <x:v>DRAFT_FROM_SCHEME</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x:c r="B690"/>
      <x:c r="C690"/>
      <x:c r="D690"/>
      <x:c r="E690"/>
      <x:c r="F690"/>
      <x:c r="G690"/>
      <x:c r="H690"/>
      <x:c r="I690"/>
      <x:c r="J690"/>
      <x:c r="K690"/>
      <x:c r="L690"/>
      <x:c r="M690"/>
      <x:c r="N690"/>
      <x:c r="O690"/>
      <x:c r="P690"/>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5da5c72bca846eb"/>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FROZEN_M2_000</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FROZEN_M2_000</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FROZEN_M2_000</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FROZEN_M2_000</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DRAFT_TO_FREEZE_IN_STAGE</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PREPAY_CREATED</x:v>
      </x:c>
      <x:c r="D44" s="4" t="str">
        <x:v>QUERY_UNKNOWN</x:v>
      </x:c>
      <x:c r="E44" s="4" t="str">
        <x:v>UNKNOWN</x:v>
      </x:c>
      <x:c r="F44" s="4" t="str">
        <x:v>SYSTEM</x:v>
      </x:c>
      <x:c r="G44" s="17" t="str">
        <x:v>网络结果不确定</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QUERY_PAID</x:v>
      </x:c>
      <x:c r="E45" s="4" t="str">
        <x:v>PAID</x:v>
      </x:c>
      <x:c r="F45" s="4" t="str">
        <x:v>SYSTEM</x:v>
      </x:c>
      <x:c r="G45" s="17" t="str">
        <x:v>查询返回已支付且金额匹配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PaymentTransaction</x:v>
      </x:c>
      <x:c r="B46" s="4" t="str">
        <x:v>M3</x:v>
      </x:c>
      <x:c r="C46" s="4" t="str">
        <x:v>UNKNOWN</x:v>
      </x:c>
      <x:c r="D46" s="4" t="str">
        <x:v>QUERY_CLOSED</x:v>
      </x:c>
      <x:c r="E46" s="4" t="str">
        <x:v>CLOSED</x:v>
      </x:c>
      <x:c r="F46" s="4" t="str">
        <x:v>SYSTEM</x:v>
      </x:c>
      <x:c r="G46" s="17" t="str">
        <x:v>外部确认未支付/已关闭</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P0-024,P0-056,P0-057,P0-093</x:v>
      </x:c>
      <x:c r="N46" s="4" t="str">
        <x:v>DRAFT_TO_FREEZE_IN_STAGE</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WELFARE_REFUND_APPLIED</x:v>
      </x:c>
      <x:c r="E48" s="4" t="str">
        <x:v>PARTIAL_CHANNEL_DONE</x:v>
      </x:c>
      <x:c r="F48" s="4" t="str">
        <x:v>SYSTEM</x:v>
      </x:c>
      <x:c r="G48" s="17" t="str">
        <x:v>福利卡账本追加成功</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DRAFT_TO_FREEZE_IN_STAGE</x:v>
      </x:c>
    </x:row>
    <x:row r="53" ht="23" customHeight="1">
      <x:c r="A53" s="4" t="str">
        <x:v>WelfareCardAccount</x:v>
      </x:c>
      <x:c r="B53" s="4" t="str">
        <x:v>M3</x:v>
      </x:c>
      <x:c r="C53" s="4" t="str">
        <x:v>UNCLAIMED</x:v>
      </x:c>
      <x:c r="D53" s="4" t="str">
        <x:v>BIND</x:v>
      </x:c>
      <x:c r="E53" s="4" t="str">
        <x:v>ACTIVE</x:v>
      </x:c>
      <x:c r="F53" s="4" t="str">
        <x:v>CONSUMER_USER</x:v>
      </x:c>
      <x:c r="G53" s="17" t="str">
        <x:v>卡号/密文校验、未绑定、计划有效</x:v>
      </x:c>
      <x:c r="H53" s="17" t="str">
        <x:v>创建账户并追加CLAIM账本</x:v>
      </x:c>
      <x:c r="I53" s="17" t="str">
        <x:v>cardCodeHash+consumerUserId</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RELEASE_ORDER_AMOUNT</x:v>
      </x:c>
      <x:c r="E56" s="4" t="str">
        <x:v>ACTIVE</x:v>
      </x:c>
      <x:c r="F56" s="4" t="str">
        <x:v>SYSTEM</x:v>
      </x:c>
      <x:c r="G56" s="17" t="str">
        <x:v>取消/支付失败且冻结尚未捕获</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REFUND</x:v>
      </x:c>
      <x:c r="E57" s="4" t="str">
        <x:v>ACTIVE</x:v>
      </x:c>
      <x:c r="F57" s="4" t="str">
        <x:v>SYSTEM</x:v>
      </x:c>
      <x:c r="G57" s="17" t="str">
        <x:v>原福利卡分配可退额充足</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DRAFT_TO_FREEZE_IN_STAGE</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DRAFT_TO_FREEZE_IN_STAGE</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6df20bfe8ab49fd"/>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FROZEN_M2_000</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FROZEN_M2_000</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8f18d19e752b4b45"/>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P0-007_CI_PASS;P0-067_CI_PASS;P0-068_CI_PASS;P0-019_LOCAL_PASS;P0-071_NOT_EXECUTED</x:v>
      </x:c>
      <x:c r="P7" s="17" t="str">
        <x:v>tests/e2e/p0/p0-007-company-product-approvals.spec.ts|tests/e2e/p0/p0-019-tiered-price-change.spec.ts|tests/e2e/p0/p0-067-company-workspaces.spec.ts|tests/e2e/p0/p0-068-company-workspace-completeness.spec.ts</x:v>
      </x:c>
      <x:c r="Q7" s="17" t="str">
        <x:v>独立初始三价审核及上架后供应价变更队列均已实现；后者显示旧价/申请价/涨跌比例/生效时间，强制异人审核与二次验证；销售价不进入审核；P019本地E2E通过，CI待执行。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P0-008_CI_PASS;P0-019_CI_PASS;P0-070_CI_PASS;P0-071_NOT_EXECUTED</x:v>
      </x:c>
      <x:c r="P19" s="17" t="str">
        <x:v>tests/e2e/p0/p0-008-supplier-pricing.spec.ts|tests/e2e/p0/p0-019-tiered-price-change.spec.ts|tests/e2e/p0/p0-070-supplier-workspaces.spec.ts</x:v>
      </x:c>
      <x:c r="Q19" s="17" t="str">
        <x:v>M2-P019在固定价格职能页完成供应价送审旧价保留、零售/集采免审版本化及预约/未知结果恢复；PR #64实现head 91613ee的run 31561577045成功；P071其余范围未执行。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PARTIAL_IMPLEMENTED_M2_P021</x:v>
      </x:c>
      <x:c r="O54" s="17" t="str">
        <x:v>P0-013_CI_PASS;P0-014_CI_PASS;P0-015_CI_PASS;P0-016_CI_PASS;P0-017_CI_PASS;P0-021_LOCAL_PASS;P0-088_NOT_EXECUTED</x:v>
      </x:c>
      <x:c r="P54" s="17" t="str">
        <x:v>apps/user-miniapp/test/product-detail-build.test.mjs|tests/e2e/p0/p0-013-food-detail.spec.ts|tests/e2e/p0/p0-014-fresh-detail.spec.ts|tests/e2e/p0/p0-015-apparel-detail.spec.ts|tests/e2e/p0/p0-016-digital-detail.spec.ts|tests/e2e/p0/p0-017-gift-box-detail.spec.ts|tests/contracts/m2-p021-product-detail-price-isolation.contract.test.mjs</x:v>
      </x:c>
      <x:c r="Q54" s="17" t="str">
        <x:v>P013至P017已有CI证据；P021证明个人小程序状态仅保留平台零售价并丢弃被污染的集采价/供应价/毛利字段。P0-088完整交易详情、微信真机、staging和production仍未执行。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REFERENCE_ASSET_ONLY</x:v>
      </x:c>
      <x:c r="O56" s="17" t="str">
        <x:v>NOT_EXECUTED</x:v>
      </x:c>
      <x:c r="P56" s="17" t="str">
        <x:v>TO_BE_CREATED</x:v>
      </x:c>
      <x:c r="Q56" s="17" t="str">
        <x:v>视觉基线不覆盖业务、权限和状态机</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8a1a773757014cc8"/>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x:c r="L2" s="4"/>
      <x:c r="M2" s="4"/>
      <x:c r="N2" s="17"/>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x:c r="L3" s="4"/>
      <x:c r="M3" s="4"/>
      <x:c r="N3" s="17"/>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x:c r="L4" s="4"/>
      <x:c r="M4" s="4"/>
      <x:c r="N4" s="17"/>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x:c r="L5" s="4"/>
      <x:c r="M5" s="4"/>
      <x:c r="N5" s="17"/>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x:c r="L7" s="4"/>
      <x:c r="M7" s="4"/>
      <x:c r="N7" s="17"/>
    </x:row>
    <x:row r="8" ht="23" customHeight="1">
      <x:c r="A8" s="4" t="str">
        <x:v>EXT-007</x:v>
      </x:c>
      <x:c r="B8" s="4" t="str">
        <x:v>M2</x:v>
      </x:c>
      <x:c r="C8" s="4" t="str">
        <x:v>分类业务</x:v>
      </x:c>
      <x:c r="D8" s="17" t="str">
        <x:v>确认首批分类树、每类模板字段、公司与商品资质有效期及售后规则</x:v>
      </x:c>
      <x:c r="E8" s="4" t="str">
        <x:v>UNASSIGNED_HUMAN</x:v>
      </x:c>
      <x:c r="F8" s="4" t="str">
        <x:v>NOT_PROVIDED</x:v>
      </x:c>
      <x:c r="G8" s="17" t="str">
        <x:v>HUMAN_REQUIRED</x:v>
      </x:c>
      <x:c r="H8" s="17" t="str">
        <x:v>未提供正式数据时强监管品类默认关闭；不得把测试对象引用当正式资质</x:v>
      </x:c>
      <x:c r="I8" s="4" t="str">
        <x:v>M2-P012|M2-P018</x:v>
      </x:c>
      <x:c r="J8" s="4" t="str">
        <x:v>YES</x:v>
      </x:c>
      <x:c r="K8" s="4" t="str"/>
      <x:c r="L8" s="4" t="str"/>
      <x:c r="M8" s="4" t="str"/>
      <x:c r="N8" s="17" t="str">
        <x:v>P018可配置代码与自动化不被阻塞；M2正式业务/合规验收在授权人员提供并复核数据前保持BLOCKED_EXTERNAL</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x:c r="L9" s="4"/>
      <x:c r="M9" s="4"/>
      <x:c r="N9" s="17"/>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x:c r="L10" s="4"/>
      <x:c r="M10" s="4"/>
      <x:c r="N10" s="17"/>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x:c r="L11" s="4"/>
      <x:c r="M11" s="4"/>
      <x:c r="N11" s="17"/>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x:c r="L12" s="4"/>
      <x:c r="M12" s="4"/>
      <x:c r="N12" s="17"/>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x:c r="L13" s="4"/>
      <x:c r="M13" s="4"/>
      <x:c r="N13" s="17"/>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x:c r="L14" s="4"/>
      <x:c r="M14" s="4"/>
      <x:c r="N14" s="17"/>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x:c r="L15" s="4"/>
      <x:c r="M15" s="4"/>
      <x:c r="N15" s="17"/>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x:c r="L16" s="4"/>
      <x:c r="M16" s="4"/>
      <x:c r="N16" s="17"/>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x:c r="L17" s="4"/>
      <x:c r="M17" s="4"/>
      <x:c r="N17" s="17"/>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x:c r="L18" s="4"/>
      <x:c r="M18" s="4"/>
      <x:c r="N18" s="17"/>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x:c r="L19" s="4"/>
      <x:c r="M19" s="4"/>
      <x:c r="N19" s="17"/>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x:c r="L20" s="4"/>
      <x:c r="M20" s="4"/>
      <x:c r="N20" s="17"/>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x:c r="L21" s="4"/>
      <x:c r="M21" s="4"/>
      <x:c r="N21" s="17"/>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x:c r="L22" s="4"/>
      <x:c r="M22" s="4"/>
      <x:c r="N22" s="17"/>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x:c r="L23" s="4"/>
      <x:c r="M23" s="4"/>
      <x:c r="N23" s="17"/>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x:c r="L24" s="4"/>
      <x:c r="M24" s="4"/>
      <x:c r="N24" s="17"/>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x:c r="L25" s="4"/>
      <x:c r="M25" s="4"/>
      <x:c r="N25" s="17"/>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x:c r="L26" s="4"/>
      <x:c r="M26" s="4"/>
      <x:c r="N26" s="17"/>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x:c r="L27" s="4"/>
      <x:c r="M27" s="4"/>
      <x:c r="N27" s="17"/>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x:c r="L28" s="4"/>
      <x:c r="M28" s="4"/>
      <x:c r="N28" s="17"/>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x:c r="L29" s="5"/>
      <x:c r="M29" s="5"/>
      <x:c r="N29" s="18"/>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84e720e03f0d47aa"/>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t="str"/>
      <x:c r="K21" s="17" t="str"/>
      <x:c r="L21" s="17" t="str"/>
      <x:c r="M21" s="17" t="str"/>
      <x:c r="N21" s="17" t="str"/>
      <x:c r="O21" s="17" t="str"/>
      <x:c r="P21" s="17" t="str"/>
      <x:c r="Q21" s="17" t="str"/>
      <x:c r="R21" s="17" t="str">
        <x:v>NO_EVIDENCE_YET</x:v>
      </x:c>
      <x:c r="S21" s="17" t="str"/>
      <x:c r="T21" s="17" t="str">
        <x:v>YES</x:v>
      </x:c>
      <x:c r="U21" s="17" t="str">
        <x:v>不得以旧输出、字符串搜索、页面资产或模型自述替代</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t="str"/>
      <x:c r="K23" s="17" t="str"/>
      <x:c r="L23" s="17" t="str"/>
      <x:c r="M23" s="17" t="str"/>
      <x:c r="N23" s="17" t="str"/>
      <x:c r="O23" s="17" t="str"/>
      <x:c r="P23" s="17" t="str"/>
      <x:c r="Q23" s="17" t="str"/>
      <x:c r="R23" s="17" t="str">
        <x:v>NO_EVIDENCE_YET</x:v>
      </x:c>
      <x:c r="S23" s="17" t="str"/>
      <x:c r="T23" s="17" t="str">
        <x:v>YES</x:v>
      </x:c>
      <x:c r="U23" s="17" t="str">
        <x:v>不得以旧输出、字符串搜索、页面资产或模型自述替代</x:v>
      </x:c>
    </x:row>
    <x:row r="24" ht="23" customHeight="1">
      <x:c r="A24" s="17" t="str">
        <x:v>EVD-023</x:v>
      </x:c>
      <x:c r="B24" s="17" t="str">
        <x:v>P0-023</x:v>
      </x:c>
      <x:c r="C24" s="17" t="str">
        <x:v>M3</x:v>
      </x:c>
      <x:c r="D24" s="17" t="str">
        <x:v>M3-P023</x:v>
      </x:c>
      <x:c r="E24" s="17" t="str">
        <x:v>AUTOMATED_AND_MANUAL_AS_REQUIRED</x:v>
      </x:c>
      <x:c r="F24" s="17" t="str">
        <x:v>CI_PASS</x:v>
      </x:c>
      <x:c r="G24" s="17"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t="str"/>
      <x:c r="K24" s="17" t="str"/>
      <x:c r="L24" s="17" t="str"/>
      <x:c r="M24" s="17" t="str"/>
      <x:c r="N24" s="17" t="str"/>
      <x:c r="O24" s="17" t="str"/>
      <x:c r="P24" s="17" t="str"/>
      <x:c r="Q24" s="17" t="str"/>
      <x:c r="R24" s="17" t="str">
        <x:v>NO_EVIDENCE_YET</x:v>
      </x:c>
      <x:c r="S24" s="17" t="str"/>
      <x:c r="T24" s="17" t="str">
        <x:v>YES</x:v>
      </x:c>
      <x:c r="U24" s="17" t="str">
        <x:v>不得以旧输出、字符串搜索、页面资产或模型自述替代</x:v>
      </x:c>
    </x:row>
    <x:row r="25" ht="23" customHeight="1">
      <x:c r="A25" s="17" t="str">
        <x:v>EVD-024</x:v>
      </x:c>
      <x:c r="B25" s="17" t="str">
        <x:v>P0-024</x:v>
      </x:c>
      <x:c r="C25" s="17" t="str">
        <x:v>M3</x:v>
      </x:c>
      <x:c r="D25" s="17" t="str">
        <x:v>M3-P024</x:v>
      </x:c>
      <x:c r="E25" s="17" t="str">
        <x:v>AUTOMATED_AND_MANUAL_AS_REQUIRED</x:v>
      </x:c>
      <x:c r="F25" s="17" t="str">
        <x:v>STAGING_PASS</x:v>
      </x:c>
      <x:c r="G25" s="17"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t="str"/>
      <x:c r="K25" s="17" t="str"/>
      <x:c r="L25" s="17" t="str"/>
      <x:c r="M25" s="17" t="str"/>
      <x:c r="N25" s="17" t="str"/>
      <x:c r="O25" s="17" t="str"/>
      <x:c r="P25" s="17" t="str"/>
      <x:c r="Q25" s="17" t="str"/>
      <x:c r="R25" s="17" t="str">
        <x:v>NO_EVIDENCE_YET</x:v>
      </x:c>
      <x:c r="S25" s="17" t="str"/>
      <x:c r="T25" s="17" t="str">
        <x:v>YES</x:v>
      </x:c>
      <x:c r="U25" s="17" t="str">
        <x:v>不得以旧输出、字符串搜索、页面资产或模型自述替代</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c r="K26" s="17" t="str"/>
      <x:c r="L26" s="17" t="str"/>
      <x:c r="M26" s="17" t="str"/>
      <x:c r="N26" s="17" t="str"/>
      <x:c r="O26" s="17" t="str"/>
      <x:c r="P26" s="17" t="str"/>
      <x:c r="Q26" s="17" t="str"/>
      <x:c r="R26" s="17" t="str">
        <x:v>NO_EVIDENCE_YET</x:v>
      </x:c>
      <x:c r="S26" s="17" t="str"/>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t="str"/>
      <x:c r="K27" s="17" t="str"/>
      <x:c r="L27" s="17" t="str"/>
      <x:c r="M27" s="17" t="str"/>
      <x:c r="N27" s="17" t="str"/>
      <x:c r="O27" s="17" t="str"/>
      <x:c r="P27" s="17" t="str"/>
      <x:c r="Q27" s="17" t="str"/>
      <x:c r="R27" s="17" t="str">
        <x:v>NO_EVIDENCE_YET</x:v>
      </x:c>
      <x:c r="S27" s="17" t="str"/>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t="str"/>
      <x:c r="K30" s="17" t="str"/>
      <x:c r="L30" s="17" t="str"/>
      <x:c r="M30" s="17" t="str"/>
      <x:c r="N30" s="17" t="str"/>
      <x:c r="O30" s="17" t="str"/>
      <x:c r="P30" s="17" t="str"/>
      <x:c r="Q30" s="17" t="str"/>
      <x:c r="R30" s="17" t="str">
        <x:v>NO_EVIDENCE_YET</x:v>
      </x:c>
      <x:c r="S30" s="17" t="str"/>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t="str"/>
      <x:c r="K31" s="17" t="str"/>
      <x:c r="L31" s="17" t="str"/>
      <x:c r="M31" s="17" t="str"/>
      <x:c r="N31" s="17" t="str"/>
      <x:c r="O31" s="17" t="str"/>
      <x:c r="P31" s="17" t="str"/>
      <x:c r="Q31" s="17" t="str"/>
      <x:c r="R31" s="17" t="str">
        <x:v>NO_EVIDENCE_YET</x:v>
      </x:c>
      <x:c r="S31" s="17" t="str"/>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t="str"/>
      <x:c r="K32" s="17" t="str"/>
      <x:c r="L32" s="17" t="str"/>
      <x:c r="M32" s="17" t="str"/>
      <x:c r="N32" s="17" t="str"/>
      <x:c r="O32" s="17" t="str"/>
      <x:c r="P32" s="17" t="str"/>
      <x:c r="Q32" s="17" t="str"/>
      <x:c r="R32" s="17" t="str">
        <x:v>NO_EVIDENCE_YET</x:v>
      </x:c>
      <x:c r="S32" s="17" t="str"/>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t="str"/>
      <x:c r="K52" s="17" t="str"/>
      <x:c r="L52" s="17" t="str"/>
      <x:c r="M52" s="17" t="str"/>
      <x:c r="N52" s="17" t="str"/>
      <x:c r="O52" s="17" t="str"/>
      <x:c r="P52" s="17" t="str"/>
      <x:c r="Q52" s="17" t="str"/>
      <x:c r="R52" s="17" t="str">
        <x:v>NO_EVIDENCE_YET</x:v>
      </x:c>
      <x:c r="S52" s="17" t="str"/>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17" t="str"/>
      <x:c r="L53" s="17" t="str"/>
      <x:c r="M53" s="17" t="str"/>
      <x:c r="N53" s="17" t="str"/>
      <x:c r="O53" s="17" t="str"/>
      <x:c r="P53" s="17" t="str"/>
      <x:c r="Q53" s="17" t="str"/>
      <x:c r="R53" s="17" t="str">
        <x:v>NO_EVIDENCE_YET</x:v>
      </x:c>
      <x:c r="S53" s="17" t="str"/>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17" t="str"/>
      <x:c r="L54" s="17" t="str"/>
      <x:c r="M54" s="17" t="str"/>
      <x:c r="N54" s="17" t="str"/>
      <x:c r="O54" s="17" t="str"/>
      <x:c r="P54" s="17" t="str"/>
      <x:c r="Q54" s="17" t="str"/>
      <x:c r="R54" s="17" t="str">
        <x:v>NO_EVIDENCE_YET</x:v>
      </x:c>
      <x:c r="S54" s="17" t="str"/>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17" t="str"/>
      <x:c r="L55" s="17" t="str"/>
      <x:c r="M55" s="17" t="str"/>
      <x:c r="N55" s="17" t="str"/>
      <x:c r="O55" s="17" t="str"/>
      <x:c r="P55" s="17" t="str"/>
      <x:c r="Q55" s="17" t="str"/>
      <x:c r="R55" s="17" t="str">
        <x:v>NO_EVIDENCE_YET</x:v>
      </x:c>
      <x:c r="S55" s="17" t="str"/>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17" t="str"/>
      <x:c r="L56" s="17" t="str"/>
      <x:c r="M56" s="17" t="str"/>
      <x:c r="N56" s="17" t="str"/>
      <x:c r="O56" s="17" t="str"/>
      <x:c r="P56" s="17" t="str"/>
      <x:c r="Q56" s="17" t="str"/>
      <x:c r="R56" s="17" t="str">
        <x:v>NO_EVIDENCE_YET</x:v>
      </x:c>
      <x:c r="S56" s="17" t="str"/>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17" t="str"/>
      <x:c r="L57" s="17" t="str"/>
      <x:c r="M57" s="17" t="str"/>
      <x:c r="N57" s="17" t="str"/>
      <x:c r="O57" s="17" t="str"/>
      <x:c r="P57" s="17" t="str"/>
      <x:c r="Q57" s="17" t="str"/>
      <x:c r="R57" s="17" t="str">
        <x:v>NO_EVIDENCE_YET</x:v>
      </x:c>
      <x:c r="S57" s="17" t="str"/>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LOCAL_PASS</x:v>
      </x:c>
      <x:c r="H64" s="17" t="str">
        <x:v>RED: focused API 2/2因库存路由404；GREEN: focused API/内部领域/契约/迁移/供应商端/P0 E2E；prisma validate；OpenAPI check；MySQL迁移演练。</x:v>
      </x:c>
      <x:c r="I64" s="17" t="str">
        <x:v>个人与企业渠道引用同一SKU唯一InventoryBalance；预扣/释放/确认销售使用同一版本化余额且流水追加、幂等、不为负。</x:v>
      </x:c>
      <x:c r="J64" s="17" t="str">
        <x:v>GREEN API2/2、内部领域2/2、契约与迁移2/2、供应商端4/4、focused Chromium4/4；MySQL empty=2/upgrade=2/restore=2/product=24/cleanup=PASS；完整verify重跑前保持LOCAL_PASS。</x:v>
      </x:c>
      <x:c r="K64" s="17" t="str">
        <x:v>LOCAL_WINDOWS_DOCKER_MYSQL_CHROMIUM</x:v>
      </x:c>
      <x:c r="L64" s="17" t="str">
        <x:v>Node 22.23.1；MySQL 8.4.11；Chromium</x:v>
      </x:c>
      <x:c r="M64" s="17" t="n">
        <x:v>46246.45685185185</x:v>
      </x:c>
      <x:c r="N64" s="17" t="str">
        <x:v>b9dd2bfd69c9f9b4afca55f813be7f91026c802e</x:v>
      </x:c>
      <x:c r="O64" s="17" t="str"/>
      <x:c r="P64" s="17" t="str">
        <x:v>apps/api/test/supertest/shared-inventory-balance-api.test.mjs|apps/api/test/unit/shared-inventory-domain.test.mjs|tests/contracts/m2-p063-shared-inventory.contract.test.mjs|tests/migrations/m2-p063-shared-inventory-migration.contract.test.mjs|tests/e2e/p0/p0-063-shared-inventory.spec.ts</x:v>
      </x:c>
      <x:c r="Q64" s="17" t="str">
        <x:v>CODEX</x:v>
      </x:c>
      <x:c r="R64" s="17" t="str">
        <x:v>FRESH_LOCAL_CURRENT_BRANCH</x:v>
      </x:c>
      <x:c r="S64" s="17" t="str">
        <x:v>CI/staging/device/production未执行；M3订单公开API未实现</x:v>
      </x:c>
      <x:c r="T64" s="17" t="str">
        <x:v>YES</x:v>
      </x:c>
      <x:c r="U64" s="17" t="str">
        <x:v>台账和工作簿同步后须重新运行完整pnpm verify；PR创建后读取exact-head Actions。</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NOT_EXECUTED</x:v>
      </x:c>
      <x:c r="H72" s="17" t="str">
        <x:v>在对应切片先登记失败测试ID，再记录focused tests与pnpm verify；真机/预发布按要求执行</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c r="K72" s="17" t="str"/>
      <x:c r="L72" s="17" t="str"/>
      <x:c r="M72" s="17" t="str"/>
      <x:c r="N72" s="17" t="str"/>
      <x:c r="O72" s="17" t="str"/>
      <x:c r="P72" s="17" t="str"/>
      <x:c r="Q72" s="17" t="str"/>
      <x:c r="R72" s="17" t="str">
        <x:v>NO_EVIDENCE_YET</x:v>
      </x:c>
      <x:c r="S72" s="17" t="str"/>
      <x:c r="T72" s="17" t="str">
        <x:v>YES</x:v>
      </x:c>
      <x:c r="U72" s="17" t="str">
        <x:v>不得以旧输出、字符串搜索、页面资产或模型自述替代</x:v>
      </x:c>
    </x:row>
    <x:row r="73" ht="23" customHeight="1">
      <x:c r="A73" s="17" t="str">
        <x:v>EVD-072</x:v>
      </x:c>
      <x:c r="B73" s="17" t="str">
        <x:v>P0-072</x:v>
      </x:c>
      <x:c r="C73" s="17" t="str">
        <x:v>M1</x:v>
      </x:c>
      <x:c r="D73" s="17" t="str">
        <x:v>M1-P072</x:v>
      </x:c>
      <x:c r="E73" s="17" t="str">
        <x:v>AUTOMATED_AND_MANUAL_AS_REQUIRED</x:v>
      </x:c>
      <x:c r="F73" s="17" t="str">
        <x:v>CI_PASS</x:v>
      </x:c>
      <x:c r="G73" s="17" t="str">
        <x:v>CI_PASS</x:v>
      </x:c>
      <x:c r="H73" s="17" t="str">
        <x:v>API/OpenAPI/迁移/并发同键先红后绿；pnpm test:m1-contract；P072 MySQL迁移演练；pnpm verify</x:v>
      </x:c>
      <x:c r="I73" s="17" t="str">
        <x:v>同一自然人和超级管理员不能旁路；同版本并发决定一成一败；同幂等键并发创建合并；审计失败回滚；供应商按会话supplierId过滤</x:v>
      </x:c>
      <x:c r="J73" s="17" t="str">
        <x:v>API 14/14；P070/P072 Chromium 5/5；OpenAPI 17/17；M1契约37/37；P0 24/24；迁移product=11 cleanup=PASS</x:v>
      </x:c>
      <x:c r="K73" s="17" t="str">
        <x:v>LOCAL_WINDOWS_DOCKER_MYSQL_CHROMIUM_AND_GITHUB_ACTIONS</x:v>
      </x:c>
      <x:c r="L73" s="17" t="str">
        <x:v>Node 22.23.1；pnpm 10.12.1；MySQL 8.4.11；Chromium；GitHub Actions</x:v>
      </x:c>
      <x:c r="M73" s="17" t="n">
        <x:v>46242.269328703704</x:v>
      </x:c>
      <x:c r="N73" s="17" t="str">
        <x:v>efb50c01049686ce5acf8463342a53d4e572a7cd</x:v>
      </x:c>
      <x:c r="O73" s="17" t="str">
        <x:v>https://github.com/EasyStep-lee/flt1/actions/runs/31239438856</x:v>
      </x:c>
      <x:c r="P73" s="17" t="str">
        <x:v>artifacts/verification/M1-P072/sensitive-operations-audit.json</x:v>
      </x:c>
      <x:c r="Q73" s="17" t="str">
        <x:v>GITHUB_ACTIONS+CODEX</x:v>
      </x:c>
      <x:c r="R73" s="17" t="str">
        <x:v>EXACT_PR_HEAD_AND_POST_MERGE_MAIN_CI</x:v>
      </x:c>
      <x:c r="S73" s="17" t="str">
        <x:v>真实导出/预发布/生产未执行</x:v>
      </x:c>
      <x:c r="T73" s="17" t="str">
        <x:v>YES</x:v>
      </x:c>
      <x:c r="U73" s="17" t="str">
        <x:v>PR #32合并为4ff0258，main CI run 31240531655成功；M1-GATE候选main复验，不生成实际导出文件。</x:v>
      </x:c>
    </x:row>
    <x:row r="74" ht="23" customHeight="1">
      <x:c r="A74" s="17" t="str">
        <x:v>EVD-M1-GATE</x:v>
      </x:c>
      <x:c r="B74" s="17" t="str"/>
      <x:c r="C74" s="17" t="str">
        <x:v>M1</x:v>
      </x:c>
      <x:c r="D74" s="17" t="str">
        <x:v>M1-GATE</x:v>
      </x:c>
      <x:c r="E74" s="17" t="str">
        <x:v>AUTOMATED_AND_MANUAL_AS_REQUIRED</x:v>
      </x:c>
      <x:c r="F74" s="17" t="str">
        <x:v>LOCAL_PASS</x:v>
      </x:c>
      <x:c r="G74" s="17" t="str">
        <x:v>CI_PASS</x:v>
      </x:c>
      <x:c r="H74" s="17" t="str">
        <x:v>产品基线校验；M1合同与P0 E2E；Prisma迁移演练；OpenAPI确定性/oasdiff；pnpm verify；GitHub PR/main证据审计</x:v>
      </x:c>
      <x:c r="I74" s="17" t="str">
        <x:v>所有15个M1前置任务和14项主P0有新鲜技术证据；真实人工门槛未满足时阶段必须阻塞且M2保持锁定。</x:v>
      </x:c>
      <x:c r="J74" s="17" t="str">
        <x:v>M1合同、P0、迁移、OpenAPI和verify技术证据通过；EXT-005脱敏确认已提供；PR #34及合并后main CI成功。</x:v>
      </x:c>
      <x:c r="K74" s="17" t="str">
        <x:v>LOCAL_WINDOWS_DOCKER_MYSQL_CHROMIUM+GITHUB_ACTIONS</x:v>
      </x:c>
      <x:c r="L74" s="17" t="str">
        <x:v>Node 22.23.1；pnpm 10.12.1；MySQL 8.4.11；Chromium；GitHub Actions</x:v>
      </x:c>
      <x:c r="M74" s="17" t="n">
        <x:v>46243.21679398148</x:v>
      </x:c>
      <x:c r="N74" s="17" t="str">
        <x:v>162787ae1687116badf0972664005332220976f9</x:v>
      </x:c>
      <x:c r="O74" s="17" t="str">
        <x:v>https://github.com/EasyStep-lee/flt1/actions/runs/31295823535</x:v>
      </x:c>
      <x:c r="P74" s="17" t="str">
        <x:v>artifacts/verification/M1-GATE/m1-gate-preflight.json</x:v>
      </x:c>
      <x:c r="Q74" s="17" t="str">
        <x:v>CODEX</x:v>
      </x:c>
      <x:c r="R74" s="17" t="str">
        <x:v>FRESH_MAIN_POST_MERGE</x:v>
      </x:c>
      <x:c r="S74" s="17" t="str"/>
      <x:c r="T74" s="17" t="str">
        <x:v>NO</x:v>
      </x:c>
      <x:c r="U74" s="17" t="str">
        <x:v>M1-GATE在main合并提交162787a取得CI_PASS；M2已解锁。</x:v>
      </x:c>
    </x:row>
    <x:row r="75" ht="23" customHeight="1">
      <x:c r="A75" s="17" t="str">
        <x:v>EVD-073</x:v>
      </x:c>
      <x:c r="B75" s="17" t="str">
        <x:v>P0-073</x:v>
      </x:c>
      <x:c r="C75" s="17" t="str">
        <x:v>M3</x:v>
      </x:c>
      <x:c r="D75" s="17" t="str">
        <x:v>M3-P073</x:v>
      </x:c>
      <x:c r="E75" s="17" t="str">
        <x:v>AUTOMATED_AND_MANUAL_AS_REQUIRED</x:v>
      </x:c>
      <x:c r="F75" s="17" t="str">
        <x:v>CI_PASS</x:v>
      </x:c>
      <x:c r="G75" s="17" t="str">
        <x:v>NOT_EXECUTED</x:v>
      </x:c>
      <x:c r="H75" s="17" t="str">
        <x:v>在对应切片先登记失败测试ID，再记录focused tests与pnpm verify；真机/预发布按要求执行</x:v>
      </x:c>
      <x:c r="I75" s="17" t="str">
        <x:v>桌面和移动端均提供首页、关于、供应链能力、社区集采、福利卡、供应商合作、新闻和联系入口；登录前后企业入口、采购车和工作台状态正确，页脚主体和法律入口完整。</x:v>
      </x:c>
      <x:c r="J75" s="17" t="str"/>
      <x:c r="K75" s="17" t="str"/>
      <x:c r="L75" s="17" t="str"/>
      <x:c r="M75" s="17" t="str"/>
      <x:c r="N75" s="17" t="str"/>
      <x:c r="O75" s="17" t="str"/>
      <x:c r="P75" s="17" t="str"/>
      <x:c r="Q75" s="17" t="str"/>
      <x:c r="R75" s="17" t="str">
        <x:v>NO_EVIDENCE_YET</x:v>
      </x:c>
      <x:c r="S75" s="17" t="str"/>
      <x:c r="T75" s="17" t="str">
        <x:v>YES</x:v>
      </x:c>
      <x:c r="U75" s="17" t="str">
        <x:v>不得以旧输出、字符串搜索、页面资产或模型自述替代</x:v>
      </x:c>
    </x:row>
    <x:row r="76" ht="23" customHeight="1">
      <x:c r="A76" s="17" t="str">
        <x:v>EVD-074</x:v>
      </x:c>
      <x:c r="B76" s="17" t="str">
        <x:v>P0-074</x:v>
      </x:c>
      <x:c r="C76" s="17" t="str">
        <x:v>M3</x:v>
      </x:c>
      <x:c r="D76" s="17" t="str">
        <x:v>M3-P074</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首页按主视觉、核心服务、供应链能力、社区集采说明、分类预览、授权案例、供应商合作、新闻和底部 CTA 顺序展示；不使用虚构销量、倒计时或未授权案例。</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EVD-075</x:v>
      </x:c>
      <x:c r="B77" s="17" t="str">
        <x:v>P0-075</x:v>
      </x:c>
      <x:c r="C77" s="17" t="str">
        <x:v>M3</x:v>
      </x:c>
      <x:c r="D77" s="17" t="str">
        <x:v>M3-P075</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关于、能力、案例、新闻和联系页面内容完整，资质与案例按授权展示，规则公告保留版本和生效时间，页面具有明确下一步入口。</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EVD-076</x:v>
      </x:c>
      <x:c r="B78" s="17" t="str">
        <x:v>P0-076</x:v>
      </x:c>
      <x:c r="C78" s="17" t="str">
        <x:v>M3</x:v>
      </x:c>
      <x:c r="D78" s="17" t="str">
        <x:v>M3-P076</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供应商合作页明确条件、分类、资料、流程、注册与登录；福利卡服务页明确企业办理和员工使用流程，商务咨询表单最小化收集并幂等提交。</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EVD-077</x:v>
      </x:c>
      <x:c r="B79" s="17" t="str">
        <x:v>P0-077</x:v>
      </x:c>
      <x:c r="C79" s="17" t="str">
        <x:v>M3</x:v>
      </x:c>
      <x:c r="D79" s="17" t="str">
        <x:v>M3-P077</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企业注册、主体、联系人、开票、收货、预览提交和认证进度页面完整；补正定位字段，暂停说明影响，重复企业和上传异常均有安全且可操作的反馈。</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EVD-078</x:v>
      </x:c>
      <x:c r="B80" s="17" t="str">
        <x:v>P0-078</x:v>
      </x:c>
      <x:c r="C80" s="17" t="str">
        <x:v>M3</x:v>
      </x:c>
      <x:c r="D80" s="17" t="str">
        <x:v>M3-P078</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认证企业可使用分类、搜索、筛选、商品卡和模板化详情；只展示带集采标识的共用商品、集采销售价和必要库存状态，供应价与内部毛利在页面和接口中均不存在。</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EVD-079</x:v>
      </x:c>
      <x:c r="B81" s="17" t="str">
        <x:v>P0-079</x:v>
      </x:c>
      <x:c r="C81" s="17" t="str">
        <x:v>M3</x:v>
      </x:c>
      <x:c r="D81" s="17" t="str">
        <x:v>M3-P079</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采购车支持跨供应商分组但统一结账；结算页统一展示商品、地址、开票、配送、付款和总金额，价格/库存/配送变化逐项提示且不产生多次付款。</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EVD-080</x:v>
      </x:c>
      <x:c r="B82" s="17" t="str">
        <x:v>P0-080</x:v>
      </x:c>
      <x:c r="C82" s="17" t="str">
        <x:v>M3</x:v>
      </x:c>
      <x:c r="D82" s="17" t="str">
        <x:v>M3-P080</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工作台、订单列表、订单详情、统一配送时间线、售后、发票、常购清单、企业资料和消息页面完整；数据仅限本企业且不展示供应商内部结算。</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EVD-081</x:v>
      </x:c>
      <x:c r="B83" s="17" t="str">
        <x:v>P0-081</x:v>
      </x:c>
      <x:c r="C83" s="17" t="str">
        <x:v>M3</x:v>
      </x:c>
      <x:c r="D83" s="17" t="str">
        <x:v>M3-P081</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桌面、平板和手机可完成注册、浏览、采购车、下单、订单和售后；加载、空态、失败、未认证、无权限、对象失效和表单错误状态均有明确反馈。</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EVD-082</x:v>
      </x:c>
      <x:c r="B84" s="17" t="str">
        <x:v>P0-082</x:v>
      </x:c>
      <x:c r="C84" s="17" t="str">
        <x:v>M5</x:v>
      </x:c>
      <x:c r="D84" s="17" t="str">
        <x:v>M5-P082</x:v>
      </x:c>
      <x:c r="E84" s="17" t="str">
        <x:v>AUTOMATED_AND_MANUAL_AS_REQUIRED</x:v>
      </x:c>
      <x:c r="F84" s="17" t="str">
        <x:v>CI_PASS</x:v>
      </x:c>
      <x:c r="G84" s="17" t="str">
        <x:v>NOT_EXECUTED</x:v>
      </x:c>
      <x:c r="H84" s="17" t="str">
        <x:v>先登记失败测试；检查服务端HTML、metadata/canonical/structured data、sitemap/robots、按slug ISR失效及登录/预览/交易页noindex/private/no-store</x:v>
      </x:c>
      <x:c r="I84"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EVD-083</x:v>
      </x:c>
      <x:c r="B85" s="17" t="str">
        <x:v>P0-083</x:v>
      </x:c>
      <x:c r="C85" s="17" t="str">
        <x:v>M3</x:v>
      </x:c>
      <x:c r="D85" s="17" t="str">
        <x:v>M3-P083</x:v>
      </x:c>
      <x:c r="E85" s="17" t="str">
        <x:v>AUTOMATED_AND_MANUAL_AS_REQUIRED</x:v>
      </x:c>
      <x:c r="F85" s="17" t="str">
        <x:v>DEVICE_PASS</x:v>
      </x:c>
      <x:c r="G85" s="17" t="str">
        <x:v>NOT_EXECUTED</x:v>
      </x:c>
      <x:c r="H85" s="17" t="str">
        <x:v>在对应切片先登记失败测试ID，再记录focused tests与pnpm verify；真机/预发布按要求执行</x:v>
      </x:c>
      <x:c r="I85" s="17" t="str">
        <x:v>小程序是个人零售入口，游客可浏览、登录后交易；公司是唯一销售/收款/退款/开票/售后主体，页面不出现企业采购交易、供应商后台或跑腿工作台入口。</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EVD-084</x:v>
      </x:c>
      <x:c r="B86" s="17" t="str">
        <x:v>P0-084</x:v>
      </x:c>
      <x:c r="C86" s="17" t="str">
        <x:v>M3</x:v>
      </x:c>
      <x:c r="D86" s="17" t="str">
        <x:v>M3-P084</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首页、分类、购物车、我的四个 TabBar 入口及搜索、详情、确认订单、支付结果、订单、售后、福利卡、地址、发票、消息和客服页面路径完整，深链返回和登录回跳正确。</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EVD-085</x:v>
      </x:c>
      <x:c r="B87" s="17" t="str">
        <x:v>P0-085</x:v>
      </x:c>
      <x:c r="C87" s="17" t="str">
        <x:v>M3</x:v>
      </x:c>
      <x:c r="D87" s="17" t="str">
        <x:v>M3-P085</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启动不强制手机号、定位或订阅消息授权；受保护操作再登录并说明用途，拒绝授权仍可游客浏览；服务端以微信身份绑定 userId，前端不能指定他人身份。</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EVD-086</x:v>
      </x:c>
      <x:c r="B88" s="17" t="str">
        <x:v>P0-086</x:v>
      </x:c>
      <x:c r="C88" s="17" t="str">
        <x:v>M3</x:v>
      </x:c>
      <x:c r="D88" s="17" t="str">
        <x:v>M3-P086</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收货区域、搜索、运营位、快捷分类、福利专区、主题商品、推荐/继续购买和服务保障完整；运营内容有有效期与落地页白名单，切换区域后重新校验但不直接清空购物车。</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EVD-087</x:v>
      </x:c>
      <x:c r="B89" s="17" t="str">
        <x:v>P0-087</x:v>
      </x:c>
      <x:c r="C89" s="17" t="str">
        <x:v>M3</x:v>
      </x:c>
      <x:c r="D89" s="17" t="str">
        <x:v>M3-P087</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启用分类树、搜索建议、模板属性筛选、排序、稳定分页和状态恢复完整；只返回个人渠道可售商品和平台零售价，无结果、下架、售罄及区域不可售均可理解并可恢复。</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EVD-088</x:v>
      </x:c>
      <x:c r="B90" s="17" t="str">
        <x:v>P0-088</x:v>
      </x:c>
      <x:c r="C90" s="17" t="str">
        <x:v>M3</x:v>
      </x:c>
      <x:c r="D90" s="17" t="str">
        <x:v>M3-P088</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商品媒体、标题、平台零售价、SKU、福利卡适用、库存、配送、售后、分类模板模块、供应来源和底部操作完整；不同分类按模板版本展示且历史订单快照不被升级改写。</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EVD-089</x:v>
      </x:c>
      <x:c r="B91" s="17" t="str">
        <x:v>P0-089</x:v>
      </x:c>
      <x:c r="C91" s="17" t="str">
        <x:v>M3</x:v>
      </x:c>
      <x:c r="D91" s="17" t="str">
        <x:v>M3-P089</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按当前 supplierId 返回公司已审核上架且个人可售的 Product/Sku，继续使用公司货架、价格、购物车、协议和客服；不存在供应商店铺、装修、评分、联系方式、独立售后或独立付款。</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EVD-090</x:v>
      </x:c>
      <x:c r="B92" s="17" t="str">
        <x:v>P0-090</x:v>
      </x:c>
      <x:c r="C92" s="17" t="str">
        <x:v>M3</x:v>
      </x:c>
      <x:c r="D92" s="17" t="str">
        <x:v>M3-P090</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至少三个供应商商品可按供应来源分组选择、改数量、处理失效项并一次进入结算；前端不按供应商多次创建订单或多次付款，分组仅用于备货和配送说明。</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EVD-091</x:v>
      </x:c>
      <x:c r="B93" s="17" t="str">
        <x:v>P0-091</x:v>
      </x:c>
      <x:c r="C93" s="17" t="str">
        <x:v>M3</x:v>
      </x:c>
      <x:c r="D93" s="17" t="str">
        <x:v>M3-P091</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地址、商品分组、配送费、优惠、福利卡、微信支付应付、发票、备注、协议和金额明细完整；现金应付大于零时固定显示微信支付，不展示其他支付渠道；服务端统一试算并逐项提示价格、库存、区域、限购和配送变化。</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EVD-092</x:v>
      </x:c>
      <x:c r="B94" s="17" t="str">
        <x:v>P0-092</x:v>
      </x:c>
      <x:c r="C94" s="17" t="str">
        <x:v>M3</x:v>
      </x:c>
      <x:c r="D94" s="17" t="str">
        <x:v>M3-P092</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结算页只显示当前订单可用账户，P0 选择一个账户或不使用；系统自动按可用余额与可抵扣金额的较小值最大抵扣，不要求手填金额，适用与不可用商品说明一致。</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EVD-093</x:v>
      </x:c>
      <x:c r="B95" s="17" t="str">
        <x:v>P0-093</x:v>
      </x:c>
      <x:c r="C95" s="17" t="str">
        <x:v>M3</x:v>
      </x:c>
      <x:c r="D95" s="17" t="str">
        <x:v>M3-P093</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纯微信支付、福利卡全额和福利卡＋微信支付均只形成一次公司结账；结果页查询服务端微信支付真实状态，取消/失败/未知状态正确冻结或释放福利卡与库存，退出或断网后可恢复且不重复扣款。</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EVD-094</x:v>
      </x:c>
      <x:c r="B96" s="17" t="str">
        <x:v>P0-094</x:v>
      </x:c>
      <x:c r="C96" s="17" t="str">
        <x:v>M3</x:v>
      </x:c>
      <x:c r="D96" s="17" t="str">
        <x:v>M3-P094</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订单列表和详情同时表达一个公司主订单、一次支付、多个供应商履约子单、福利卡/微信支付结构、发票和售后；用户端不返回供应价、供应商应付、跑腿报酬或内部备注。</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EVD-095</x:v>
      </x:c>
      <x:c r="B97" s="17" t="str">
        <x:v>P0-095</x:v>
      </x:c>
      <x:c r="C97" s="17" t="str">
        <x:v>M4</x:v>
      </x:c>
      <x:c r="D97" s="17" t="str">
        <x:v>M4-P095</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同一主订单的每个个人供应商子单可展示独立跑腿配送卡与顺序节点，支持多个跑腿员、分批送达、异常和分项收货；单个子单送达不误标整单送达。</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EVD-096</x:v>
      </x:c>
      <x:c r="B98" s="17" t="str">
        <x:v>P0-096</x:v>
      </x:c>
      <x:c r="C98" s="17" t="str">
        <x:v>M3</x:v>
      </x:c>
      <x:c r="D98" s="17" t="str">
        <x:v>M3-P096</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支持按商品/子单申请、动态原因与凭证、补证、处理时间线、退货说明、客服申诉和部分退款；公司统一受理，福利卡与微信支付严格按原 OrderPaymentAllocation 退回。</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EVD-097</x:v>
      </x:c>
      <x:c r="B99" s="17" t="str">
        <x:v>P0-097</x:v>
      </x:c>
      <x:c r="C99" s="17" t="str">
        <x:v>M3</x:v>
      </x:c>
      <x:c r="D99" s="17" t="str">
        <x:v>M3-P097</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福利卡账户/绑定/流水、地址、发票资料、消息、客服、协议、隐私授权、账号安全和注销入口完整；卡码兑换幂等、敏感字段脱敏、订阅拒绝不影响交易。</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EVD-098</x:v>
      </x:c>
      <x:c r="B100" s="17" t="str">
        <x:v>P0-098</x:v>
      </x:c>
      <x:c r="C100" s="17" t="str">
        <x:v>M3</x:v>
      </x:c>
      <x:c r="D100" s="17" t="str">
        <x:v>M3-P098</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骨架、空态、失败、离线、登录失效、对象下架、支付未知、上传失败、分包、图片懒加载、弱网恢复、字号放大、对象级权限、分享安全和最小化埋点均通过验收；任何接口、日志、缓存或埋点均不泄露供应价及个人敏感数据。</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EVD-099</x:v>
      </x:c>
      <x:c r="B101" s="17" t="str">
        <x:v>P0-099</x:v>
      </x:c>
      <x:c r="C101" s="17" t="str">
        <x:v>M4</x:v>
      </x:c>
      <x:c r="D101" s="17" t="str">
        <x:v>M4-P099</x:v>
      </x:c>
      <x:c r="E101" s="17" t="str">
        <x:v>AUTOMATED_AND_MANUAL_AS_REQUIRED</x:v>
      </x:c>
      <x:c r="F101" s="17" t="str">
        <x:v>CI_PASS</x:v>
      </x:c>
      <x:c r="G101" s="17" t="str">
        <x:v>NOT_EXECUTED</x:v>
      </x:c>
      <x:c r="H101" s="17" t="str">
        <x:v>在对应切片先登记失败测试ID，再记录focused tests与pnpm verify；真机/预发布按要求执行</x:v>
      </x:c>
      <x:c r="I101" s="17" t="str">
        <x:v>个人零售子单只能生成 RETAIL_RUNNER DeliveryTask 并进入跑腿小程序；企业采购子单只能汇总进入 EnterpriseDeliveryOrder。两套接口、会话、通知、状态和数据权限互相拒绝。</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EVD-100</x:v>
      </x:c>
      <x:c r="B102" s="17" t="str">
        <x:v>P0-100</x:v>
      </x:c>
      <x:c r="C102" s="17" t="str">
        <x:v>M4</x:v>
      </x:c>
      <x:c r="D102" s="17" t="str">
        <x:v>M4-P100</x:v>
      </x:c>
      <x:c r="E102" s="17" t="str">
        <x:v>AUTOMATED_AND_MANUAL_AS_REQUIRED</x:v>
      </x:c>
      <x:c r="F102" s="17" t="str">
        <x:v>DEVICE_PASS</x:v>
      </x:c>
      <x:c r="G102" s="17" t="str">
        <x:v>NOT_EXECUTED</x:v>
      </x:c>
      <x:c r="H102" s="17" t="str">
        <x:v>在对应切片先登记失败测试ID，再记录focused tests与pnpm verify；真机/预发布按要求执行</x:v>
      </x:c>
      <x:c r="I102" s="17" t="str">
        <x:v>手机号验证、规则/隐私说明、申请资料、服务区域、草稿/待审/补正/通过/驳回及申诉页面完整；审核通过并启用前不能上线、查看大厅或抢单。</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EVD-101</x:v>
      </x:c>
      <x:c r="B103" s="17" t="str">
        <x:v>P0-101</x:v>
      </x:c>
      <x:c r="C103" s="17" t="str">
        <x:v>M4</x:v>
      </x:c>
      <x:c r="D103" s="17" t="str">
        <x:v>M4-P101</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跑腿应用独立于用户小程序，提供登录申请、配送首页、大厅、我的任务、任务详情、异常、记录和我的页面，以及大厅/任务/记录/我的四项 TabBar；不复用其他端会话。</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EVD-102</x:v>
      </x:c>
      <x:c r="B104" s="17" t="str">
        <x:v>P0-102</x:v>
      </x:c>
      <x:c r="C104" s="17" t="str">
        <x:v>M4</x:v>
      </x:c>
      <x:c r="D104" s="17" t="str">
        <x:v>M4-P102</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个人订单支付成功后按供应商子单幂等创建一个 DeliveryTask，供应商确认可取且子单有效后才进入 PENDING_HALL；重复回调不重复创建，取消/退款锁定任务不可抢。</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EVD-103</x:v>
      </x:c>
      <x:c r="B105" s="17" t="str">
        <x:v>P0-103</x:v>
      </x:c>
      <x:c r="C105" s="17" t="str">
        <x:v>M4</x:v>
      </x:c>
      <x:c r="D105" s="17" t="str">
        <x:v>M4-P103</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只有启用、资料有效、在线、服务区域匹配且未超在途上限的跑腿员可见可抢任务；下线仅停止新任务，不能隐藏或撤销已接任务。</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EVD-104</x:v>
      </x:c>
      <x:c r="B106" s="17" t="str">
        <x:v>P0-104</x:v>
      </x:c>
      <x:c r="C106" s="17" t="str">
        <x:v>M4</x:v>
      </x:c>
      <x:c r="D106" s="17" t="str">
        <x:v>M4-P104</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抢单前只显示取送区域、时间、件数、特殊要求和预计报酬，不显示精确门牌、完整电话、完整商品、价格/支付、供应价、企业订单或其他内部数据。</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EVD-105</x:v>
      </x:c>
      <x:c r="B107" s="17" t="str">
        <x:v>P0-105</x:v>
      </x:c>
      <x:c r="C107" s="17" t="str">
        <x:v>M4</x:v>
      </x:c>
      <x:c r="D107" s="17" t="str">
        <x:v>M4-P105</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抢单以幂等键和 DeliveryTask.version 乐观锁绑定唯一 runnerId；并发只有一人成功，弱网未知先查询本人任务，任务已抢/取消/区域不符/超限使用不同错误码。</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EVD-106</x:v>
      </x:c>
      <x:c r="B108" s="17" t="str">
        <x:v>P0-106</x:v>
      </x:c>
      <x:c r="C108" s="17" t="str">
        <x:v>M4</x:v>
      </x:c>
      <x:c r="D108" s="17" t="str">
        <x:v>M4-P106</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承接成功后同时返回本任务的供应商取货点快照和用户收货目的地快照，以及商品摘要、两个地点的受控联系、当前节点和操作；他人任务、其他供应商子单、企业数据、价格和结算字段均不可访问。</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EVD-107</x:v>
      </x:c>
      <x:c r="B109" s="17" t="str">
        <x:v>P0-107</x:v>
      </x:c>
      <x:c r="C109" s="17" t="str">
        <x:v>M4</x:v>
      </x:c>
      <x:c r="D109" s="17" t="str">
        <x:v>M4-P107</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已抢单、到取货地、取货、配送、到目的地、送达、完成必须按顺序推进；服务端校验 runnerId 和前置状态，每个节点幂等留痕，不能越级、倒退或替他人点击。</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EVD-108</x:v>
      </x:c>
      <x:c r="B110" s="17" t="str">
        <x:v>P0-108</x:v>
      </x:c>
      <x:c r="C110" s="17" t="str">
        <x:v>M4</x:v>
      </x:c>
      <x:c r="D110" s="17" t="str">
        <x:v>M4-P108</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EVD-109</x:v>
      </x:c>
      <x:c r="B111" s="17" t="str">
        <x:v>P0-109</x:v>
      </x:c>
      <x:c r="C111" s="17" t="str">
        <x:v>M4</x:v>
      </x:c>
      <x:c r="D111" s="17" t="str">
        <x:v>M4-P109</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未备好、缺货、联系不上、地址错误、无人收货、破损、拒收、网络故障和无法继续均可上报并留证；跑腿员不能取消订单、删除任务、修改退款或私下转派，公司处理结果完整留痕。</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EVD-110</x:v>
      </x:c>
      <x:c r="B112" s="17" t="str">
        <x:v>P0-110</x:v>
      </x:c>
      <x:c r="C112" s="17" t="str">
        <x:v>M4</x:v>
      </x:c>
      <x:c r="D112" s="17" t="str">
        <x:v>M4-P110</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公司批准转派时追加承接日志，原跑腿员立即失去后续节点权限，新跑腿员从批准状态继续；冻结/停用账号立即下线且已接任务进入明确处理队列。</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EVD-111</x:v>
      </x:c>
      <x:c r="B113" s="17" t="str">
        <x:v>P0-111</x:v>
      </x:c>
      <x:c r="C113" s="17" t="str">
        <x:v>M4</x:v>
      </x:c>
      <x:c r="D113" s="17" t="str">
        <x:v>M4-P111</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履约阶段使用隐私号/受控联系；取货和送达凭证按规则收集，普通个人订单不强制扫码；同一主订单多个任务分别送达和确认，单任务完成不误标整单完成。</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EVD-112</x:v>
      </x:c>
      <x:c r="B114" s="17" t="str">
        <x:v>P0-112</x:v>
      </x:c>
      <x:c r="C114" s="17" t="str">
        <x:v>M4</x:v>
      </x:c>
      <x:c r="D114" s="17" t="str">
        <x:v>M4-P112</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抢单、取消、节点提醒和异常结果支持站内/订阅通知，拒绝订阅不影响任务；通知、日志、缓存和埋点不包含完整地址/电话、价格、支付结构、供应价或内部责任结论。</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EVD-113</x:v>
      </x:c>
      <x:c r="B115" s="17" t="str">
        <x:v>P0-113</x:v>
      </x:c>
      <x:c r="C115" s="17" t="str">
        <x:v>M4</x:v>
      </x:c>
      <x:c r="D115" s="17" t="str">
        <x:v>M4-P113</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跑腿员可查看本人历史任务、节点、异常、申诉、报酬快照、调整和线下支付状态；不做跑腿钱包、充值、提现、自动分账或地图里程计费，已确认明细只能追加调整/冲正。</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EVD-114</x:v>
      </x:c>
      <x:c r="B116" s="17" t="str">
        <x:v>P0-114</x:v>
      </x:c>
      <x:c r="C116" s="17" t="str">
        <x:v>M4</x:v>
      </x:c>
      <x:c r="D116" s="17" t="str">
        <x:v>M4-P114</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空大厅、审核中、冻结、弱网、离线、任务被抢、节点重复、任务取消、上传失败和导航失败均可恢复；runnerId 服务端绑定，对象级越权、篡改状态及企业配送访问全部失败。</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EVD-115</x:v>
      </x:c>
      <x:c r="B117" s="17" t="str">
        <x:v>P0-115</x:v>
      </x:c>
      <x:c r="C117" s="17" t="str">
        <x:v>M4</x:v>
      </x:c>
      <x:c r="D117" s="17" t="str">
        <x:v>M4-P115</x:v>
      </x:c>
      <x:c r="E117" s="17" t="str">
        <x:v>AUTOMATED_AND_MANUAL_AS_REQUIRED</x:v>
      </x:c>
      <x:c r="F117" s="17" t="str">
        <x:v>CI_PASS</x:v>
      </x:c>
      <x:c r="G117" s="17" t="str">
        <x:v>NOT_EXECUTED</x:v>
      </x:c>
      <x:c r="H117" s="17" t="str">
        <x:v>在对应切片先登记失败测试ID，再记录focused tests与pnpm verify；真机/预发布按要求执行</x:v>
      </x:c>
      <x:c r="I117" s="17" t="str">
        <x:v>等待供应商、可收取、收货中、已汇总、已派车、运输中、已到达、已签收和已完成按顺序留痕；企业确认的部分齐套配送可形成可追溯批次。</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EVD-116</x:v>
      </x:c>
      <x:c r="B118" s="17" t="str">
        <x:v>P0-116</x:v>
      </x:c>
      <x:c r="C118" s="17" t="str">
        <x:v>M4</x:v>
      </x:c>
      <x:c r="D118" s="17" t="str">
        <x:v>M4-P116</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物流职能账号固定页面具备首页、备货汇总、汇总收货、配送列表/详情、移动执行、资源和异常子页面；其他公司职能、供应商和跑腿账号无权访问，页面不加载供应价及财务数据。</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EVD-117</x:v>
      </x:c>
      <x:c r="B119" s="17" t="str">
        <x:v>P0-117</x:v>
      </x:c>
      <x:c r="C119" s="17" t="str">
        <x:v>M4</x:v>
      </x:c>
      <x:c r="D119" s="17" t="str">
        <x:v>M4-P117</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应收/实收、批次、效期、温区、包装、照片、交接与少货/错货/破损差异可逐项登记；每个配送项可追溯原订单项和供应商子单，重复收货幂等且不覆盖原订单。</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EVD-118</x:v>
      </x:c>
      <x:c r="B120" s="18" t="str">
        <x:v>P0-118</x:v>
      </x:c>
      <x:c r="C120" s="18" t="str">
        <x:v>M4</x:v>
      </x:c>
      <x:c r="D120" s="18" t="str">
        <x:v>M4-P118</x:v>
      </x:c>
      <x:c r="E120" s="18" t="str">
        <x:v>AUTOMATED_AND_MANUAL_AS_REQUIRED</x:v>
      </x:c>
      <x:c r="F120" s="18" t="str">
        <x:v>STAGING_PASS</x:v>
      </x:c>
      <x:c r="G120" s="18" t="str">
        <x:v>NOT_EXECUTED</x:v>
      </x:c>
      <x:c r="H120" s="18" t="str">
        <x:v>在对应切片先登记失败测试ID，再记录focused tests与pnpm verify；真机/预发布按要求执行</x:v>
      </x:c>
      <x:c r="I120" s="18" t="str">
        <x:v>公司可为已汇总批次安排公司车辆/司机或指定承运商并保存快照；移动页完成发车、运输、到达、联系、签收、回单和异常，第三方承运商P0无独立后台账号。</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EVD-119</x:v>
      </x:c>
      <x:c r="B121" t="str">
        <x:v>P0-119</x:v>
      </x:c>
      <x:c r="C121" t="str">
        <x:v>M4</x:v>
      </x:c>
      <x:c r="D121" t="str">
        <x:v>M4-P119</x:v>
      </x:c>
      <x:c r="E121" t="str">
        <x:v>AUTOMATED_AND_MANUAL_AS_REQUIRED</x:v>
      </x:c>
      <x:c r="F121" t="str">
        <x:v>STAGING_PASS</x:v>
      </x:c>
      <x:c r="G121" t="str">
        <x:v>NOT_EXECUTED</x:v>
      </x:c>
      <x:c r="H121" t="str">
        <x:v>在对应切片先登记失败测试ID，再记录focused tests与pnpm verify；真机/预发布按要求执行</x:v>
      </x:c>
      <x:c r="I121" t="str">
        <x:v>企业门户只显示统一配送时间线、批次和签收结果；签收数量、签名/回单/照片、拒收和差异完整留痕。任务、节点、派车、异常和配送指标可审计且不泄露个人隐私或内部结算数据。</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fc9b3119df5438f"/>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MIG-011</x:v>
      </x:c>
      <x:c r="B13" s="17" t="str">
        <x:v>M3</x:v>
      </x:c>
      <x:c r="C13" s="17" t="str">
        <x:v>0302_enterprise_identity_profile</x:v>
      </x:c>
      <x:c r="D13" s="17" t="str">
        <x:v>MIG-010</x:v>
      </x:c>
      <x:c r="E13" s="17" t="str">
        <x:v>EnterpriseCustomer/User/Address/Invoice/ProcurementProfile</x:v>
      </x:c>
      <x:c r="F13" s="17" t="str">
        <x:v>企业客户</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信用代码唯一与数据域；prisma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MIG-012</x:v>
      </x:c>
      <x:c r="B14" s="17" t="str">
        <x:v>M3</x:v>
      </x:c>
      <x:c r="C14" s="17" t="str">
        <x:v>0303_cart_order_suborders</x:v>
      </x:c>
      <x:c r="D14" s="17" t="str">
        <x:v>MIG-011</x:v>
      </x:c>
      <x:c r="E14" s="17" t="str">
        <x:v>ShoppingCart/Item/Order/OrderItem/SupplierFulfillmentSubOrder</x:v>
      </x:c>
      <x:c r="F14" s="17" t="str">
        <x:v>跨供应商订单</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购物车版本、订单幂等、快照；prisma validate；空库/升级路径dry-run；关键不变量SQL</x:v>
      </x:c>
      <x:c r="K14" s="17" t="str">
        <x:v>YES</x:v>
      </x:c>
      <x:c r="L14" s="17" t="str">
        <x:v>PLANNED</x:v>
      </x:c>
      <x:c r="M14" s="17" t="str"/>
      <x:c r="N14" s="17" t="str"/>
      <x:c r="O14" s="17" t="str"/>
      <x:c r="P14" s="17" t="str"/>
      <x:c r="Q14" s="17" t="str"/>
      <x:c r="R14" s="17" t="str"/>
    </x:row>
    <x:row r="15" ht="23" customHeight="1">
      <x:c r="A15" s="17" t="str">
        <x:v>MIG-013</x:v>
      </x:c>
      <x:c r="B15" s="17" t="str">
        <x:v>M3</x:v>
      </x:c>
      <x:c r="C15" s="17" t="str">
        <x:v>0304_payment_refund_allocation</x:v>
      </x:c>
      <x:c r="D15" s="17" t="str">
        <x:v>MIG-012</x:v>
      </x:c>
      <x:c r="E15" s="17" t="str">
        <x:v>OrderPaymentAllocation/PaymentTransaction/RefundTransaction</x:v>
      </x:c>
      <x:c r="F15" s="17" t="str">
        <x:v>支付退款</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外部单号和幂等唯一键；prisma validate；空库/升级路径dry-run；关键不变量SQL</x:v>
      </x:c>
      <x:c r="K15" s="17" t="str">
        <x:v>YES</x:v>
      </x:c>
      <x:c r="L15" s="17" t="str">
        <x:v>PLANNED</x:v>
      </x:c>
      <x:c r="M15" s="17" t="str"/>
      <x:c r="N15" s="17" t="str"/>
      <x:c r="O15" s="17" t="str"/>
      <x:c r="P15" s="17" t="str"/>
      <x:c r="Q15" s="17" t="str"/>
      <x:c r="R15" s="17" t="str"/>
    </x:row>
    <x:row r="16" ht="23" customHeight="1">
      <x:c r="A16" s="17" t="str">
        <x:v>MIG-014</x:v>
      </x:c>
      <x:c r="B16" s="17" t="str">
        <x:v>M3</x:v>
      </x:c>
      <x:c r="C16" s="17" t="str">
        <x:v>0305_welfare_card_ledger</x:v>
      </x:c>
      <x:c r="D16" s="17" t="str">
        <x:v>MIG-013</x:v>
      </x:c>
      <x:c r="E16" s="17" t="str">
        <x:v>WelfareCardProgram/Batch/Code/Account/Ledger</x:v>
      </x:c>
      <x:c r="F16" s="17" t="str">
        <x:v>福利卡</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账本幂等、余额不变量；资金来源仅三类且无PERSONAL_RECHARGE；prisma validate；空库/升级dry-run；关键不变量SQL</x:v>
      </x:c>
      <x:c r="K16" s="17" t="str">
        <x:v>YES</x:v>
      </x:c>
      <x:c r="L16" s="17" t="str">
        <x:v>PLANNED</x:v>
      </x:c>
      <x:c r="M16" s="17" t="str"/>
      <x:c r="N16" s="17" t="str"/>
      <x:c r="O16" s="17" t="str"/>
      <x:c r="P16" s="17" t="str"/>
      <x:c r="Q16" s="17" t="str"/>
      <x:c r="R16" s="17" t="str"/>
    </x:row>
    <x:row r="17" ht="23" customHeight="1">
      <x:c r="A17" s="17" t="str">
        <x:v>MIG-015</x:v>
      </x:c>
      <x:c r="B17" s="17" t="str">
        <x:v>M3</x:v>
      </x:c>
      <x:c r="C17" s="17" t="str">
        <x:v>0306_enterprise_procurement</x:v>
      </x:c>
      <x:c r="D17" s="17" t="str">
        <x:v>MIG-014</x:v>
      </x:c>
      <x:c r="E17" s="17" t="str">
        <x:v>EnterpriseProcurementOrder/EnterpriseWelfarePurchase</x:v>
      </x:c>
      <x:c r="F17" s="17" t="str">
        <x:v>企业采购</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主订单一对一和转账审核；prisma validate；空库/升级路径dry-run；关键不变量SQL</x:v>
      </x:c>
      <x:c r="K17" s="17" t="str">
        <x:v>YES</x:v>
      </x:c>
      <x:c r="L17" s="17" t="str">
        <x:v>PLANNED</x:v>
      </x:c>
      <x:c r="M17" s="17" t="str"/>
      <x:c r="N17" s="17" t="str"/>
      <x:c r="O17" s="17" t="str"/>
      <x:c r="P17" s="17" t="str"/>
      <x:c r="Q17" s="17" t="str"/>
      <x:c r="R17" s="17" t="str"/>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8a1f6ff528ea46b6"/>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CatalogQuery</x:v>
      </x:c>
      <x:c r="H31" s="17" t="str">
        <x:v>PublicProductPageResponse</x:v>
      </x:c>
      <x:c r="I31" s="17" t="str">
        <x:v>{success,data,error:{code,message,details?},requestId}</x:v>
      </x:c>
      <x:c r="J31" s="17" t="str">
        <x:v>REGION_UNAVAILABLE</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apps/api/test/supertest/food-product-detail-api.test.mjs|apps/api/test/supertest/fresh-product-detail-api.test.mjs|apps/api/test/supertest/apparel-product-detail-api.test.mjs|apps/api/test/supertest/digital-product-detail-api.test.mjs|apps/api/test/supertest/gift-box-product-detail-api.test.mjs|apps/api/test/supertest/product-detail-price-isolation-api.test.mjs|apps/api/test/unit/catalog-price-isolation-policy.test.mjs|apps/user-miniapp/test/product-detail-build.test.mjs|tests/contracts/m2-p021-product-detail-price-isolation.contract.test.mjs|packages/contracts/openapi.json</x:v>
      </x:c>
      <x:c r="S32" s="17" t="str">
        <x:v>CODEX</x:v>
      </x:c>
      <x:c r="T32" s="17" t="str">
        <x:v>P013至P017模板详情已有CI证据；M2-P021实现零售通道递归价格白名单、受污染传输数据丢弃与OpenAPI互斥字段契约，当前LOCAL_PASS；P0-088完整交易交互仍NOT_EXECUTED。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apps/api/test/supertest/public-catalog-api.test.mjs|apps/api/test/unit/public-catalog-prisma-repository.test.mjs|tests/contracts/m2-p010-public-catalog.contract.test.mjs|apps/user-miniapp/test/supplier-products-build.test.mjs</x:v>
      </x:c>
      <x:c r="S33" s="17" t="str">
        <x:v>CODEX</x:v>
      </x:c>
      <x:c r="T33" s="17" t="str">
        <x:v>M2-P010完成公开同源在售商品查询与响应白名单；保留M3归属，因为PAGE-054完整P0-089、真机与交易入口仍在M3执行。</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API-036</x:v>
      </x:c>
      <x:c r="B38" s="17" t="str">
        <x:v>M3</x:v>
      </x:c>
      <x:c r="C38" s="17" t="str">
        <x:v>orders</x:v>
      </x:c>
      <x:c r="D38" s="17" t="str">
        <x:v>POST</x:v>
      </x:c>
      <x:c r="E38" s="17" t="str">
        <x:v>/v1/consumer/orders</x:v>
      </x:c>
      <x:c r="F38" s="17" t="str">
        <x:v>CONSUMER</x:v>
      </x:c>
      <x:c r="G38" s="17" t="str">
        <x:v>ConsumerOrderCreateRequest</x:v>
      </x:c>
      <x:c r="H38" s="17" t="str">
        <x:v>OrderCreateResponse</x:v>
      </x:c>
      <x:c r="I38" s="17" t="str">
        <x:v>{success,data,error:{code,message,details?},requestId}</x:v>
      </x:c>
      <x:c r="J38" s="17" t="str">
        <x:v>IDEMPOTENCY_CONFLICT|PRICE_CHANGED|INVENTORY_INSUFFICIENT</x:v>
      </x:c>
      <x:c r="K38" s="17" t="str">
        <x:v>Idempotency-Key</x:v>
      </x:c>
      <x:c r="L38" s="17" t="str">
        <x:v>NEVER_RETURN; DTO白名单；对象归属校验先于查询结果返回</x:v>
      </x:c>
      <x:c r="M38" s="17" t="str">
        <x:v>金额字段整数分；服务端重算；禁止客户端提交供应价或结算快照</x:v>
      </x:c>
      <x:c r="N38" s="17" t="str">
        <x:v>P0-022,P0-023,P0-025,P0-091</x:v>
      </x:c>
      <x:c r="O38" s="17" t="str">
        <x:v>PLANNED</x:v>
      </x:c>
      <x:c r="P38" s="17" t="str">
        <x:v>PLANNED</x:v>
      </x:c>
      <x:c r="Q38" s="17" t="str">
        <x:v>PLANNED</x:v>
      </x:c>
      <x:c r="R38" s="17" t="str">
        <x:v>TO_BE_CREATED</x:v>
      </x:c>
      <x:c r="S38" s="17" t="str">
        <x:v>UNASSIGNED</x:v>
      </x:c>
      <x:c r="T38" s="17" t="str">
        <x:v>路径为执行初始契约；阶段M*-000冻结后方可编码</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x:v>
      </x:c>
      <x:c r="H40" s="17" t="str">
        <x:v>WelfareCardAccountResponse</x:v>
      </x:c>
      <x:c r="I40" s="17" t="str">
        <x:v>{success,data,error:{code,message,details?},requestId}</x:v>
      </x:c>
      <x:c r="J40" s="17" t="str">
        <x:v>CARD_CODE_INVALID|CARD_ALREADY_CLAIMED</x:v>
      </x:c>
      <x:c r="K40" s="17" t="str">
        <x:v>Idempotency-Key</x:v>
      </x:c>
      <x:c r="L40" s="17" t="str">
        <x:v>NEVER_RETURN; DTO白名单；对象归属校验先于查询结果返回</x:v>
      </x:c>
      <x:c r="M40" s="17" t="str">
        <x:v>金额字段整数分；服务端重算；禁止客户端提交供应价或结算快照</x:v>
      </x:c>
      <x:c r="N40" s="17" t="str">
        <x:v>P0-052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API-039</x:v>
      </x:c>
      <x:c r="B41" s="17" t="str">
        <x:v>M3</x:v>
      </x:c>
      <x:c r="C41" s="17" t="str">
        <x:v>welfare-card</x:v>
      </x:c>
      <x:c r="D41" s="17" t="str">
        <x:v>GET</x:v>
      </x:c>
      <x:c r="E41" s="17" t="str">
        <x:v>/v1/consumer/welfare-card-accounts/eligible</x:v>
      </x:c>
      <x:c r="F41" s="17" t="str">
        <x:v>CONSUMER</x:v>
      </x:c>
      <x:c r="G41" s="17" t="str">
        <x:v>EligibilityQuery</x:v>
      </x:c>
      <x:c r="H41" s="17" t="str">
        <x:v>EligibleWelfareAccountsResponse</x:v>
      </x:c>
      <x:c r="I41" s="17" t="str">
        <x:v>{success,data,error:{code,message,details?},requestId}</x:v>
      </x:c>
      <x:c r="J41" s="17" t="str">
        <x:v>COMMON_AUTH_VALIDATION_ERRORS</x:v>
      </x:c>
      <x:c r="K41" s="17" t="str">
        <x:v>NONE</x:v>
      </x:c>
      <x:c r="L41" s="17" t="str">
        <x:v>NEVER_RETURN; DTO白名单；对象归属校验先于查询结果返回</x:v>
      </x:c>
      <x:c r="M41" s="17" t="str">
        <x:v>金额字段整数分；服务端重算；禁止客户端提交供应价或结算快照</x:v>
      </x:c>
      <x:c r="N41" s="17" t="str">
        <x:v>P0-053,P0-054,P0-092</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API-040</x:v>
      </x:c>
      <x:c r="B42" s="17" t="str">
        <x:v>M3</x:v>
      </x:c>
      <x:c r="C42" s="17" t="str">
        <x:v>welfare-card</x:v>
      </x:c>
      <x:c r="D42" s="17" t="str">
        <x:v>GET</x:v>
      </x:c>
      <x:c r="E42" s="17" t="str">
        <x:v>/v1/consumer/welfare-card-accounts/{accountId}/ledger</x:v>
      </x:c>
      <x:c r="F42" s="17" t="str">
        <x:v>CONSUMER</x:v>
      </x:c>
      <x:c r="G42" s="17" t="str">
        <x:v>LedgerQuery</x:v>
      </x:c>
      <x:c r="H42" s="17" t="str">
        <x:v>ConsumerWelfareLedgerResponse</x:v>
      </x:c>
      <x:c r="I42" s="17" t="str">
        <x:v>{success,data,error:{code,message,details?},requestId}</x:v>
      </x:c>
      <x:c r="J42" s="17" t="str">
        <x:v>ACCOUNT_SCOPE_FORBIDDEN</x:v>
      </x:c>
      <x:c r="K42" s="17" t="str">
        <x:v>NONE</x:v>
      </x:c>
      <x:c r="L42" s="17" t="str">
        <x:v>NEVER_RETURN; DTO白名单；对象归属校验先于查询结果返回</x:v>
      </x:c>
      <x:c r="M42" s="17" t="str">
        <x:v>金额字段整数分；服务端重算；禁止客户端提交供应价或结算快照</x:v>
      </x:c>
      <x:c r="N42" s="17" t="str">
        <x:v>P0-059,P0-097</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PAYMENT_AMOUNT_MISMATCH|PAYMENT_STATE_INVALID</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PLANNED</x:v>
      </x:c>
      <x:c r="P43" s="17" t="str">
        <x:v>PLANNED</x:v>
      </x:c>
      <x:c r="Q43" s="17" t="str">
        <x:v>PLANNED</x:v>
      </x:c>
      <x:c r="R43" s="17" t="str">
        <x:v>TO_BE_CREATED</x:v>
      </x:c>
      <x:c r="S43" s="17" t="str">
        <x:v>UNASSIGNED</x:v>
      </x:c>
      <x:c r="T43" s="17" t="str">
        <x:v>路径为执行初始契约；阶段M*-000冻结后方可编码</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SIGNATURE_INVALID|AMOUNT_MISMATCH</x:v>
      </x:c>
      <x:c r="K44" s="17" t="str">
        <x:v>wechatTransactionId</x:v>
      </x:c>
      <x:c r="L44" s="17" t="str">
        <x:v>NEVER_RETURN; DTO白名单；对象归属校验先于查询结果返回</x:v>
      </x:c>
      <x:c r="M44" s="17" t="str">
        <x:v>金额字段整数分；服务端重算；禁止客户端提交供应价或结算快照</x:v>
      </x:c>
      <x:c r="N44" s="17" t="str">
        <x:v>P0-024,P0-056</x:v>
      </x:c>
      <x:c r="O44" s="17" t="str">
        <x:v>PLANNED</x:v>
      </x:c>
      <x:c r="P44" s="17" t="str">
        <x:v>PLANNED</x:v>
      </x:c>
      <x:c r="Q44" s="17" t="str">
        <x:v>PLANNED</x:v>
      </x:c>
      <x:c r="R44" s="17" t="str">
        <x:v>TO_BE_CREATED</x:v>
      </x:c>
      <x:c r="S44" s="17" t="str">
        <x:v>UNASSIGNED</x:v>
      </x:c>
      <x:c r="T44" s="17" t="str">
        <x:v>路径为执行初始契约；阶段M*-000冻结后方可编码</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x:v>
      </x:c>
      <x:c r="H45" s="17" t="str">
        <x:v>RefundResponse</x:v>
      </x:c>
      <x:c r="I45" s="17" t="str">
        <x:v>{success,data,error:{code,message,details?},requestId}</x:v>
      </x:c>
      <x:c r="J45" s="17" t="str">
        <x:v>REFUND_ALLOCATION_INVALID|REFUND_DUPLICATE|SAME_NATURAL_PERSON_REVIEW_FORBIDDEN</x:v>
      </x:c>
      <x:c r="K45" s="17" t="str">
        <x:v>Idempotency-Key</x:v>
      </x:c>
      <x:c r="L45" s="17" t="str">
        <x:v>NEVER_RETURN; DTO白名单；对象归属校验先于查询结果返回</x:v>
      </x:c>
      <x:c r="M45" s="17" t="str">
        <x:v>金额字段整数分；服务端重算；禁止客户端提交供应价或结算快照</x:v>
      </x:c>
      <x:c r="N45" s="17" t="str">
        <x:v>P0-026,P0-058,P0-096</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x:v>
      </x:c>
      <x:c r="H46" s="17" t="str">
        <x:v>EnterpriseRegistrationResponse</x:v>
      </x:c>
      <x:c r="I46" s="17" t="str">
        <x:v>{success,data,error:{code,message,details?},requestId}</x:v>
      </x:c>
      <x:c r="J46" s="17" t="str">
        <x:v>CREDIT_CODE_DUPLICATE</x:v>
      </x:c>
      <x:c r="K46" s="17" t="str">
        <x:v>Idempotency-Key</x:v>
      </x:c>
      <x:c r="L46" s="17" t="str">
        <x:v>NEVER_RETURN; DTO白名单；对象归属校验先于查询结果返回</x:v>
      </x:c>
      <x:c r="M46" s="17" t="str">
        <x:v>金额字段整数分；服务端重算；禁止客户端提交供应价或结算快照</x:v>
      </x:c>
      <x:c r="N46" s="17" t="str">
        <x:v>P0-028,P0-077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x:v>
      </x:c>
      <x:c r="H48" s="17" t="str">
        <x:v>EnterpriseRegistrationResponse</x:v>
      </x:c>
      <x:c r="I48" s="17" t="str">
        <x:v>{success,data,error:{code,message,details?},requestId}</x:v>
      </x:c>
      <x:c r="J48" s="17" t="str">
        <x:v>APPROVAL_VERSION_CONFLICT|SELF_APPROVAL_FORBIDDEN</x:v>
      </x:c>
      <x:c r="K48" s="17" t="str">
        <x:v>Idempotency-Key</x:v>
      </x:c>
      <x:c r="L48" s="17" t="str">
        <x:v>NEVER_RETURN; DTO白名单；对象归属校验先于查询结果返回</x:v>
      </x:c>
      <x:c r="M48" s="17" t="str">
        <x:v>金额字段整数分；服务端重算；禁止客户端提交供应价或结算快照</x:v>
      </x:c>
      <x:c r="N48" s="17" t="str">
        <x:v>P0-028,P0-077</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API-048</x:v>
      </x:c>
      <x:c r="B50" s="17" t="str">
        <x:v>M3</x:v>
      </x:c>
      <x:c r="C50" s="17" t="str">
        <x:v>enterprise-procurement</x:v>
      </x:c>
      <x:c r="D50" s="17" t="str">
        <x:v>POST</x:v>
      </x:c>
      <x:c r="E50" s="17" t="str">
        <x:v>/v1/enterprise/orders</x:v>
      </x:c>
      <x:c r="F50" s="17" t="str">
        <x:v>ENTERPRISE_PURCHASER</x:v>
      </x:c>
      <x:c r="G50" s="17" t="str">
        <x:v>EnterpriseOrderCreateRequest</x:v>
      </x:c>
      <x:c r="H50" s="17" t="str">
        <x:v>EnterpriseOrderCreateResponse</x:v>
      </x:c>
      <x:c r="I50" s="17" t="str">
        <x:v>{success,data,error:{code,message,details?},requestId}</x:v>
      </x:c>
      <x:c r="J50" s="17" t="str">
        <x:v>IDEMPOTENCY_CONFLICT|INVENTORY_INSUFFICIENT</x:v>
      </x:c>
      <x:c r="K50" s="17" t="str">
        <x:v>Idempotency-Key</x:v>
      </x:c>
      <x:c r="L50" s="17" t="str">
        <x:v>NEVER_RETURN; DTO白名单；对象归属校验先于查询结果返回</x:v>
      </x:c>
      <x:c r="M50" s="17" t="str">
        <x:v>金额字段整数分；服务端重算；禁止客户端提交供应价或结算快照</x:v>
      </x:c>
      <x:c r="N50" s="17" t="str">
        <x:v>P0-029,P0-062,P0-079</x:v>
      </x:c>
      <x:c r="O50" s="17" t="str">
        <x:v>PLANNED</x:v>
      </x:c>
      <x:c r="P50" s="17" t="str">
        <x:v>PLANNED</x:v>
      </x:c>
      <x:c r="Q50" s="17" t="str">
        <x:v>PLANNED</x:v>
      </x:c>
      <x:c r="R50" s="17" t="str">
        <x:v>TO_BE_CREATED</x:v>
      </x:c>
      <x:c r="S50" s="17" t="str">
        <x:v>UNASSIGNED</x:v>
      </x:c>
      <x:c r="T50" s="17" t="str">
        <x:v>路径为执行初始契约；阶段M*-000冻结后方可编码</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x:v>
      </x:c>
      <x:c r="H52" s="17" t="str">
        <x:v>EnterpriseOrderDetailResponse</x:v>
      </x:c>
      <x:c r="I52" s="17" t="str">
        <x:v>{success,data,error:{code,message,details?},requestId}</x:v>
      </x:c>
      <x:c r="J52" s="17" t="str">
        <x:v>PAYMENT_METHOD_INVALID|REMITTANCE_ALREADY_SUBMITTED</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x:v>
      </x:c>
      <x:c r="H53" s="17" t="str">
        <x:v>EnterpriseOrderDetailResponse</x:v>
      </x:c>
      <x:c r="I53" s="17" t="str">
        <x:v>{success,data,error:{code,message,details?},requestId}</x:v>
      </x:c>
      <x:c r="J53" s="17" t="str">
        <x:v>AMOUNT_MISMATCH|APPROVAL_VERSION_CONFLICT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a7c2d52be824ee2"/>
  </x:tableParts>
</x:worksheet>
</file>