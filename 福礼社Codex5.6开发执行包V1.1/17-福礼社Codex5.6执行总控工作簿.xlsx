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32e8d29a80a4898" /></Relationships>
</file>

<file path=xl/workbook.xml><?xml version="1.0" encoding="utf-8"?>
<x:workbook xmlns:x="http://schemas.openxmlformats.org/spreadsheetml/2006/main">
  <x:sheets>
    <x:sheet xmlns:r="http://schemas.openxmlformats.org/officeDocument/2006/relationships" name="总控看板" sheetId="1" r:id="Raa87612a2be24dd8"/>
    <x:sheet xmlns:r="http://schemas.openxmlformats.org/officeDocument/2006/relationships" name="阶段门禁" sheetId="2" r:id="R806d158829904fe3"/>
    <x:sheet xmlns:r="http://schemas.openxmlformats.org/officeDocument/2006/relationships" name="任务台账" sheetId="3" r:id="Rfe920a156eaa4870"/>
    <x:sheet xmlns:r="http://schemas.openxmlformats.org/officeDocument/2006/relationships" name="P0验收矩阵" sheetId="4" r:id="Rabfc018ca9664d52"/>
    <x:sheet xmlns:r="http://schemas.openxmlformats.org/officeDocument/2006/relationships" name="字段字典" sheetId="5" r:id="Rd0609d13d0514cb6"/>
    <x:sheet xmlns:r="http://schemas.openxmlformats.org/officeDocument/2006/relationships" name="状态机" sheetId="6" r:id="R20e3fd2d67d94251"/>
    <x:sheet xmlns:r="http://schemas.openxmlformats.org/officeDocument/2006/relationships" name="权限矩阵" sheetId="7" r:id="R7887b8072e454f23"/>
    <x:sheet xmlns:r="http://schemas.openxmlformats.org/officeDocument/2006/relationships" name="页面映射" sheetId="8" r:id="R0f639dbe013f42ea"/>
    <x:sheet xmlns:r="http://schemas.openxmlformats.org/officeDocument/2006/relationships" name="外部依赖" sheetId="9" r:id="R6e9c944fa1664d1a"/>
    <x:sheet xmlns:r="http://schemas.openxmlformats.org/officeDocument/2006/relationships" name="测试证据" sheetId="10" r:id="Rafa1aae9443b4880"/>
    <x:sheet xmlns:r="http://schemas.openxmlformats.org/officeDocument/2006/relationships" name="迁移台账" sheetId="11" r:id="R0297a170ce234dca"/>
    <x:sheet xmlns:r="http://schemas.openxmlformats.org/officeDocument/2006/relationships" name="API台账" sheetId="12" r:id="R65d1ea8e13484d4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8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faf962219394d24" /><Relationship Type="http://schemas.openxmlformats.org/officeDocument/2006/relationships/theme" Target="/xl/theme/theme1.xml" Id="Rdb6b24f6c07743fe" /><Relationship Type="http://schemas.openxmlformats.org/officeDocument/2006/relationships/sharedStrings" Target="/xl/sharedStrings.xml" Id="R16b16e77837b4ead" /><Relationship Type="http://schemas.openxmlformats.org/officeDocument/2006/relationships/worksheet" Target="/xl/worksheets/sheet1.xml" Id="Raa87612a2be24dd8" /><Relationship Type="http://schemas.openxmlformats.org/officeDocument/2006/relationships/worksheet" Target="/xl/worksheets/sheet2.xml" Id="R806d158829904fe3" /><Relationship Type="http://schemas.openxmlformats.org/officeDocument/2006/relationships/worksheet" Target="/xl/worksheets/sheet3.xml" Id="Rfe920a156eaa4870" /><Relationship Type="http://schemas.openxmlformats.org/officeDocument/2006/relationships/worksheet" Target="/xl/worksheets/sheet4.xml" Id="Rabfc018ca9664d52" /><Relationship Type="http://schemas.openxmlformats.org/officeDocument/2006/relationships/worksheet" Target="/xl/worksheets/sheet5.xml" Id="Rd0609d13d0514cb6" /><Relationship Type="http://schemas.openxmlformats.org/officeDocument/2006/relationships/worksheet" Target="/xl/worksheets/sheet6.xml" Id="R20e3fd2d67d94251" /><Relationship Type="http://schemas.openxmlformats.org/officeDocument/2006/relationships/worksheet" Target="/xl/worksheets/sheet7.xml" Id="R7887b8072e454f23" /><Relationship Type="http://schemas.openxmlformats.org/officeDocument/2006/relationships/worksheet" Target="/xl/worksheets/sheet8.xml" Id="R0f639dbe013f42ea" /><Relationship Type="http://schemas.openxmlformats.org/officeDocument/2006/relationships/worksheet" Target="/xl/worksheets/sheet9.xml" Id="R6e9c944fa1664d1a" /><Relationship Type="http://schemas.openxmlformats.org/officeDocument/2006/relationships/worksheet" Target="/xl/worksheets/sheet10.xml" Id="Rafa1aae9443b4880" /><Relationship Type="http://schemas.openxmlformats.org/officeDocument/2006/relationships/worksheet" Target="/xl/worksheets/sheet11.xml" Id="R0297a170ce234dca" /><Relationship Type="http://schemas.openxmlformats.org/officeDocument/2006/relationships/worksheet" Target="/xl/worksheets/sheet12.xml" Id="R65d1ea8e13484d48"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0"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8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17544c1b89c42d2" /></Relationships>
</file>

<file path=xl/worksheets/_rels/sheet3.xml.rels>&#65279;<?xml version="1.0" encoding="utf-8"?><Relationships xmlns="http://schemas.openxmlformats.org/package/2006/relationships"><Relationship Type="http://schemas.openxmlformats.org/officeDocument/2006/relationships/table" Target="/xl/tables/table2.xml" Id="R99c7862940d54f38" /></Relationships>
</file>

<file path=xl/worksheets/_rels/sheet4.xml.rels>&#65279;<?xml version="1.0" encoding="utf-8"?><Relationships xmlns="http://schemas.openxmlformats.org/package/2006/relationships"><Relationship Type="http://schemas.openxmlformats.org/officeDocument/2006/relationships/table" Target="/xl/tables/table3.xml" Id="R4ac4a6c31df14190" /></Relationships>
</file>

<file path=xl/worksheets/_rels/sheet5.xml.rels>&#65279;<?xml version="1.0" encoding="utf-8"?><Relationships xmlns="http://schemas.openxmlformats.org/package/2006/relationships"><Relationship Type="http://schemas.openxmlformats.org/officeDocument/2006/relationships/table" Target="/xl/tables/table4.xml" Id="R78533fae93ca4aa5" /></Relationships>
</file>

<file path=xl/worksheets/_rels/sheet6.xml.rels>&#65279;<?xml version="1.0" encoding="utf-8"?><Relationships xmlns="http://schemas.openxmlformats.org/package/2006/relationships"><Relationship Type="http://schemas.openxmlformats.org/officeDocument/2006/relationships/table" Target="/xl/tables/table5.xml" Id="Rae4d9c787a1e4834" /></Relationships>
</file>

<file path=xl/worksheets/_rels/sheet7.xml.rels>&#65279;<?xml version="1.0" encoding="utf-8"?><Relationships xmlns="http://schemas.openxmlformats.org/package/2006/relationships"><Relationship Type="http://schemas.openxmlformats.org/officeDocument/2006/relationships/table" Target="/xl/tables/table6.xml" Id="Re2bbde79c0704dee" /></Relationships>
</file>

<file path=xl/worksheets/_rels/sheet8.xml.rels>&#65279;<?xml version="1.0" encoding="utf-8"?><Relationships xmlns="http://schemas.openxmlformats.org/package/2006/relationships"><Relationship Type="http://schemas.openxmlformats.org/officeDocument/2006/relationships/table" Target="/xl/tables/table7.xml" Id="R1b6a3caded94437e" /></Relationships>
</file>

<file path=xl/worksheets/_rels/sheet9.xml.rels>&#65279;<?xml version="1.0" encoding="utf-8"?><Relationships xmlns="http://schemas.openxmlformats.org/package/2006/relationships"><Relationship Type="http://schemas.openxmlformats.org/officeDocument/2006/relationships/table" Target="/xl/tables/table8.xml" Id="R24752852e86b4b53" /></Relationships>
</file>

<file path=xl/worksheets/_rels/sheet10.xml.rels>&#65279;<?xml version="1.0" encoding="utf-8"?><Relationships xmlns="http://schemas.openxmlformats.org/package/2006/relationships"><Relationship Type="http://schemas.openxmlformats.org/officeDocument/2006/relationships/table" Target="/xl/tables/table9.xml" Id="Rc8e97b23104e4c16" /></Relationships>
</file>

<file path=xl/worksheets/_rels/sheet11.xml.rels>&#65279;<?xml version="1.0" encoding="utf-8"?><Relationships xmlns="http://schemas.openxmlformats.org/package/2006/relationships"><Relationship Type="http://schemas.openxmlformats.org/officeDocument/2006/relationships/table" Target="/xl/tables/table10.xml" Id="Rae4be2e1b148455a" /></Relationships>
</file>

<file path=xl/worksheets/_rels/sheet12.xml.rels>&#65279;<?xml version="1.0" encoding="utf-8"?><Relationships xmlns="http://schemas.openxmlformats.org/package/2006/relationships"><Relationship Type="http://schemas.openxmlformats.org/officeDocument/2006/relationships/table" Target="/xl/tables/table11.xml" Id="R95211c3e35964ed0"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当前：READY_FOR_M0_LOCAL · M0-001至M0-011已完成 · 唯一允许任务 M0-012 · 方案/提示词/执行包三线同源</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11</x:v>
      </x:c>
      <x:c r="E6" s="83"/>
      <x:c r="F6" s="187"/>
      <x:c r="G6" s="109" t="n">
        <x:f>COUNTIF('P0验收矩阵'!$I$2:$I$120,"*PASS")</x:f>
        <x:v>0</x:v>
      </x:c>
      <x:c r="H6" s="110"/>
      <x:c r="I6" s="187"/>
      <x:c r="J6" s="138" t="n">
        <x:f>COUNTIF('外部依赖'!$F$2:$F$29,"NOT_PROVIDED")</x:f>
        <x:v>28</x:v>
      </x:c>
      <x:c r="K6" s="139"/>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11</x:v>
      </x:c>
      <x:c r="E11" s="152" t="n">
        <x:f>COUNTIF('P0验收矩阵'!$C$2:$C$120,A11)</x:f>
        <x:v>0</x:v>
      </x:c>
      <x:c r="F11" s="152" t="n">
        <x:f>COUNTIFS('P0验收矩阵'!$C$2:$C$120,A11,'P0验收矩阵'!$I$2:$I$120,"*PASS")</x:f>
        <x:v>0</x:v>
      </x:c>
      <x:c r="G11" s="152" t="str">
        <x:f>INDEX('任务台账'!$M$2:$M$150,MATCH(A11&amp;"-GATE",'任务台账'!$A$2:$A$150,0))</x:f>
        <x:v>NOT_STARTED</x:v>
      </x:c>
      <x:c r="H11" s="152" t="str">
        <x:f>INDEX('任务台账'!$N$2:$N$150,MATCH(A11&amp;"-GATE",'任务台账'!$A$2:$A$150,0))</x:f>
        <x:v>NOT_EXECUTED</x:v>
      </x:c>
      <x:c r="I11" s="152" t="str">
        <x:f>IF(COUNTIF('任务台账'!$M$2:$M$150,"IN_PROGRESS")&gt;1,"CONTROL_ERROR","READY")</x:f>
        <x:v>READY</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0</x:v>
      </x:c>
      <x:c r="E12" s="152" t="n">
        <x:f>COUNTIF('P0验收矩阵'!$C$2:$C$120,A12)</x:f>
        <x:v>14</x:v>
      </x:c>
      <x:c r="F12" s="152" t="n">
        <x:f>COUNTIFS('P0验收矩阵'!$C$2:$C$120,A12,'P0验收矩阵'!$I$2:$I$120,"*PASS")</x:f>
        <x:v>0</x:v>
      </x:c>
      <x:c r="G12" s="152" t="str">
        <x:f>INDEX('任务台账'!$M$2:$M$150,MATCH(A12&amp;"-GATE",'任务台账'!$A$2:$A$150,0))</x:f>
        <x:v>NOT_STARTED</x:v>
      </x:c>
      <x:c r="H12" s="152" t="str">
        <x:f>INDEX('任务台账'!$N$2:$N$150,MATCH(A12&amp;"-GATE",'任务台账'!$A$2:$A$150,0))</x:f>
        <x:v>NOT_EXECUTED</x:v>
      </x:c>
      <x:c r="I12" s="152" t="str">
        <x:f>IF(INDEX('任务台账'!$M$2:$M$150,MATCH("M0-GATE",'任务台账'!$A$2:$A$150,0))="DONE","READY","LOCKED")</x:f>
        <x:v>LOCKED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0</x:v>
      </x:c>
      <x:c r="E13" s="152" t="n">
        <x:f>COUNTIF('P0验收矩阵'!$C$2:$C$120,A13)</x:f>
        <x:v>18</x:v>
      </x:c>
      <x:c r="F13" s="152" t="n">
        <x:f>COUNTIFS('P0验收矩阵'!$C$2:$C$120,A13,'P0验收矩阵'!$I$2:$I$120,"*PASS")</x:f>
        <x:v>0</x:v>
      </x:c>
      <x:c r="G13" s="152" t="str">
        <x:f>INDEX('任务台账'!$M$2:$M$150,MATCH(A13&amp;"-GATE",'任务台账'!$A$2:$A$150,0))</x:f>
        <x:v>NOT_STARTED</x:v>
      </x:c>
      <x:c r="H13" s="152" t="str">
        <x:f>INDEX('任务台账'!$N$2:$N$150,MATCH(A13&amp;"-GATE",'任务台账'!$A$2:$A$150,0))</x:f>
        <x:v>NOT_EXECUTED</x:v>
      </x:c>
      <x:c r="I13" s="152" t="str">
        <x:f>IF(INDEX('任务台账'!$M$2:$M$150,MATCH("M1-GATE",'任务台账'!$A$2:$A$150,0))="DONE","READY","LOCKED")</x:f>
        <x:v>LOCKED</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119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M0-011已完成：根pnpm verify本地17/17、冻结干净安装与固定SHA的CI模板均通过；无origin，PR与GitHub Actions仍未执行。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4" t="str">
        <x:v>M0</x:v>
      </x:c>
      <x:c r="B2" s="4" t="str">
        <x:v>0</x:v>
      </x:c>
      <x:c r="C2" s="4"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4" t="str">
        <x:v>方案基线校验</x:v>
      </x:c>
      <x:c r="J2" s="4" t="str">
        <x:v>12</x:v>
      </x:c>
      <x:c r="K2" s="4" t="str">
        <x:v>0</x:v>
      </x:c>
      <x:c r="L2" s="17" t="str"/>
      <x:c r="M2" s="4" t="str">
        <x:v>M0-GATE</x:v>
      </x:c>
      <x:c r="N2" s="4" t="str">
        <x:v>READY</x:v>
      </x:c>
      <x:c r="O2" s="4" t="str">
        <x:v>NOT_EXECUTED</x:v>
      </x:c>
      <x:c r="P2" s="4" t="str"/>
      <x:c r="Q2" s="4" t="str"/>
      <x:c r="R2" s="4" t="str"/>
    </x:row>
    <x:row r="3" ht="23" customHeight="1">
      <x:c r="A3" s="4" t="str">
        <x:v>M1</x:v>
      </x:c>
      <x:c r="B3" s="4" t="str">
        <x:v>1</x:v>
      </x:c>
      <x:c r="C3" s="4"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4" t="str">
        <x:v>M0-GATE</x:v>
      </x:c>
      <x:c r="J3" s="4" t="str">
        <x:v>15</x:v>
      </x:c>
      <x:c r="K3" s="4" t="str">
        <x:v>14</x:v>
      </x:c>
      <x:c r="L3" s="17" t="str">
        <x:v>P0-001,P0-002,P0-003,P0-004,P0-005,P0-045,P0-046,P0-047,P0-066,P0-067,P0-068,P0-069,P0-070,P0-072</x:v>
      </x:c>
      <x:c r="M3" s="4" t="str">
        <x:v>M1-GATE</x:v>
      </x:c>
      <x:c r="N3" s="4" t="str">
        <x:v>LOCKED</x:v>
      </x:c>
      <x:c r="O3" s="4" t="str">
        <x:v>NOT_EXECUTED</x:v>
      </x:c>
      <x:c r="P3" s="4" t="str"/>
      <x:c r="Q3" s="4" t="str"/>
      <x:c r="R3" s="4" t="str"/>
    </x:row>
    <x:row r="4" ht="23" customHeight="1">
      <x:c r="A4" s="4" t="str">
        <x:v>M2</x:v>
      </x:c>
      <x:c r="B4" s="4" t="str">
        <x:v>2</x:v>
      </x:c>
      <x:c r="C4" s="4"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4" t="str">
        <x:v>M1-GATE</x:v>
      </x:c>
      <x:c r="J4" s="4" t="str">
        <x:v>19</x:v>
      </x:c>
      <x:c r="K4" s="4" t="str">
        <x:v>18</x:v>
      </x:c>
      <x:c r="L4" s="17" t="str">
        <x:v>P0-006,P0-007,P0-008,P0-009,P0-010,P0-011,P0-012,P0-013,P0-014,P0-015,P0-016,P0-017,P0-018,P0-019,P0-021,P0-061,P0-063,P0-071</x:v>
      </x:c>
      <x:c r="M4" s="4" t="str">
        <x:v>M2-GATE</x:v>
      </x:c>
      <x:c r="N4" s="4" t="str">
        <x:v>LOCKED</x:v>
      </x:c>
      <x:c r="O4" s="4" t="str">
        <x:v>NOT_EXECUTED</x:v>
      </x:c>
      <x:c r="P4" s="4" t="str"/>
      <x:c r="Q4" s="4" t="str"/>
      <x:c r="R4" s="4" t="str"/>
    </x:row>
    <x:row r="5" ht="23" customHeight="1">
      <x:c r="A5" s="4" t="str">
        <x:v>M3</x:v>
      </x:c>
      <x:c r="B5" s="4" t="str">
        <x:v>3</x:v>
      </x:c>
      <x:c r="C5" s="4"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4" t="str">
        <x:v>M2-GATE</x:v>
      </x:c>
      <x:c r="J5" s="4" t="str">
        <x:v>46</x:v>
      </x:c>
      <x:c r="K5" s="4" t="str">
        <x:v>45</x:v>
      </x:c>
      <x:c r="L5" s="17" t="str">
        <x:v>P0-020,P0-022,P0-023,P0-024,P0-025,P0-026,P0-027,P0-028,P0-029,P0-030,P0-031,P0-051,P0-052,P0-053,P0-054,P0-055,P0-056,P0-057,P0-058,P0-059,P0-062,P0-073,P0-074,P0-075,P0-076,P0-077,P0-078,P0-079,P0-080,P0-081,P0-083,P0-084,P0-085,P0-086,P0-087,P0-088,P0-089,P0-090,P0-091,P0-092,P0-093,P0-094,P0-096,P0-097,P0-098</x:v>
      </x:c>
      <x:c r="M5" s="4" t="str">
        <x:v>M3-GATE</x:v>
      </x:c>
      <x:c r="N5" s="4" t="str">
        <x:v>LOCKED</x:v>
      </x:c>
      <x:c r="O5" s="4" t="str">
        <x:v>NOT_EXECUTED</x:v>
      </x:c>
      <x:c r="P5" s="4" t="str"/>
      <x:c r="Q5" s="4" t="str"/>
      <x:c r="R5" s="4" t="str"/>
    </x:row>
    <x:row r="6" ht="23" customHeight="1">
      <x:c r="A6" s="4" t="str">
        <x:v>M4</x:v>
      </x:c>
      <x:c r="B6" s="4" t="str">
        <x:v>4</x:v>
      </x:c>
      <x:c r="C6" s="4"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4" t="str">
        <x:v>M3-GATE</x:v>
      </x:c>
      <x:c r="J6" s="4" t="str">
        <x:v>30</x:v>
      </x:c>
      <x:c r="K6" s="4" t="str">
        <x:v>29</x:v>
      </x:c>
      <x:c r="L6" s="17" t="str">
        <x:v>P0-032,P0-033,P0-034,P0-035,P0-036,P0-037,P0-064,P0-095,P0-099,P0-100,P0-101,P0-102,P0-103,P0-104,P0-105,P0-106,P0-107,P0-108,P0-109,P0-110,P0-111,P0-112,P0-113,P0-114,P0-115,P0-116,P0-117,P0-118,P0-119</x:v>
      </x:c>
      <x:c r="M6" s="4" t="str">
        <x:v>M4-GATE</x:v>
      </x:c>
      <x:c r="N6" s="4" t="str">
        <x:v>LOCKED</x:v>
      </x:c>
      <x:c r="O6" s="4" t="str">
        <x:v>NOT_EXECUTED</x:v>
      </x:c>
      <x:c r="P6" s="4" t="str"/>
      <x:c r="Q6" s="4" t="str"/>
      <x:c r="R6" s="4" t="str"/>
    </x:row>
    <x:row r="7" ht="23" customHeight="1">
      <x:c r="A7" s="4" t="str">
        <x:v>M5</x:v>
      </x:c>
      <x:c r="B7" s="4" t="str">
        <x:v>5</x:v>
      </x:c>
      <x:c r="C7" s="4"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4" t="str">
        <x:v>M4-GATE</x:v>
      </x:c>
      <x:c r="J7" s="4" t="str">
        <x:v>11</x:v>
      </x:c>
      <x:c r="K7" s="4" t="str">
        <x:v>10</x:v>
      </x:c>
      <x:c r="L7" s="17" t="str">
        <x:v>P0-038,P0-039,P0-040,P0-041,P0-042,P0-043,P0-044,P0-060,P0-065,P0-082</x:v>
      </x:c>
      <x:c r="M7" s="4" t="str">
        <x:v>M5-GATE</x:v>
      </x:c>
      <x:c r="N7" s="4" t="str">
        <x:v>LOCKED</x:v>
      </x:c>
      <x:c r="O7" s="4" t="str">
        <x:v>NOT_EXECUTED</x:v>
      </x:c>
      <x:c r="P7" s="4" t="str"/>
      <x:c r="Q7" s="4" t="str"/>
      <x:c r="R7" s="4" t="str"/>
    </x:row>
    <x:row r="8" ht="23" customHeight="1">
      <x:c r="A8" s="5" t="str">
        <x:v>M6</x:v>
      </x:c>
      <x:c r="B8" s="5" t="str">
        <x:v>6</x:v>
      </x:c>
      <x:c r="C8" s="5"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5" t="str">
        <x:v>M5-GATE</x:v>
      </x:c>
      <x:c r="J8" s="5" t="str">
        <x:v>9</x:v>
      </x:c>
      <x:c r="K8" s="5" t="str">
        <x:v>3</x:v>
      </x:c>
      <x:c r="L8" s="18" t="str">
        <x:v>P0-048,P0-049,P0-050</x:v>
      </x:c>
      <x:c r="M8" s="5" t="str">
        <x:v>M6-GATE</x:v>
      </x:c>
      <x:c r="N8" s="5" t="str">
        <x:v>LOCKED</x:v>
      </x:c>
      <x:c r="O8" s="5" t="str">
        <x:v>NOT_EXECUTED</x:v>
      </x:c>
      <x:c r="P8" s="5" t="str"/>
      <x:c r="Q8" s="5" t="str"/>
      <x:c r="R8" s="5"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17544c1b89c42d2"/>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4" t="str">
        <x:v>M0-001</x:v>
      </x:c>
      <x:c r="B2" s="4" t="str">
        <x:v>1</x:v>
      </x:c>
      <x:c r="C2" s="4" t="str">
        <x:v>M0</x:v>
      </x:c>
      <x:c r="D2" s="4" t="str">
        <x:v>FOUNDATION</x:v>
      </x:c>
      <x:c r="E2" s="4" t="str">
        <x:v>P0</x:v>
      </x:c>
      <x:c r="F2" s="17" t="str">
        <x:v>冻结产品基线与变更规则</x:v>
      </x:c>
      <x:c r="G2" s="17" t="str">
        <x:v>§15工程化要求、提示词包AGENTS.md</x:v>
      </x:c>
      <x:c r="H2" s="4" t="str"/>
      <x:c r="I2" s="4" t="str"/>
      <x:c r="J2" s="17" t="str">
        <x:v>校验方案、提示词包、UI资产与执行包哈希，登记唯一基线；禁止旧方案回灌。</x:v>
      </x:c>
      <x:c r="K2" s="17" t="str">
        <x:v>基线清单、哈希、变更审批流程可复核。</x:v>
      </x:c>
      <x:c r="L2" s="17" t="str">
        <x:v>lint+typecheck+unit+contract+build</x:v>
      </x:c>
      <x:c r="M2" s="4" t="str">
        <x:v>DONE</x:v>
      </x:c>
      <x:c r="N2" s="4" t="str">
        <x:v>LOCAL_PASS</x:v>
      </x:c>
      <x:c r="O2" s="4" t="str">
        <x:v>CODEX</x:v>
      </x:c>
      <x:c r="P2" s="4" t="str"/>
      <x:c r="Q2" s="17" t="str">
        <x:v>codex/m0-m0-001</x:v>
      </x:c>
      <x:c r="R2" s="4" t="str">
        <x:v>codex/m0-m0-001</x:v>
      </x:c>
      <x:c r="S2" s="4" t="str">
        <x:v>958ce3952ea2395216fbadc3af244c5de6dbd8a1</x:v>
      </x:c>
      <x:c r="T2" s="4" t="str"/>
      <x:c r="U2" s="4" t="str">
        <x:v>BLOCKED_EXTERNAL</x:v>
      </x:c>
      <x:c r="V2" s="4" t="str">
        <x:v>NO</x:v>
      </x:c>
      <x:c r="W2" s="17" t="str">
        <x:v>按原子提交回退；迁移仅向前修复</x:v>
      </x:c>
      <x:c r="X2" s="4" t="n">
        <x:v>46236.36782407408</x:v>
      </x:c>
      <x:c r="Y2" s="17" t="str">
        <x:v>方案/提示词/UI/执行包基线已登记；守卫允许V1.1并拒绝篡改与V1.0回灌；无origin故PR和CI阻塞。</x:v>
      </x:c>
    </x:row>
    <x:row r="3" ht="23" customHeight="1">
      <x:c r="A3" s="4" t="str">
        <x:v>M0-002</x:v>
      </x:c>
      <x:c r="B3" s="4" t="str">
        <x:v>2</x:v>
      </x:c>
      <x:c r="C3" s="4" t="str">
        <x:v>M0</x:v>
      </x:c>
      <x:c r="D3" s="4" t="str">
        <x:v>FOUNDATION</x:v>
      </x:c>
      <x:c r="E3" s="4" t="str">
        <x:v>P0</x:v>
      </x:c>
      <x:c r="F3" s="17" t="str">
        <x:v>只读盘点本机与仓库环境</x:v>
      </x:c>
      <x:c r="G3" s="17" t="str">
        <x:v>§15工程化要求、提示词包AGENTS.md</x:v>
      </x:c>
      <x:c r="H3" s="4" t="str"/>
      <x:c r="I3" s="4" t="str">
        <x:v>M0-001</x:v>
      </x:c>
      <x:c r="J3" s="17" t="str">
        <x:v>记录Node/pnpm/git/Docker/数据库工具、git状态、远程和凭据状态，不修改未知用户文件。</x:v>
      </x:c>
      <x:c r="K3" s="17" t="str">
        <x:v>环境报告区分确认事实、缺口与外部阻塞。</x:v>
      </x:c>
      <x:c r="L3" s="17" t="str">
        <x:v>lint+typecheck+unit+contract+build</x:v>
      </x:c>
      <x:c r="M3" s="4" t="str">
        <x:v>DONE</x:v>
      </x:c>
      <x:c r="N3" s="4" t="str">
        <x:v>LOCAL_PASS</x:v>
      </x:c>
      <x:c r="O3" s="4" t="str">
        <x:v>CODEX</x:v>
      </x:c>
      <x:c r="P3" s="4" t="str"/>
      <x:c r="Q3" s="17" t="str">
        <x:v>codex/m0-m0-002</x:v>
      </x:c>
      <x:c r="R3" s="4" t="str">
        <x:v>codex/m0-m0-002</x:v>
      </x:c>
      <x:c r="S3" s="4" t="str">
        <x:v>96346b15c23debfff03cf8c328da51e26bc3669c</x:v>
      </x:c>
      <x:c r="T3" s="4" t="str"/>
      <x:c r="U3" s="4" t="str">
        <x:v>BLOCKED_EXTERNAL</x:v>
      </x:c>
      <x:c r="V3" s="4" t="str">
        <x:v>NO</x:v>
      </x:c>
      <x:c r="W3" s="17" t="str">
        <x:v>按原子提交回退；迁移仅向前修复</x:v>
      </x:c>
      <x:c r="X3" s="4" t="n">
        <x:v>46236.384884259256</x:v>
      </x:c>
      <x:c r="Y3" s="17" t="str">
        <x:v>只读盘点和敏感信息回归测试已通过；Docker后台/MySQL/Redis缺口归M0-005；无origin故PR和CI阻塞。</x:v>
      </x:c>
    </x:row>
    <x:row r="4" ht="23" customHeight="1">
      <x:c r="A4" s="4" t="str">
        <x:v>M0-003</x:v>
      </x:c>
      <x:c r="B4" s="4" t="str">
        <x:v>3</x:v>
      </x:c>
      <x:c r="C4" s="4" t="str">
        <x:v>M0</x:v>
      </x:c>
      <x:c r="D4" s="4" t="str">
        <x:v>FOUNDATION</x:v>
      </x:c>
      <x:c r="E4" s="4" t="str">
        <x:v>P0</x:v>
      </x:c>
      <x:c r="F4" s="17" t="str">
        <x:v>确认GitHub目标与协作边界</x:v>
      </x:c>
      <x:c r="G4" s="17" t="str">
        <x:v>§15工程化要求、提示词包AGENTS.md</x:v>
      </x:c>
      <x:c r="H4" s="4" t="str"/>
      <x:c r="I4" s="4" t="str">
        <x:v>M0-002</x:v>
      </x:c>
      <x:c r="J4" s="17" t="str">
        <x:v>从用户提供的owner/repo或可验证origin确定远程；未确认时仅本地开发。</x:v>
      </x:c>
      <x:c r="K4" s="17" t="str">
        <x:v>仓库、默认分支、权限、禁止动作和人工审批项已登记。</x:v>
      </x:c>
      <x:c r="L4" s="17" t="str">
        <x:v>lint+typecheck+unit+contract+build</x:v>
      </x:c>
      <x:c r="M4" s="4" t="str">
        <x:v>DONE</x:v>
      </x:c>
      <x:c r="N4" s="4" t="str">
        <x:v>LOCAL_PASS</x:v>
      </x:c>
      <x:c r="O4" s="4" t="str">
        <x:v>CODEX</x:v>
      </x:c>
      <x:c r="P4" s="4" t="str"/>
      <x:c r="Q4" s="17" t="str">
        <x:v>codex/m0-github</x:v>
      </x:c>
      <x:c r="R4" s="4" t="str">
        <x:v>codex/m0-github</x:v>
      </x:c>
      <x:c r="S4" s="4" t="str">
        <x:v>00346170e48733ebd1a46807a738deca0704848e</x:v>
      </x:c>
      <x:c r="T4" s="4" t="str"/>
      <x:c r="U4" s="4" t="str">
        <x:v>BLOCKED_EXTERNAL</x:v>
      </x:c>
      <x:c r="V4" s="4" t="str">
        <x:v>NO</x:v>
      </x:c>
      <x:c r="W4" s="17" t="str">
        <x:v>按原子提交回退；迁移仅向前修复</x:v>
      </x:c>
      <x:c r="X4" s="4" t="n">
        <x:v>46236.40106481482</x:v>
      </x:c>
      <x:c r="Y4" s="17" t="str">
        <x:v>本地协作边界已登记并测试；owner/repo、默认分支和写权限未确认，远程Issue/PR/CI持续阻塞。</x:v>
      </x:c>
    </x:row>
    <x:row r="5" ht="23" customHeight="1">
      <x:c r="A5" s="4" t="str">
        <x:v>M0-004</x:v>
      </x:c>
      <x:c r="B5" s="4" t="str">
        <x:v>4</x:v>
      </x:c>
      <x:c r="C5" s="4" t="str">
        <x:v>M0</x:v>
      </x:c>
      <x:c r="D5" s="4" t="str">
        <x:v>FOUNDATION</x:v>
      </x:c>
      <x:c r="E5" s="4" t="str">
        <x:v>P0</x:v>
      </x:c>
      <x:c r="F5" s="17" t="str">
        <x:v>初始化pnpm workspace与Turborepo</x:v>
      </x:c>
      <x:c r="G5" s="17" t="str">
        <x:v>§15工程化要求、提示词包AGENTS.md</x:v>
      </x:c>
      <x:c r="H5" s="4" t="str"/>
      <x:c r="I5" s="4" t="str">
        <x:v>M0-003</x:v>
      </x:c>
      <x:c r="J5" s="17" t="str">
        <x:v>建立apps/packages分层、冻结包管理器版本和Node版本。</x:v>
      </x:c>
      <x:c r="K5" s="17" t="str">
        <x:v>干净环境可冻结安装，目录职责明确。</x:v>
      </x:c>
      <x:c r="L5" s="17" t="str">
        <x:v>lint+typecheck+unit+contract+build</x:v>
      </x:c>
      <x:c r="M5" s="4" t="str">
        <x:v>DONE</x:v>
      </x:c>
      <x:c r="N5" s="4" t="str">
        <x:v>LOCAL_PASS</x:v>
      </x:c>
      <x:c r="O5" s="4" t="str">
        <x:v>CODEX</x:v>
      </x:c>
      <x:c r="P5" s="4" t="str"/>
      <x:c r="Q5" s="17" t="str">
        <x:v>codex/m0-pnpm-workspace-turborepo</x:v>
      </x:c>
      <x:c r="R5" s="4" t="str">
        <x:v>codex/m0-pnpm-workspace-turborepo</x:v>
      </x:c>
      <x:c r="S5" s="4" t="str">
        <x:v>9067c36c87949693bc53432a57b149314b592cc2</x:v>
      </x:c>
      <x:c r="T5" s="4" t="str"/>
      <x:c r="U5" s="4" t="str">
        <x:v>BLOCKED_EXTERNAL</x:v>
      </x:c>
      <x:c r="V5" s="4" t="str">
        <x:v>NO</x:v>
      </x:c>
      <x:c r="W5" s="17" t="str">
        <x:v>按原子提交回退；迁移仅向前修复</x:v>
      </x:c>
      <x:c r="X5" s="4" t="n">
        <x:v>46236.41232638889</x:v>
      </x:c>
      <x:c r="Y5" s="17" t="str">
        <x:v>Node22.23.1/pnpm10.12.1/Turbo2.10.8已锁定；临时干净目录冻结安装与工作区契约通过；真实质量命令保留至后续任务。</x:v>
      </x:c>
    </x:row>
    <x:row r="6" ht="23" customHeight="1">
      <x:c r="A6" s="4" t="str">
        <x:v>M0-005</x:v>
      </x:c>
      <x:c r="B6" s="4" t="str">
        <x:v>5</x:v>
      </x:c>
      <x:c r="C6" s="4" t="str">
        <x:v>M0</x:v>
      </x:c>
      <x:c r="D6" s="4" t="str">
        <x:v>FOUNDATION</x:v>
      </x:c>
      <x:c r="E6" s="4" t="str">
        <x:v>P0</x:v>
      </x:c>
      <x:c r="F6" s="17" t="str">
        <x:v>初始化NestJS/Prisma/MySQL/Redis/BullMQ底座</x:v>
      </x:c>
      <x:c r="G6" s="17" t="str">
        <x:v>§15工程化要求、提示词包AGENTS.md</x:v>
      </x:c>
      <x:c r="H6" s="4" t="str"/>
      <x:c r="I6" s="4" t="str">
        <x:v>M0-004</x:v>
      </x:c>
      <x:c r="J6" s="17" t="str">
        <x:v>提供本地可替换基础设施、健康检查和超时/重试边界。</x:v>
      </x:c>
      <x:c r="K6" s="17" t="str">
        <x:v>API、MySQL、Redis可重复启动；不依赖生产凭据。</x:v>
      </x:c>
      <x:c r="L6" s="17" t="str">
        <x:v>lint+typecheck+unit+contract+build</x:v>
      </x:c>
      <x:c r="M6" s="4" t="str">
        <x:v>DONE</x:v>
      </x:c>
      <x:c r="N6" s="4" t="str">
        <x:v>LOCAL_PASS</x:v>
      </x:c>
      <x:c r="O6" s="4" t="str">
        <x:v>CODEX</x:v>
      </x:c>
      <x:c r="P6" s="4" t="str"/>
      <x:c r="Q6" s="17" t="str">
        <x:v>codex/m0-nestjs-prisma-mysql-redis-bullmq</x:v>
      </x:c>
      <x:c r="R6" s="4" t="str">
        <x:v>codex/m0-nestjs-prisma-mysql-redis-bullmq</x:v>
      </x:c>
      <x:c r="S6" s="4" t="str">
        <x:v>5c8764c16ec2064ea146e51898b0716e0b43bd36</x:v>
      </x:c>
      <x:c r="T6" s="4" t="str"/>
      <x:c r="U6" s="4" t="str">
        <x:v>BLOCKED_EXTERNAL</x:v>
      </x:c>
      <x:c r="V6" s="4" t="str">
        <x:v>NO</x:v>
      </x:c>
      <x:c r="W6" s="17" t="str">
        <x:v>按原子提交回退；迁移仅向前修复</x:v>
      </x:c>
      <x:c r="X6" s="4" t="n">
        <x:v>46236.450011574074</x:v>
      </x:c>
      <x:c r="Y6" s="17" t="str">
        <x:v>NestJS与Prisma/MySQL/Redis/BullMQ底座已完成；冻结安装、真实启动与重启、依赖降级、审计零已知漏洞均通过；无origin故PR与CI阻塞。</x:v>
      </x:c>
    </x:row>
    <x:row r="7" ht="23" customHeight="1">
      <x:c r="A7" s="4" t="str">
        <x:v>M0-006</x:v>
      </x:c>
      <x:c r="B7" s="4" t="str">
        <x:v>6</x:v>
      </x:c>
      <x:c r="C7" s="4" t="str">
        <x:v>M0</x:v>
      </x:c>
      <x:c r="D7" s="4" t="str">
        <x:v>FOUNDATION</x:v>
      </x:c>
      <x:c r="E7" s="4" t="str">
        <x:v>P0</x:v>
      </x:c>
      <x:c r="F7" s="17" t="str">
        <x:v>初始化五端应用壳</x:v>
      </x:c>
      <x:c r="G7" s="17" t="str">
        <x:v>§15工程化要求、提示词包AGENTS.md</x:v>
      </x:c>
      <x:c r="H7" s="4" t="str"/>
      <x:c r="I7" s="4"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4" t="str">
        <x:v>DONE</x:v>
      </x:c>
      <x:c r="N7" s="4" t="str">
        <x:v>LOCAL_PASS</x:v>
      </x:c>
      <x:c r="O7" s="4" t="str">
        <x:v>CODEX</x:v>
      </x:c>
      <x:c r="P7" s="4" t="str"/>
      <x:c r="Q7" s="17" t="str">
        <x:v>codex/m0-m0-006</x:v>
      </x:c>
      <x:c r="R7" s="4" t="str">
        <x:v>codex/m0-m0-006</x:v>
      </x:c>
      <x:c r="S7" s="4" t="str">
        <x:v>a542c56b8e375c6331cc093d8f102d2bf837f5ea</x:v>
      </x:c>
      <x:c r="T7" s="4" t="str"/>
      <x:c r="U7" s="4" t="str">
        <x:v>BLOCKED_EXTERNAL</x:v>
      </x:c>
      <x:c r="V7" s="4" t="str">
        <x:v>NO</x:v>
      </x:c>
      <x:c r="W7" s="17" t="str">
        <x:v>按原子提交回退；迁移仅向前修复</x:v>
      </x:c>
      <x:c r="X7" s="4"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4" t="str">
        <x:v>M0-007</x:v>
      </x:c>
      <x:c r="B8" s="4" t="str">
        <x:v>7</x:v>
      </x:c>
      <x:c r="C8" s="4" t="str">
        <x:v>M0</x:v>
      </x:c>
      <x:c r="D8" s="4" t="str">
        <x:v>FOUNDATION</x:v>
      </x:c>
      <x:c r="E8" s="4" t="str">
        <x:v>P0</x:v>
      </x:c>
      <x:c r="F8" s="17" t="str">
        <x:v>建立配置Schema与秘密扫描</x:v>
      </x:c>
      <x:c r="G8" s="17" t="str">
        <x:v>§15工程化要求、提示词包AGENTS.md</x:v>
      </x:c>
      <x:c r="H8" s="4" t="str"/>
      <x:c r="I8" s="4" t="str">
        <x:v>M0-006</x:v>
      </x:c>
      <x:c r="J8" s="17" t="str">
        <x:v>只提交.env.example；引入配置校验、日志脱敏和秘密扫描。</x:v>
      </x:c>
      <x:c r="K8" s="17" t="str">
        <x:v>缺配置快速失败；样例和日志无真实秘密。</x:v>
      </x:c>
      <x:c r="L8" s="17" t="str">
        <x:v>lint+typecheck+unit+contract+build</x:v>
      </x:c>
      <x:c r="M8" s="4" t="str">
        <x:v>DONE</x:v>
      </x:c>
      <x:c r="N8" s="4" t="str">
        <x:v>LOCAL_PASS</x:v>
      </x:c>
      <x:c r="O8" s="4" t="str">
        <x:v>CODEX</x:v>
      </x:c>
      <x:c r="P8" s="4" t="str"/>
      <x:c r="Q8" s="17" t="str">
        <x:v>codex/m0-schema</x:v>
      </x:c>
      <x:c r="R8" s="4" t="str">
        <x:v>codex/m0-schema</x:v>
      </x:c>
      <x:c r="S8" s="4" t="str">
        <x:v>4d46293f668dcbd0dc5465ed65803e4fda9a3618</x:v>
      </x:c>
      <x:c r="T8" s="4" t="str"/>
      <x:c r="U8" s="4" t="str">
        <x:v>BLOCKED_EXTERNAL</x:v>
      </x:c>
      <x:c r="V8" s="4" t="str">
        <x:v>NO</x:v>
      </x:c>
      <x:c r="W8" s="17" t="str">
        <x:v>按原子提交回退；迁移仅向前修复</x:v>
      </x:c>
      <x:c r="X8" s="4"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4" t="str">
        <x:v>M0-008</x:v>
      </x:c>
      <x:c r="B9" s="4" t="str">
        <x:v>8</x:v>
      </x:c>
      <x:c r="C9" s="4" t="str">
        <x:v>M0</x:v>
      </x:c>
      <x:c r="D9" s="4" t="str">
        <x:v>FOUNDATION</x:v>
      </x:c>
      <x:c r="E9" s="4" t="str">
        <x:v>P0</x:v>
      </x:c>
      <x:c r="F9" s="17" t="str">
        <x:v>建立确定性OpenAPI、统一类型与传输适配</x:v>
      </x:c>
      <x:c r="G9" s="17" t="str">
        <x:v>§15.5 OpenAPI契约、§15.6门户渲染</x:v>
      </x:c>
      <x:c r="H9" s="4" t="str"/>
      <x:c r="I9" s="4"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4" t="str">
        <x:v>DONE</x:v>
      </x:c>
      <x:c r="N9" s="4" t="str">
        <x:v>LOCAL_PASS</x:v>
      </x:c>
      <x:c r="O9" s="4" t="str">
        <x:v>CODEX</x:v>
      </x:c>
      <x:c r="P9" s="4" t="str"/>
      <x:c r="Q9" s="17" t="str">
        <x:v>codex/m0-openapi-dto</x:v>
      </x:c>
      <x:c r="R9" s="4" t="str">
        <x:v>codex/m0-openapi-dto</x:v>
      </x:c>
      <x:c r="S9" s="4" t="str">
        <x:v>743142676f96530289259ec426c8689a30c0d315</x:v>
      </x:c>
      <x:c r="T9" s="4" t="str"/>
      <x:c r="U9" s="4" t="str">
        <x:v>BLOCKED_EXTERNAL</x:v>
      </x:c>
      <x:c r="V9" s="4" t="str">
        <x:v>NO</x:v>
      </x:c>
      <x:c r="W9" s="17" t="str">
        <x:v>按原子提交回退；迁移仅向前修复</x:v>
      </x:c>
      <x:c r="X9" s="4"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4" t="str">
        <x:v>M0-009</x:v>
      </x:c>
      <x:c r="B10" s="4" t="str">
        <x:v>9</x:v>
      </x:c>
      <x:c r="C10" s="4" t="str">
        <x:v>M0</x:v>
      </x:c>
      <x:c r="D10" s="4" t="str">
        <x:v>FOUNDATION</x:v>
      </x:c>
      <x:c r="E10" s="4" t="str">
        <x:v>P0</x:v>
      </x:c>
      <x:c r="F10" s="17" t="str">
        <x:v>建立测试金字塔与失败测试模板</x:v>
      </x:c>
      <x:c r="G10" s="17" t="str">
        <x:v>§15工程化要求、提示词包AGENTS.md</x:v>
      </x:c>
      <x:c r="H10" s="4" t="str"/>
      <x:c r="I10" s="4" t="str">
        <x:v>M0-008</x:v>
      </x:c>
      <x:c r="J10" s="17" t="str">
        <x:v>配置Vitest、Supertest、Playwright及并发/幂等测试工具。</x:v>
      </x:c>
      <x:c r="K10" s="17" t="str">
        <x:v>示例失败测试先红后绿；报告可归档。</x:v>
      </x:c>
      <x:c r="L10" s="17" t="str">
        <x:v>lint+typecheck+unit+contract+build</x:v>
      </x:c>
      <x:c r="M10" s="4" t="str">
        <x:v>DONE</x:v>
      </x:c>
      <x:c r="N10" s="4" t="str">
        <x:v>LOCAL_PASS</x:v>
      </x:c>
      <x:c r="O10" s="4" t="str">
        <x:v>CODEX</x:v>
      </x:c>
      <x:c r="P10" s="4" t="str"/>
      <x:c r="Q10" s="17" t="str">
        <x:v>codex/m0-m0-009</x:v>
      </x:c>
      <x:c r="R10" s="4" t="str">
        <x:v>codex/m0-m0-009</x:v>
      </x:c>
      <x:c r="S10" s="4" t="str">
        <x:v>4b93d52423b19eaabe65f01b56ec21b944d28d39</x:v>
      </x:c>
      <x:c r="T10" s="4" t="str"/>
      <x:c r="U10" s="4" t="str">
        <x:v>BLOCKED_EXTERNAL</x:v>
      </x:c>
      <x:c r="V10" s="4" t="str">
        <x:v>NO</x:v>
      </x:c>
      <x:c r="W10" s="17" t="str">
        <x:v>按原子提交回退；迁移仅向前修复</x:v>
      </x:c>
      <x:c r="X10" s="4"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4" t="str">
        <x:v>M0-010</x:v>
      </x:c>
      <x:c r="B11" s="4" t="str">
        <x:v>10</x:v>
      </x:c>
      <x:c r="C11" s="4" t="str">
        <x:v>M0</x:v>
      </x:c>
      <x:c r="D11" s="4" t="str">
        <x:v>FOUNDATION</x:v>
      </x:c>
      <x:c r="E11" s="4" t="str">
        <x:v>P0</x:v>
      </x:c>
      <x:c r="F11" s="17" t="str">
        <x:v>建立Prisma迁移与回滚演练</x:v>
      </x:c>
      <x:c r="G11" s="17" t="str">
        <x:v>§15工程化要求、提示词包AGENTS.md</x:v>
      </x:c>
      <x:c r="H11" s="4" t="str"/>
      <x:c r="I11" s="4" t="str">
        <x:v>M0-009</x:v>
      </x:c>
      <x:c r="J11" s="17" t="str">
        <x:v>创建validate、dry-run、备份/恢复与向前修复规则。</x:v>
      </x:c>
      <x:c r="K11" s="17" t="str">
        <x:v>空库和升级路径均可演练，禁止编辑已发布迁移。</x:v>
      </x:c>
      <x:c r="L11" s="17" t="str">
        <x:v>lint+typecheck+unit+contract+build</x:v>
      </x:c>
      <x:c r="M11" s="4" t="str">
        <x:v>DONE</x:v>
      </x:c>
      <x:c r="N11" s="4" t="str">
        <x:v>LOCAL_PASS</x:v>
      </x:c>
      <x:c r="O11" s="4" t="str">
        <x:v>CODEX</x:v>
      </x:c>
      <x:c r="P11" s="4" t="str"/>
      <x:c r="Q11" s="17" t="str">
        <x:v>codex/m0-prisma</x:v>
      </x:c>
      <x:c r="R11" s="4" t="str">
        <x:v>codex/m0-prisma</x:v>
      </x:c>
      <x:c r="S11" s="4" t="str">
        <x:v>62ead13dfb9c6680a4c173fa09377ce6cf8e23b9</x:v>
      </x:c>
      <x:c r="T11" s="4" t="str"/>
      <x:c r="U11" s="4" t="str">
        <x:v>BLOCKED_EXTERNAL</x:v>
      </x:c>
      <x:c r="V11" s="4" t="str">
        <x:v>NO</x:v>
      </x:c>
      <x:c r="W11" s="17" t="str">
        <x:v>按原子提交回退；迁移仅向前修复</x:v>
      </x:c>
      <x:c r="X11" s="4"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4" t="str">
        <x:v>M0-011</x:v>
      </x:c>
      <x:c r="B12" s="4" t="str">
        <x:v>11</x:v>
      </x:c>
      <x:c r="C12" s="4" t="str">
        <x:v>M0</x:v>
      </x:c>
      <x:c r="D12" s="4" t="str">
        <x:v>FOUNDATION</x:v>
      </x:c>
      <x:c r="E12" s="4" t="str">
        <x:v>P0</x:v>
      </x:c>
      <x:c r="F12" s="17" t="str">
        <x:v>建立pnpm verify与GitHub CI门禁</x:v>
      </x:c>
      <x:c r="G12" s="17" t="str">
        <x:v>§15工程化要求、提示词包AGENTS.md</x:v>
      </x:c>
      <x:c r="H12" s="4" t="str"/>
      <x:c r="I12" s="4"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4" t="str">
        <x:v>DONE</x:v>
      </x:c>
      <x:c r="N12" s="4" t="str">
        <x:v>LOCAL_PASS</x:v>
      </x:c>
      <x:c r="O12" s="4" t="str">
        <x:v>CODEX</x:v>
      </x:c>
      <x:c r="P12" s="4" t="str"/>
      <x:c r="Q12" s="17" t="str">
        <x:v>codex/m0-pnpm-verify-github-ci</x:v>
      </x:c>
      <x:c r="R12" s="4" t="str">
        <x:v>codex/m0-pnpm-verify-github-ci</x:v>
      </x:c>
      <x:c r="S12" s="4" t="str">
        <x:v>6033fa14d52ab8ef847bfcb275747ec94d0c904a</x:v>
      </x:c>
      <x:c r="T12" s="4" t="str"/>
      <x:c r="U12" s="4" t="str">
        <x:v>BLOCKED_EXTERNAL</x:v>
      </x:c>
      <x:c r="V12" s="4" t="str">
        <x:v>NO</x:v>
      </x:c>
      <x:c r="W12" s="17" t="str">
        <x:v>按原子提交回退；迁移仅向前修复</x:v>
      </x:c>
      <x:c r="X12" s="4"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4" t="str">
        <x:v>M0-012</x:v>
      </x:c>
      <x:c r="B13" s="4" t="str">
        <x:v>12</x:v>
      </x:c>
      <x:c r="C13" s="4" t="str">
        <x:v>M0</x:v>
      </x:c>
      <x:c r="D13" s="4" t="str">
        <x:v>FOUNDATION</x:v>
      </x:c>
      <x:c r="E13" s="4" t="str">
        <x:v>P0</x:v>
      </x:c>
      <x:c r="F13" s="17" t="str">
        <x:v>形成M0交接证据包</x:v>
      </x:c>
      <x:c r="G13" s="17" t="str">
        <x:v>§15工程化要求、提示词包AGENTS.md</x:v>
      </x:c>
      <x:c r="H13" s="4" t="str"/>
      <x:c r="I13" s="4" t="str">
        <x:v>M0-011</x:v>
      </x:c>
      <x:c r="J13" s="17" t="str">
        <x:v>登记命令、时间、提交、CI、文件、风险、回滚和人工缺口。</x:v>
      </x:c>
      <x:c r="K13" s="17" t="str">
        <x:v>另一Codex任务可从project-status继续且不重新规划边界。</x:v>
      </x:c>
      <x:c r="L13" s="17" t="str">
        <x:v>lint+typecheck+unit+contract+build</x:v>
      </x:c>
      <x:c r="M13" s="4" t="str">
        <x:v>READY</x:v>
      </x:c>
      <x:c r="N13" s="4" t="str">
        <x:v>NOT_EXECUTED</x:v>
      </x:c>
      <x:c r="O13" s="4" t="str">
        <x:v>UNASSIGNED</x:v>
      </x:c>
      <x:c r="P13" s="4" t="str"/>
      <x:c r="Q13" s="17" t="str">
        <x:v>codex/m0-m0</x:v>
      </x:c>
      <x:c r="R13" s="4" t="str"/>
      <x:c r="S13" s="4" t="str"/>
      <x:c r="T13" s="4" t="str"/>
      <x:c r="U13" s="4" t="str"/>
      <x:c r="V13" s="4" t="str">
        <x:v>NO</x:v>
      </x:c>
      <x:c r="W13" s="17" t="str">
        <x:v>按原子提交回退；迁移仅向前修复</x:v>
      </x:c>
      <x:c r="X13" s="4" t="n">
        <x:v>46237.20134259259</x:v>
      </x:c>
      <x:c r="Y13" s="17" t="str">
        <x:v>唯一允许开始的下一任务；汇总M0-001至M0-011的提交、验证、CI外部阻塞、风险、回滚和人工缺口；不得提前通过M0-GATE或进入M1。</x:v>
      </x:c>
    </x:row>
    <x:row r="14" ht="23" customHeight="1">
      <x:c r="A14" s="4" t="str">
        <x:v>M0-GATE</x:v>
      </x:c>
      <x:c r="B14" s="4" t="str">
        <x:v>13</x:v>
      </x:c>
      <x:c r="C14" s="4" t="str">
        <x:v>M0</x:v>
      </x:c>
      <x:c r="D14" s="4" t="str">
        <x:v>STAGE_GATE</x:v>
      </x:c>
      <x:c r="E14" s="4" t="str">
        <x:v>P0</x:v>
      </x:c>
      <x:c r="F14" s="17" t="str">
        <x:v>M0阶段门禁验收</x:v>
      </x:c>
      <x:c r="G14" s="17" t="str">
        <x:v>执行包§02</x:v>
      </x:c>
      <x:c r="H14" s="4" t="str"/>
      <x:c r="I14" s="4"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4" t="str">
        <x:v>NOT_STARTED</x:v>
      </x:c>
      <x:c r="N14" s="4" t="str">
        <x:v>NOT_EXECUTED</x:v>
      </x:c>
      <x:c r="O14" s="4" t="str">
        <x:v>UNASSIGNED</x:v>
      </x:c>
      <x:c r="P14" s="4" t="str"/>
      <x:c r="Q14" s="17" t="str">
        <x:v>codex/m0-m0</x:v>
      </x:c>
      <x:c r="R14" s="4" t="str"/>
      <x:c r="S14" s="4" t="str"/>
      <x:c r="T14" s="4" t="str"/>
      <x:c r="U14" s="4" t="str"/>
      <x:c r="V14" s="4" t="str">
        <x:v>YES</x:v>
      </x:c>
      <x:c r="W14" s="17" t="str">
        <x:v>按原子提交回退；迁移仅向前修复</x:v>
      </x:c>
      <x:c r="X14" s="4" t="str"/>
      <x:c r="Y14" s="17" t="str"/>
    </x:row>
    <x:row r="15" ht="23" customHeight="1">
      <x:c r="A15" s="4" t="str">
        <x:v>M1-000</x:v>
      </x:c>
      <x:c r="B15" s="4" t="str">
        <x:v>14</x:v>
      </x:c>
      <x:c r="C15" s="4" t="str">
        <x:v>M1</x:v>
      </x:c>
      <x:c r="D15" s="4" t="str">
        <x:v>CONTRACT_SLICE_PLAN</x:v>
      </x:c>
      <x:c r="E15" s="4" t="str">
        <x:v>P0</x:v>
      </x:c>
      <x:c r="F15" s="17" t="str">
        <x:v>冻结M1字段、状态机、权限与契约切片</x:v>
      </x:c>
      <x:c r="G15" s="17" t="str">
        <x:v>执行包字段/状态机/权限/API台账</x:v>
      </x:c>
      <x:c r="H15" s="4" t="str"/>
      <x:c r="I15" s="4"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4" t="str">
        <x:v>NOT_STARTED</x:v>
      </x:c>
      <x:c r="N15" s="4" t="str">
        <x:v>NOT_EXECUTED</x:v>
      </x:c>
      <x:c r="O15" s="4" t="str">
        <x:v>UNASSIGNED</x:v>
      </x:c>
      <x:c r="P15" s="4" t="str"/>
      <x:c r="Q15" s="17" t="str">
        <x:v>codex/m1-m1</x:v>
      </x:c>
      <x:c r="R15" s="4" t="str"/>
      <x:c r="S15" s="4" t="str"/>
      <x:c r="T15" s="4" t="str"/>
      <x:c r="U15" s="4" t="str"/>
      <x:c r="V15" s="4" t="str">
        <x:v>NO</x:v>
      </x:c>
      <x:c r="W15" s="17" t="str">
        <x:v>按原子提交回退；迁移仅向前修复</x:v>
      </x:c>
      <x:c r="X15" s="4" t="str"/>
      <x:c r="Y15" s="17" t="str"/>
    </x:row>
    <x:row r="16" ht="23" customHeight="1">
      <x:c r="A16" s="4" t="str">
        <x:v>M1-P001</x:v>
      </x:c>
      <x:c r="B16" s="4" t="str">
        <x:v>15</x:v>
      </x:c>
      <x:c r="C16" s="4" t="str">
        <x:v>M1</x:v>
      </x:c>
      <x:c r="D16" s="4" t="str">
        <x:v>BUSINESS_VERTICAL_SLICE</x:v>
      </x:c>
      <x:c r="E16" s="4" t="str">
        <x:v>P0</x:v>
      </x:c>
      <x:c r="F16" s="17" t="str">
        <x:v>单商户主体</x:v>
      </x:c>
      <x:c r="G16" s="17" t="str">
        <x:v>§3角色权限、§4供应商后台、§14安全审计</x:v>
      </x:c>
      <x:c r="H16" s="4" t="str">
        <x:v>P0-001</x:v>
      </x:c>
      <x:c r="I16" s="4"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4" t="str">
        <x:v>NOT_STARTED</x:v>
      </x:c>
      <x:c r="N16" s="4" t="str">
        <x:v>NOT_EXECUTED</x:v>
      </x:c>
      <x:c r="O16" s="4" t="str">
        <x:v>UNASSIGNED</x:v>
      </x:c>
      <x:c r="P16" s="4" t="str"/>
      <x:c r="Q16" s="17" t="str">
        <x:v>codex/m1-m1-p001</x:v>
      </x:c>
      <x:c r="R16" s="4" t="str"/>
      <x:c r="S16" s="4" t="str"/>
      <x:c r="T16" s="4" t="str"/>
      <x:c r="U16" s="4" t="str"/>
      <x:c r="V16" s="4" t="str">
        <x:v>NO</x:v>
      </x:c>
      <x:c r="W16" s="17" t="str">
        <x:v>按原子提交回退；迁移仅向前修复</x:v>
      </x:c>
      <x:c r="X16" s="4" t="str"/>
      <x:c r="Y16" s="17" t="str"/>
    </x:row>
    <x:row r="17" ht="23" customHeight="1">
      <x:c r="A17" s="4" t="str">
        <x:v>M1-P002</x:v>
      </x:c>
      <x:c r="B17" s="4" t="str">
        <x:v>16</x:v>
      </x:c>
      <x:c r="C17" s="4" t="str">
        <x:v>M1</x:v>
      </x:c>
      <x:c r="D17" s="4" t="str">
        <x:v>BUSINESS_VERTICAL_SLICE</x:v>
      </x:c>
      <x:c r="E17" s="4" t="str">
        <x:v>P0</x:v>
      </x:c>
      <x:c r="F17" s="17" t="str">
        <x:v>无加盟商</x:v>
      </x:c>
      <x:c r="G17" s="17" t="str">
        <x:v>§3角色权限、§4供应商后台、§14安全审计</x:v>
      </x:c>
      <x:c r="H17" s="4" t="str">
        <x:v>P0-002</x:v>
      </x:c>
      <x:c r="I17" s="4"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4" t="str">
        <x:v>NOT_STARTED</x:v>
      </x:c>
      <x:c r="N17" s="4" t="str">
        <x:v>NOT_EXECUTED</x:v>
      </x:c>
      <x:c r="O17" s="4" t="str">
        <x:v>UNASSIGNED</x:v>
      </x:c>
      <x:c r="P17" s="4" t="str"/>
      <x:c r="Q17" s="17" t="str">
        <x:v>codex/m1-m1-p002</x:v>
      </x:c>
      <x:c r="R17" s="4" t="str"/>
      <x:c r="S17" s="4" t="str"/>
      <x:c r="T17" s="4" t="str"/>
      <x:c r="U17" s="4" t="str"/>
      <x:c r="V17" s="4" t="str">
        <x:v>NO</x:v>
      </x:c>
      <x:c r="W17" s="17" t="str">
        <x:v>按原子提交回退；迁移仅向前修复</x:v>
      </x:c>
      <x:c r="X17" s="4" t="str"/>
      <x:c r="Y17" s="17" t="str"/>
    </x:row>
    <x:row r="18" ht="23" customHeight="1">
      <x:c r="A18" s="4" t="str">
        <x:v>M1-P003</x:v>
      </x:c>
      <x:c r="B18" s="4" t="str">
        <x:v>17</x:v>
      </x:c>
      <x:c r="C18" s="4" t="str">
        <x:v>M1</x:v>
      </x:c>
      <x:c r="D18" s="4" t="str">
        <x:v>AUTHORIZATION</x:v>
      </x:c>
      <x:c r="E18" s="4" t="str">
        <x:v>P0</x:v>
      </x:c>
      <x:c r="F18" s="17" t="str">
        <x:v>供应商注册</x:v>
      </x:c>
      <x:c r="G18" s="17" t="str">
        <x:v>§3角色权限、§4供应商后台、§14安全审计</x:v>
      </x:c>
      <x:c r="H18" s="4" t="str">
        <x:v>P0-003</x:v>
      </x:c>
      <x:c r="I18" s="4"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4" t="str">
        <x:v>NOT_STARTED</x:v>
      </x:c>
      <x:c r="N18" s="4" t="str">
        <x:v>NOT_EXECUTED</x:v>
      </x:c>
      <x:c r="O18" s="4" t="str">
        <x:v>UNASSIGNED</x:v>
      </x:c>
      <x:c r="P18" s="4" t="str"/>
      <x:c r="Q18" s="17" t="str">
        <x:v>codex/m1-m1-p003</x:v>
      </x:c>
      <x:c r="R18" s="4" t="str"/>
      <x:c r="S18" s="4" t="str"/>
      <x:c r="T18" s="4" t="str"/>
      <x:c r="U18" s="4" t="str"/>
      <x:c r="V18" s="4" t="str">
        <x:v>NO</x:v>
      </x:c>
      <x:c r="W18" s="17" t="str">
        <x:v>按原子提交回退；迁移仅向前修复</x:v>
      </x:c>
      <x:c r="X18" s="4" t="str"/>
      <x:c r="Y18" s="17" t="str"/>
    </x:row>
    <x:row r="19" ht="23" customHeight="1">
      <x:c r="A19" s="4" t="str">
        <x:v>M1-P004</x:v>
      </x:c>
      <x:c r="B19" s="4" t="str">
        <x:v>18</x:v>
      </x:c>
      <x:c r="C19" s="4" t="str">
        <x:v>M1</x:v>
      </x:c>
      <x:c r="D19" s="4" t="str">
        <x:v>AUTHORIZATION</x:v>
      </x:c>
      <x:c r="E19" s="4" t="str">
        <x:v>P0</x:v>
      </x:c>
      <x:c r="F19" s="17" t="str">
        <x:v>供应商隔离</x:v>
      </x:c>
      <x:c r="G19" s="17" t="str">
        <x:v>§3角色权限、§4供应商后台、§14安全审计</x:v>
      </x:c>
      <x:c r="H19" s="4" t="str">
        <x:v>P0-004</x:v>
      </x:c>
      <x:c r="I19" s="4"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4" t="str">
        <x:v>NOT_STARTED</x:v>
      </x:c>
      <x:c r="N19" s="4" t="str">
        <x:v>NOT_EXECUTED</x:v>
      </x:c>
      <x:c r="O19" s="4" t="str">
        <x:v>UNASSIGNED</x:v>
      </x:c>
      <x:c r="P19" s="4" t="str"/>
      <x:c r="Q19" s="17" t="str">
        <x:v>codex/m1-m1-p004</x:v>
      </x:c>
      <x:c r="R19" s="4" t="str"/>
      <x:c r="S19" s="4" t="str"/>
      <x:c r="T19" s="4" t="str"/>
      <x:c r="U19" s="4" t="str"/>
      <x:c r="V19" s="4" t="str">
        <x:v>NO</x:v>
      </x:c>
      <x:c r="W19" s="17" t="str">
        <x:v>按原子提交回退；迁移仅向前修复</x:v>
      </x:c>
      <x:c r="X19" s="4" t="str"/>
      <x:c r="Y19" s="17" t="str"/>
    </x:row>
    <x:row r="20" ht="23" customHeight="1">
      <x:c r="A20" s="4" t="str">
        <x:v>M1-P005</x:v>
      </x:c>
      <x:c r="B20" s="4" t="str">
        <x:v>19</x:v>
      </x:c>
      <x:c r="C20" s="4" t="str">
        <x:v>M1</x:v>
      </x:c>
      <x:c r="D20" s="4" t="str">
        <x:v>AUTHORIZATION</x:v>
      </x:c>
      <x:c r="E20" s="4" t="str">
        <x:v>P0</x:v>
      </x:c>
      <x:c r="F20" s="17" t="str">
        <x:v>供应商职能账号</x:v>
      </x:c>
      <x:c r="G20" s="17" t="str">
        <x:v>§3角色权限、§4供应商后台、§14安全审计</x:v>
      </x:c>
      <x:c r="H20" s="4" t="str">
        <x:v>P0-005</x:v>
      </x:c>
      <x:c r="I20" s="4"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4" t="str">
        <x:v>NOT_STARTED</x:v>
      </x:c>
      <x:c r="N20" s="4" t="str">
        <x:v>NOT_EXECUTED</x:v>
      </x:c>
      <x:c r="O20" s="4" t="str">
        <x:v>UNASSIGNED</x:v>
      </x:c>
      <x:c r="P20" s="4" t="str"/>
      <x:c r="Q20" s="17" t="str">
        <x:v>codex/m1-m1-p005</x:v>
      </x:c>
      <x:c r="R20" s="4" t="str"/>
      <x:c r="S20" s="4" t="str"/>
      <x:c r="T20" s="4" t="str"/>
      <x:c r="U20" s="4" t="str"/>
      <x:c r="V20" s="4" t="str">
        <x:v>NO</x:v>
      </x:c>
      <x:c r="W20" s="17" t="str">
        <x:v>按原子提交回退；迁移仅向前修复</x:v>
      </x:c>
      <x:c r="X20" s="4" t="str"/>
      <x:c r="Y20" s="17" t="str"/>
    </x:row>
    <x:row r="21" ht="23" customHeight="1">
      <x:c r="A21" s="4" t="str">
        <x:v>M1-P045</x:v>
      </x:c>
      <x:c r="B21" s="4" t="str">
        <x:v>20</x:v>
      </x:c>
      <x:c r="C21" s="4" t="str">
        <x:v>M1</x:v>
      </x:c>
      <x:c r="D21" s="4" t="str">
        <x:v>SECURITY</x:v>
      </x:c>
      <x:c r="E21" s="4" t="str">
        <x:v>P0</x:v>
      </x:c>
      <x:c r="F21" s="17" t="str">
        <x:v>敏感操作审计</x:v>
      </x:c>
      <x:c r="G21" s="17" t="str">
        <x:v>§3角色权限、§4供应商后台、§14安全审计</x:v>
      </x:c>
      <x:c r="H21" s="4" t="str">
        <x:v>P0-045</x:v>
      </x:c>
      <x:c r="I21" s="4"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4" t="str">
        <x:v>NOT_STARTED</x:v>
      </x:c>
      <x:c r="N21" s="4" t="str">
        <x:v>NOT_EXECUTED</x:v>
      </x:c>
      <x:c r="O21" s="4" t="str">
        <x:v>UNASSIGNED</x:v>
      </x:c>
      <x:c r="P21" s="4" t="str"/>
      <x:c r="Q21" s="17" t="str">
        <x:v>codex/m1-m1-p045</x:v>
      </x:c>
      <x:c r="R21" s="4" t="str"/>
      <x:c r="S21" s="4" t="str"/>
      <x:c r="T21" s="4" t="str"/>
      <x:c r="U21" s="4" t="str"/>
      <x:c r="V21" s="4" t="str">
        <x:v>NO</x:v>
      </x:c>
      <x:c r="W21" s="17" t="str">
        <x:v>按原子提交回退；迁移仅向前修复</x:v>
      </x:c>
      <x:c r="X21" s="4" t="str"/>
      <x:c r="Y21" s="17" t="str"/>
    </x:row>
    <x:row r="22" ht="23" customHeight="1">
      <x:c r="A22" s="4" t="str">
        <x:v>M1-P046</x:v>
      </x:c>
      <x:c r="B22" s="4" t="str">
        <x:v>21</x:v>
      </x:c>
      <x:c r="C22" s="4" t="str">
        <x:v>M1</x:v>
      </x:c>
      <x:c r="D22" s="4" t="str">
        <x:v>SECURITY</x:v>
      </x:c>
      <x:c r="E22" s="4" t="str">
        <x:v>P0</x:v>
      </x:c>
      <x:c r="F22" s="17" t="str">
        <x:v>敏感数据隔离</x:v>
      </x:c>
      <x:c r="G22" s="17" t="str">
        <x:v>§3角色权限、§4供应商后台、§14安全审计</x:v>
      </x:c>
      <x:c r="H22" s="4" t="str">
        <x:v>P0-046</x:v>
      </x:c>
      <x:c r="I22" s="4"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4" t="str">
        <x:v>NOT_STARTED</x:v>
      </x:c>
      <x:c r="N22" s="4" t="str">
        <x:v>NOT_EXECUTED</x:v>
      </x:c>
      <x:c r="O22" s="4" t="str">
        <x:v>UNASSIGNED</x:v>
      </x:c>
      <x:c r="P22" s="4" t="str"/>
      <x:c r="Q22" s="17" t="str">
        <x:v>codex/m1-m1-p046</x:v>
      </x:c>
      <x:c r="R22" s="4" t="str"/>
      <x:c r="S22" s="4" t="str"/>
      <x:c r="T22" s="4" t="str"/>
      <x:c r="U22" s="4" t="str"/>
      <x:c r="V22" s="4" t="str">
        <x:v>NO</x:v>
      </x:c>
      <x:c r="W22" s="17" t="str">
        <x:v>按原子提交回退；迁移仅向前修复</x:v>
      </x:c>
      <x:c r="X22" s="4" t="str"/>
      <x:c r="Y22" s="17" t="str"/>
    </x:row>
    <x:row r="23" ht="23" customHeight="1">
      <x:c r="A23" s="4" t="str">
        <x:v>M1-P047</x:v>
      </x:c>
      <x:c r="B23" s="4" t="str">
        <x:v>22</x:v>
      </x:c>
      <x:c r="C23" s="4" t="str">
        <x:v>M1</x:v>
      </x:c>
      <x:c r="D23" s="4" t="str">
        <x:v>SECURITY</x:v>
      </x:c>
      <x:c r="E23" s="4" t="str">
        <x:v>P0</x:v>
      </x:c>
      <x:c r="F23" s="17" t="str">
        <x:v>OpenAPI 与响应白名单</x:v>
      </x:c>
      <x:c r="G23" s="17" t="str">
        <x:v>§3角色权限、§4供应商后台、§14安全审计</x:v>
      </x:c>
      <x:c r="H23" s="4" t="str">
        <x:v>P0-047</x:v>
      </x:c>
      <x:c r="I23" s="4"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4" t="str">
        <x:v>NOT_STARTED</x:v>
      </x:c>
      <x:c r="N23" s="4" t="str">
        <x:v>NOT_EXECUTED</x:v>
      </x:c>
      <x:c r="O23" s="4" t="str">
        <x:v>UNASSIGNED</x:v>
      </x:c>
      <x:c r="P23" s="4" t="str"/>
      <x:c r="Q23" s="17" t="str">
        <x:v>codex/m1-openapi</x:v>
      </x:c>
      <x:c r="R23" s="4" t="str"/>
      <x:c r="S23" s="4" t="str"/>
      <x:c r="T23" s="4" t="str"/>
      <x:c r="U23" s="4" t="str"/>
      <x:c r="V23" s="4" t="str">
        <x:v>NO</x:v>
      </x:c>
      <x:c r="W23" s="17" t="str">
        <x:v>按原子提交回退；迁移仅向前修复</x:v>
      </x:c>
      <x:c r="X23" s="4" t="str"/>
      <x:c r="Y23" s="17" t="str"/>
    </x:row>
    <x:row r="24" ht="23" customHeight="1">
      <x:c r="A24" s="4" t="str">
        <x:v>M1-P066</x:v>
      </x:c>
      <x:c r="B24" s="4" t="str">
        <x:v>23</x:v>
      </x:c>
      <x:c r="C24" s="4" t="str">
        <x:v>M1</x:v>
      </x:c>
      <x:c r="D24" s="4" t="str">
        <x:v>UI_VERTICAL_SLICE</x:v>
      </x:c>
      <x:c r="E24" s="4" t="str">
        <x:v>P0</x:v>
      </x:c>
      <x:c r="F24" s="17" t="str">
        <x:v>公司后台登录与职能选择</x:v>
      </x:c>
      <x:c r="G24" s="17" t="str">
        <x:v>§3角色权限、§4供应商后台、§14安全审计</x:v>
      </x:c>
      <x:c r="H24" s="4" t="str">
        <x:v>P0-066</x:v>
      </x:c>
      <x:c r="I24" s="4"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x:v>
      </x:c>
      <x:c r="M24" s="4" t="str">
        <x:v>NOT_STARTED</x:v>
      </x:c>
      <x:c r="N24" s="4" t="str">
        <x:v>NOT_EXECUTED</x:v>
      </x:c>
      <x:c r="O24" s="4" t="str">
        <x:v>UNASSIGNED</x:v>
      </x:c>
      <x:c r="P24" s="4" t="str"/>
      <x:c r="Q24" s="17" t="str">
        <x:v>codex/m1-m1-p066</x:v>
      </x:c>
      <x:c r="R24" s="4" t="str"/>
      <x:c r="S24" s="4" t="str"/>
      <x:c r="T24" s="4" t="str"/>
      <x:c r="U24" s="4" t="str"/>
      <x:c r="V24" s="4" t="str">
        <x:v>NO</x:v>
      </x:c>
      <x:c r="W24" s="17" t="str">
        <x:v>按原子提交回退；迁移仅向前修复</x:v>
      </x:c>
      <x:c r="X24" s="4" t="str"/>
      <x:c r="Y24" s="17" t="str"/>
    </x:row>
    <x:row r="25" ht="23" customHeight="1">
      <x:c r="A25" s="4" t="str">
        <x:v>M1-P067</x:v>
      </x:c>
      <x:c r="B25" s="4" t="str">
        <x:v>24</x:v>
      </x:c>
      <x:c r="C25" s="4" t="str">
        <x:v>M1</x:v>
      </x:c>
      <x:c r="D25" s="4" t="str">
        <x:v>UI_VERTICAL_SLICE</x:v>
      </x:c>
      <x:c r="E25" s="4" t="str">
        <x:v>P0</x:v>
      </x:c>
      <x:c r="F25" s="17" t="str">
        <x:v>公司职能账号独立页面</x:v>
      </x:c>
      <x:c r="G25" s="17" t="str">
        <x:v>§3角色权限、§4供应商后台、§14安全审计</x:v>
      </x:c>
      <x:c r="H25" s="4" t="str">
        <x:v>P0-067</x:v>
      </x:c>
      <x:c r="I25" s="4"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x:v>
      </x:c>
      <x:c r="M25" s="4" t="str">
        <x:v>NOT_STARTED</x:v>
      </x:c>
      <x:c r="N25" s="4" t="str">
        <x:v>NOT_EXECUTED</x:v>
      </x:c>
      <x:c r="O25" s="4" t="str">
        <x:v>UNASSIGNED</x:v>
      </x:c>
      <x:c r="P25" s="4" t="str"/>
      <x:c r="Q25" s="17" t="str">
        <x:v>codex/m1-m1-p067</x:v>
      </x:c>
      <x:c r="R25" s="4" t="str"/>
      <x:c r="S25" s="4" t="str"/>
      <x:c r="T25" s="4" t="str"/>
      <x:c r="U25" s="4" t="str"/>
      <x:c r="V25" s="4" t="str">
        <x:v>NO</x:v>
      </x:c>
      <x:c r="W25" s="17" t="str">
        <x:v>按原子提交回退；迁移仅向前修复</x:v>
      </x:c>
      <x:c r="X25" s="4" t="str"/>
      <x:c r="Y25" s="17" t="str"/>
    </x:row>
    <x:row r="26" ht="23" customHeight="1">
      <x:c r="A26" s="4" t="str">
        <x:v>M1-P068</x:v>
      </x:c>
      <x:c r="B26" s="4" t="str">
        <x:v>25</x:v>
      </x:c>
      <x:c r="C26" s="4" t="str">
        <x:v>M1</x:v>
      </x:c>
      <x:c r="D26" s="4" t="str">
        <x:v>UI_VERTICAL_SLICE</x:v>
      </x:c>
      <x:c r="E26" s="4" t="str">
        <x:v>P0</x:v>
      </x:c>
      <x:c r="F26" s="17" t="str">
        <x:v>公司独立页面完整性</x:v>
      </x:c>
      <x:c r="G26" s="17" t="str">
        <x:v>§3角色权限、§4供应商后台、§14安全审计</x:v>
      </x:c>
      <x:c r="H26" s="4" t="str">
        <x:v>P0-068</x:v>
      </x:c>
      <x:c r="I26" s="4"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x:v>
      </x:c>
      <x:c r="M26" s="4" t="str">
        <x:v>NOT_STARTED</x:v>
      </x:c>
      <x:c r="N26" s="4" t="str">
        <x:v>NOT_EXECUTED</x:v>
      </x:c>
      <x:c r="O26" s="4" t="str">
        <x:v>UNASSIGNED</x:v>
      </x:c>
      <x:c r="P26" s="4" t="str"/>
      <x:c r="Q26" s="17" t="str">
        <x:v>codex/m1-m1-p068</x:v>
      </x:c>
      <x:c r="R26" s="4" t="str"/>
      <x:c r="S26" s="4" t="str"/>
      <x:c r="T26" s="4" t="str"/>
      <x:c r="U26" s="4" t="str"/>
      <x:c r="V26" s="4" t="str">
        <x:v>NO</x:v>
      </x:c>
      <x:c r="W26" s="17" t="str">
        <x:v>按原子提交回退；迁移仅向前修复</x:v>
      </x:c>
      <x:c r="X26" s="4" t="str"/>
      <x:c r="Y26" s="17" t="str"/>
    </x:row>
    <x:row r="27" ht="23" customHeight="1">
      <x:c r="A27" s="4" t="str">
        <x:v>M1-P069</x:v>
      </x:c>
      <x:c r="B27" s="4" t="str">
        <x:v>26</x:v>
      </x:c>
      <x:c r="C27" s="4" t="str">
        <x:v>M1</x:v>
      </x:c>
      <x:c r="D27" s="4" t="str">
        <x:v>UI_VERTICAL_SLICE</x:v>
      </x:c>
      <x:c r="E27" s="4" t="str">
        <x:v>P0</x:v>
      </x:c>
      <x:c r="F27" s="17" t="str">
        <x:v>供应商注册、登录与职能选择</x:v>
      </x:c>
      <x:c r="G27" s="17" t="str">
        <x:v>§3角色权限、§4供应商后台、§14安全审计</x:v>
      </x:c>
      <x:c r="H27" s="4" t="str">
        <x:v>P0-069</x:v>
      </x:c>
      <x:c r="I27" s="4"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x:v>
      </x:c>
      <x:c r="M27" s="4" t="str">
        <x:v>NOT_STARTED</x:v>
      </x:c>
      <x:c r="N27" s="4" t="str">
        <x:v>NOT_EXECUTED</x:v>
      </x:c>
      <x:c r="O27" s="4" t="str">
        <x:v>UNASSIGNED</x:v>
      </x:c>
      <x:c r="P27" s="4" t="str"/>
      <x:c r="Q27" s="17" t="str">
        <x:v>codex/m1-m1-p069</x:v>
      </x:c>
      <x:c r="R27" s="4" t="str"/>
      <x:c r="S27" s="4" t="str"/>
      <x:c r="T27" s="4" t="str"/>
      <x:c r="U27" s="4" t="str"/>
      <x:c r="V27" s="4" t="str">
        <x:v>NO</x:v>
      </x:c>
      <x:c r="W27" s="17" t="str">
        <x:v>按原子提交回退；迁移仅向前修复</x:v>
      </x:c>
      <x:c r="X27" s="4" t="str"/>
      <x:c r="Y27" s="17" t="str"/>
    </x:row>
    <x:row r="28" ht="23" customHeight="1">
      <x:c r="A28" s="4" t="str">
        <x:v>M1-P070</x:v>
      </x:c>
      <x:c r="B28" s="4" t="str">
        <x:v>27</x:v>
      </x:c>
      <x:c r="C28" s="4" t="str">
        <x:v>M1</x:v>
      </x:c>
      <x:c r="D28" s="4" t="str">
        <x:v>UI_VERTICAL_SLICE</x:v>
      </x:c>
      <x:c r="E28" s="4" t="str">
        <x:v>P0</x:v>
      </x:c>
      <x:c r="F28" s="17" t="str">
        <x:v>供应商职能账号独立页面</x:v>
      </x:c>
      <x:c r="G28" s="17" t="str">
        <x:v>§3角色权限、§4供应商后台、§14安全审计</x:v>
      </x:c>
      <x:c r="H28" s="4" t="str">
        <x:v>P0-070</x:v>
      </x:c>
      <x:c r="I28" s="4"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x:v>
      </x:c>
      <x:c r="M28" s="4" t="str">
        <x:v>NOT_STARTED</x:v>
      </x:c>
      <x:c r="N28" s="4" t="str">
        <x:v>NOT_EXECUTED</x:v>
      </x:c>
      <x:c r="O28" s="4" t="str">
        <x:v>UNASSIGNED</x:v>
      </x:c>
      <x:c r="P28" s="4" t="str"/>
      <x:c r="Q28" s="17" t="str">
        <x:v>codex/m1-m1-p070</x:v>
      </x:c>
      <x:c r="R28" s="4" t="str"/>
      <x:c r="S28" s="4" t="str"/>
      <x:c r="T28" s="4" t="str"/>
      <x:c r="U28" s="4" t="str"/>
      <x:c r="V28" s="4" t="str">
        <x:v>NO</x:v>
      </x:c>
      <x:c r="W28" s="17" t="str">
        <x:v>按原子提交回退；迁移仅向前修复</x:v>
      </x:c>
      <x:c r="X28" s="4" t="str"/>
      <x:c r="Y28" s="17" t="str"/>
    </x:row>
    <x:row r="29" ht="23" customHeight="1">
      <x:c r="A29" s="4" t="str">
        <x:v>M1-P072</x:v>
      </x:c>
      <x:c r="B29" s="4" t="str">
        <x:v>28</x:v>
      </x:c>
      <x:c r="C29" s="4" t="str">
        <x:v>M1</x:v>
      </x:c>
      <x:c r="D29" s="4" t="str">
        <x:v>SECURITY</x:v>
      </x:c>
      <x:c r="E29" s="4" t="str">
        <x:v>P0</x:v>
      </x:c>
      <x:c r="F29" s="17" t="str">
        <x:v>后台敏感操作与审计</x:v>
      </x:c>
      <x:c r="G29" s="17" t="str">
        <x:v>§3角色权限、§4供应商后台、§14安全审计</x:v>
      </x:c>
      <x:c r="H29" s="4" t="str">
        <x:v>P0-072</x:v>
      </x:c>
      <x:c r="I29" s="4" t="str">
        <x:v>M1-000,M1-P045</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4" t="str">
        <x:v>NOT_STARTED</x:v>
      </x:c>
      <x:c r="N29" s="4" t="str">
        <x:v>NOT_EXECUTED</x:v>
      </x:c>
      <x:c r="O29" s="4" t="str">
        <x:v>UNASSIGNED</x:v>
      </x:c>
      <x:c r="P29" s="4" t="str"/>
      <x:c r="Q29" s="17" t="str">
        <x:v>codex/m1-m1-p072</x:v>
      </x:c>
      <x:c r="R29" s="4" t="str"/>
      <x:c r="S29" s="4" t="str"/>
      <x:c r="T29" s="4" t="str"/>
      <x:c r="U29" s="4" t="str"/>
      <x:c r="V29" s="4" t="str">
        <x:v>NO</x:v>
      </x:c>
      <x:c r="W29" s="17" t="str">
        <x:v>按原子提交回退；迁移仅向前修复</x:v>
      </x:c>
      <x:c r="X29" s="4" t="str"/>
      <x:c r="Y29" s="17" t="str"/>
    </x:row>
    <x:row r="30" ht="23" customHeight="1">
      <x:c r="A30" s="4" t="str">
        <x:v>M1-GATE</x:v>
      </x:c>
      <x:c r="B30" s="4" t="str">
        <x:v>29</x:v>
      </x:c>
      <x:c r="C30" s="4" t="str">
        <x:v>M1</x:v>
      </x:c>
      <x:c r="D30" s="4" t="str">
        <x:v>STAGE_GATE</x:v>
      </x:c>
      <x:c r="E30" s="4" t="str">
        <x:v>P0</x:v>
      </x:c>
      <x:c r="F30" s="17" t="str">
        <x:v>M1阶段门禁验收</x:v>
      </x:c>
      <x:c r="G30" s="17" t="str">
        <x:v>执行包§02</x:v>
      </x:c>
      <x:c r="H30" s="4" t="str"/>
      <x:c r="I30" s="4"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4" t="str">
        <x:v>NOT_STARTED</x:v>
      </x:c>
      <x:c r="N30" s="4" t="str">
        <x:v>NOT_EXECUTED</x:v>
      </x:c>
      <x:c r="O30" s="4" t="str">
        <x:v>UNASSIGNED</x:v>
      </x:c>
      <x:c r="P30" s="4" t="str"/>
      <x:c r="Q30" s="17" t="str">
        <x:v>codex/m1-m1</x:v>
      </x:c>
      <x:c r="R30" s="4" t="str"/>
      <x:c r="S30" s="4" t="str"/>
      <x:c r="T30" s="4" t="str"/>
      <x:c r="U30" s="4" t="str"/>
      <x:c r="V30" s="4" t="str">
        <x:v>YES</x:v>
      </x:c>
      <x:c r="W30" s="17" t="str">
        <x:v>按原子提交回退；迁移仅向前修复</x:v>
      </x:c>
      <x:c r="X30" s="4" t="str"/>
      <x:c r="Y30" s="17" t="str"/>
    </x:row>
    <x:row r="31" ht="23" customHeight="1">
      <x:c r="A31" s="4" t="str">
        <x:v>M2-000</x:v>
      </x:c>
      <x:c r="B31" s="4" t="str">
        <x:v>30</x:v>
      </x:c>
      <x:c r="C31" s="4" t="str">
        <x:v>M2</x:v>
      </x:c>
      <x:c r="D31" s="4" t="str">
        <x:v>CONTRACT_SLICE_PLAN</x:v>
      </x:c>
      <x:c r="E31" s="4" t="str">
        <x:v>P0</x:v>
      </x:c>
      <x:c r="F31" s="17" t="str">
        <x:v>冻结M2字段、状态机、权限与契约切片</x:v>
      </x:c>
      <x:c r="G31" s="17" t="str">
        <x:v>执行包字段/状态机/权限/API台账</x:v>
      </x:c>
      <x:c r="H31" s="4" t="str"/>
      <x:c r="I31" s="4"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4" t="str">
        <x:v>NOT_STARTED</x:v>
      </x:c>
      <x:c r="N31" s="4" t="str">
        <x:v>NOT_EXECUTED</x:v>
      </x:c>
      <x:c r="O31" s="4" t="str">
        <x:v>UNASSIGNED</x:v>
      </x:c>
      <x:c r="P31" s="4" t="str"/>
      <x:c r="Q31" s="17" t="str">
        <x:v>codex/m2-m2</x:v>
      </x:c>
      <x:c r="R31" s="4" t="str"/>
      <x:c r="S31" s="4" t="str"/>
      <x:c r="T31" s="4" t="str"/>
      <x:c r="U31" s="4" t="str"/>
      <x:c r="V31" s="4" t="str">
        <x:v>NO</x:v>
      </x:c>
      <x:c r="W31" s="17" t="str">
        <x:v>按原子提交回退；迁移仅向前修复</x:v>
      </x:c>
      <x:c r="X31" s="4" t="str"/>
      <x:c r="Y31" s="17" t="str"/>
    </x:row>
    <x:row r="32" ht="23" customHeight="1">
      <x:c r="A32" s="4" t="str">
        <x:v>M2-P006</x:v>
      </x:c>
      <x:c r="B32" s="4" t="str">
        <x:v>31</x:v>
      </x:c>
      <x:c r="C32" s="4" t="str">
        <x:v>M2</x:v>
      </x:c>
      <x:c r="D32" s="4" t="str">
        <x:v>CATALOG_DOMAIN</x:v>
      </x:c>
      <x:c r="E32" s="4" t="str">
        <x:v>P0</x:v>
      </x:c>
      <x:c r="F32" s="17" t="str">
        <x:v>商品两层模型</x:v>
      </x:c>
      <x:c r="G32" s="17" t="str">
        <x:v>§5分类模板、§6商品价格库存</x:v>
      </x:c>
      <x:c r="H32" s="4" t="str">
        <x:v>P0-006</x:v>
      </x:c>
      <x:c r="I32" s="4"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4" t="str">
        <x:v>NOT_STARTED</x:v>
      </x:c>
      <x:c r="N32" s="4" t="str">
        <x:v>NOT_EXECUTED</x:v>
      </x:c>
      <x:c r="O32" s="4" t="str">
        <x:v>UNASSIGNED</x:v>
      </x:c>
      <x:c r="P32" s="4" t="str"/>
      <x:c r="Q32" s="17" t="str">
        <x:v>codex/m2-m2-p006</x:v>
      </x:c>
      <x:c r="R32" s="4" t="str"/>
      <x:c r="S32" s="4" t="str"/>
      <x:c r="T32" s="4" t="str"/>
      <x:c r="U32" s="4" t="str"/>
      <x:c r="V32" s="4" t="str">
        <x:v>NO</x:v>
      </x:c>
      <x:c r="W32" s="17" t="str">
        <x:v>按原子提交回退；迁移仅向前修复</x:v>
      </x:c>
      <x:c r="X32" s="4" t="str"/>
      <x:c r="Y32" s="17" t="str"/>
    </x:row>
    <x:row r="33" ht="23" customHeight="1">
      <x:c r="A33" s="4" t="str">
        <x:v>M2-P007</x:v>
      </x:c>
      <x:c r="B33" s="4" t="str">
        <x:v>32</x:v>
      </x:c>
      <x:c r="C33" s="4" t="str">
        <x:v>M2</x:v>
      </x:c>
      <x:c r="D33" s="4" t="str">
        <x:v>CATALOG_DOMAIN</x:v>
      </x:c>
      <x:c r="E33" s="4" t="str">
        <x:v>P0</x:v>
      </x:c>
      <x:c r="F33" s="17" t="str">
        <x:v>公司双页面审核上架</x:v>
      </x:c>
      <x:c r="G33" s="17" t="str">
        <x:v>§5分类模板、§6商品价格库存</x:v>
      </x:c>
      <x:c r="H33" s="4" t="str">
        <x:v>P0-007</x:v>
      </x:c>
      <x:c r="I33" s="4"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4" t="str">
        <x:v>NOT_STARTED</x:v>
      </x:c>
      <x:c r="N33" s="4" t="str">
        <x:v>NOT_EXECUTED</x:v>
      </x:c>
      <x:c r="O33" s="4" t="str">
        <x:v>UNASSIGNED</x:v>
      </x:c>
      <x:c r="P33" s="4" t="str"/>
      <x:c r="Q33" s="17" t="str">
        <x:v>codex/m2-m2-p007</x:v>
      </x:c>
      <x:c r="R33" s="4" t="str"/>
      <x:c r="S33" s="4" t="str"/>
      <x:c r="T33" s="4" t="str"/>
      <x:c r="U33" s="4" t="str"/>
      <x:c r="V33" s="4" t="str">
        <x:v>NO</x:v>
      </x:c>
      <x:c r="W33" s="17" t="str">
        <x:v>按原子提交回退；迁移仅向前修复</x:v>
      </x:c>
      <x:c r="X33" s="4" t="str"/>
      <x:c r="Y33" s="17" t="str"/>
    </x:row>
    <x:row r="34" ht="23" customHeight="1">
      <x:c r="A34" s="4" t="str">
        <x:v>M2-P008</x:v>
      </x:c>
      <x:c r="B34" s="4" t="str">
        <x:v>33</x:v>
      </x:c>
      <x:c r="C34" s="4" t="str">
        <x:v>M2</x:v>
      </x:c>
      <x:c r="D34" s="4" t="str">
        <x:v>CATALOG_DOMAIN</x:v>
      </x:c>
      <x:c r="E34" s="4" t="str">
        <x:v>P0</x:v>
      </x:c>
      <x:c r="F34" s="17" t="str">
        <x:v>供应商独立价格页面</x:v>
      </x:c>
      <x:c r="G34" s="17" t="str">
        <x:v>§5分类模板、§6商品价格库存</x:v>
      </x:c>
      <x:c r="H34" s="4" t="str">
        <x:v>P0-008</x:v>
      </x:c>
      <x:c r="I34" s="4"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4" t="str">
        <x:v>NOT_STARTED</x:v>
      </x:c>
      <x:c r="N34" s="4" t="str">
        <x:v>NOT_EXECUTED</x:v>
      </x:c>
      <x:c r="O34" s="4" t="str">
        <x:v>UNASSIGNED</x:v>
      </x:c>
      <x:c r="P34" s="4" t="str"/>
      <x:c r="Q34" s="17" t="str">
        <x:v>codex/m2-m2-p008</x:v>
      </x:c>
      <x:c r="R34" s="4" t="str"/>
      <x:c r="S34" s="4" t="str"/>
      <x:c r="T34" s="4" t="str"/>
      <x:c r="U34" s="4" t="str"/>
      <x:c r="V34" s="4" t="str">
        <x:v>NO</x:v>
      </x:c>
      <x:c r="W34" s="17" t="str">
        <x:v>按原子提交回退；迁移仅向前修复</x:v>
      </x:c>
      <x:c r="X34" s="4" t="str"/>
      <x:c r="Y34" s="17" t="str"/>
    </x:row>
    <x:row r="35" ht="23" customHeight="1">
      <x:c r="A35" s="4" t="str">
        <x:v>M2-P009</x:v>
      </x:c>
      <x:c r="B35" s="4" t="str">
        <x:v>34</x:v>
      </x:c>
      <x:c r="C35" s="4" t="str">
        <x:v>M2</x:v>
      </x:c>
      <x:c r="D35" s="4" t="str">
        <x:v>CATALOG_DOMAIN</x:v>
      </x:c>
      <x:c r="E35" s="4" t="str">
        <x:v>P0</x:v>
      </x:c>
      <x:c r="F35" s="17" t="str">
        <x:v>无供应商店铺</x:v>
      </x:c>
      <x:c r="G35" s="17" t="str">
        <x:v>§5分类模板、§6商品价格库存</x:v>
      </x:c>
      <x:c r="H35" s="4" t="str">
        <x:v>P0-009</x:v>
      </x:c>
      <x:c r="I35" s="4"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4" t="str">
        <x:v>NOT_STARTED</x:v>
      </x:c>
      <x:c r="N35" s="4" t="str">
        <x:v>NOT_EXECUTED</x:v>
      </x:c>
      <x:c r="O35" s="4" t="str">
        <x:v>UNASSIGNED</x:v>
      </x:c>
      <x:c r="P35" s="4" t="str"/>
      <x:c r="Q35" s="17" t="str">
        <x:v>codex/m2-m2-p009</x:v>
      </x:c>
      <x:c r="R35" s="4" t="str"/>
      <x:c r="S35" s="4" t="str"/>
      <x:c r="T35" s="4" t="str"/>
      <x:c r="U35" s="4" t="str"/>
      <x:c r="V35" s="4" t="str">
        <x:v>NO</x:v>
      </x:c>
      <x:c r="W35" s="17" t="str">
        <x:v>按原子提交回退；迁移仅向前修复</x:v>
      </x:c>
      <x:c r="X35" s="4" t="str"/>
      <x:c r="Y35" s="17" t="str"/>
    </x:row>
    <x:row r="36" ht="23" customHeight="1">
      <x:c r="A36" s="4" t="str">
        <x:v>M2-P010</x:v>
      </x:c>
      <x:c r="B36" s="4" t="str">
        <x:v>35</x:v>
      </x:c>
      <x:c r="C36" s="4" t="str">
        <x:v>M2</x:v>
      </x:c>
      <x:c r="D36" s="4" t="str">
        <x:v>CATALOG_DOMAIN</x:v>
      </x:c>
      <x:c r="E36" s="4" t="str">
        <x:v>P0</x:v>
      </x:c>
      <x:c r="F36" s="17" t="str">
        <x:v>看他还卖什么</x:v>
      </x:c>
      <x:c r="G36" s="17" t="str">
        <x:v>§5分类模板、§6商品价格库存</x:v>
      </x:c>
      <x:c r="H36" s="4" t="str">
        <x:v>P0-010</x:v>
      </x:c>
      <x:c r="I36" s="4"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4" t="str">
        <x:v>NOT_STARTED</x:v>
      </x:c>
      <x:c r="N36" s="4" t="str">
        <x:v>NOT_EXECUTED</x:v>
      </x:c>
      <x:c r="O36" s="4" t="str">
        <x:v>UNASSIGNED</x:v>
      </x:c>
      <x:c r="P36" s="4" t="str"/>
      <x:c r="Q36" s="17" t="str">
        <x:v>codex/m2-m2-p010</x:v>
      </x:c>
      <x:c r="R36" s="4" t="str"/>
      <x:c r="S36" s="4" t="str"/>
      <x:c r="T36" s="4" t="str"/>
      <x:c r="U36" s="4" t="str"/>
      <x:c r="V36" s="4" t="str">
        <x:v>NO</x:v>
      </x:c>
      <x:c r="W36" s="17" t="str">
        <x:v>按原子提交回退；迁移仅向前修复</x:v>
      </x:c>
      <x:c r="X36" s="4" t="str"/>
      <x:c r="Y36" s="17" t="str"/>
    </x:row>
    <x:row r="37" ht="23" customHeight="1">
      <x:c r="A37" s="4" t="str">
        <x:v>M2-P011</x:v>
      </x:c>
      <x:c r="B37" s="4" t="str">
        <x:v>36</x:v>
      </x:c>
      <x:c r="C37" s="4" t="str">
        <x:v>M2</x:v>
      </x:c>
      <x:c r="D37" s="4" t="str">
        <x:v>CATALOG_DOMAIN</x:v>
      </x:c>
      <x:c r="E37" s="4" t="str">
        <x:v>P0</x:v>
      </x:c>
      <x:c r="F37" s="17" t="str">
        <x:v>分类树</x:v>
      </x:c>
      <x:c r="G37" s="17" t="str">
        <x:v>§5分类模板、§6商品价格库存</x:v>
      </x:c>
      <x:c r="H37" s="4" t="str">
        <x:v>P0-011</x:v>
      </x:c>
      <x:c r="I37" s="4"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4" t="str">
        <x:v>NOT_STARTED</x:v>
      </x:c>
      <x:c r="N37" s="4" t="str">
        <x:v>NOT_EXECUTED</x:v>
      </x:c>
      <x:c r="O37" s="4" t="str">
        <x:v>UNASSIGNED</x:v>
      </x:c>
      <x:c r="P37" s="4" t="str"/>
      <x:c r="Q37" s="17" t="str">
        <x:v>codex/m2-m2-p011</x:v>
      </x:c>
      <x:c r="R37" s="4" t="str"/>
      <x:c r="S37" s="4" t="str"/>
      <x:c r="T37" s="4" t="str"/>
      <x:c r="U37" s="4" t="str"/>
      <x:c r="V37" s="4" t="str">
        <x:v>NO</x:v>
      </x:c>
      <x:c r="W37" s="17" t="str">
        <x:v>按原子提交回退；迁移仅向前修复</x:v>
      </x:c>
      <x:c r="X37" s="4" t="str"/>
      <x:c r="Y37" s="17" t="str"/>
    </x:row>
    <x:row r="38" ht="23" customHeight="1">
      <x:c r="A38" s="4" t="str">
        <x:v>M2-P012</x:v>
      </x:c>
      <x:c r="B38" s="4" t="str">
        <x:v>37</x:v>
      </x:c>
      <x:c r="C38" s="4" t="str">
        <x:v>M2</x:v>
      </x:c>
      <x:c r="D38" s="4" t="str">
        <x:v>CATALOG_DOMAIN</x:v>
      </x:c>
      <x:c r="E38" s="4" t="str">
        <x:v>P0</x:v>
      </x:c>
      <x:c r="F38" s="17" t="str">
        <x:v>分类模板</x:v>
      </x:c>
      <x:c r="G38" s="17" t="str">
        <x:v>§5分类模板、§6商品价格库存</x:v>
      </x:c>
      <x:c r="H38" s="4" t="str">
        <x:v>P0-012</x:v>
      </x:c>
      <x:c r="I38" s="4"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4" t="str">
        <x:v>NOT_STARTED</x:v>
      </x:c>
      <x:c r="N38" s="4" t="str">
        <x:v>NOT_EXECUTED</x:v>
      </x:c>
      <x:c r="O38" s="4" t="str">
        <x:v>UNASSIGNED</x:v>
      </x:c>
      <x:c r="P38" s="4" t="str"/>
      <x:c r="Q38" s="17" t="str">
        <x:v>codex/m2-m2-p012</x:v>
      </x:c>
      <x:c r="R38" s="4" t="str"/>
      <x:c r="S38" s="4" t="str"/>
      <x:c r="T38" s="4" t="str"/>
      <x:c r="U38" s="4" t="str"/>
      <x:c r="V38" s="4" t="str">
        <x:v>NO</x:v>
      </x:c>
      <x:c r="W38" s="17" t="str">
        <x:v>按原子提交回退；迁移仅向前修复</x:v>
      </x:c>
      <x:c r="X38" s="4" t="str"/>
      <x:c r="Y38" s="17" t="str"/>
    </x:row>
    <x:row r="39" ht="23" customHeight="1">
      <x:c r="A39" s="4" t="str">
        <x:v>M2-P013</x:v>
      </x:c>
      <x:c r="B39" s="4" t="str">
        <x:v>38</x:v>
      </x:c>
      <x:c r="C39" s="4" t="str">
        <x:v>M2</x:v>
      </x:c>
      <x:c r="D39" s="4" t="str">
        <x:v>CATALOG_DOMAIN</x:v>
      </x:c>
      <x:c r="E39" s="4" t="str">
        <x:v>P0</x:v>
      </x:c>
      <x:c r="F39" s="17" t="str">
        <x:v>食品详情</x:v>
      </x:c>
      <x:c r="G39" s="17" t="str">
        <x:v>§5分类模板、§6商品价格库存</x:v>
      </x:c>
      <x:c r="H39" s="4" t="str">
        <x:v>P0-013</x:v>
      </x:c>
      <x:c r="I39" s="4"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4" t="str">
        <x:v>NOT_STARTED</x:v>
      </x:c>
      <x:c r="N39" s="4" t="str">
        <x:v>NOT_EXECUTED</x:v>
      </x:c>
      <x:c r="O39" s="4" t="str">
        <x:v>UNASSIGNED</x:v>
      </x:c>
      <x:c r="P39" s="4" t="str"/>
      <x:c r="Q39" s="17" t="str">
        <x:v>codex/m2-m2-p013</x:v>
      </x:c>
      <x:c r="R39" s="4" t="str"/>
      <x:c r="S39" s="4" t="str"/>
      <x:c r="T39" s="4" t="str"/>
      <x:c r="U39" s="4" t="str"/>
      <x:c r="V39" s="4" t="str">
        <x:v>NO</x:v>
      </x:c>
      <x:c r="W39" s="17" t="str">
        <x:v>按原子提交回退；迁移仅向前修复</x:v>
      </x:c>
      <x:c r="X39" s="4" t="str"/>
      <x:c r="Y39" s="17" t="str"/>
    </x:row>
    <x:row r="40" ht="23" customHeight="1">
      <x:c r="A40" s="4" t="str">
        <x:v>M2-P014</x:v>
      </x:c>
      <x:c r="B40" s="4" t="str">
        <x:v>39</x:v>
      </x:c>
      <x:c r="C40" s="4" t="str">
        <x:v>M2</x:v>
      </x:c>
      <x:c r="D40" s="4" t="str">
        <x:v>CATALOG_DOMAIN</x:v>
      </x:c>
      <x:c r="E40" s="4" t="str">
        <x:v>P0</x:v>
      </x:c>
      <x:c r="F40" s="17" t="str">
        <x:v>生鲜详情</x:v>
      </x:c>
      <x:c r="G40" s="17" t="str">
        <x:v>§5分类模板、§6商品价格库存</x:v>
      </x:c>
      <x:c r="H40" s="4" t="str">
        <x:v>P0-014</x:v>
      </x:c>
      <x:c r="I40" s="4"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4" t="str">
        <x:v>NOT_STARTED</x:v>
      </x:c>
      <x:c r="N40" s="4" t="str">
        <x:v>NOT_EXECUTED</x:v>
      </x:c>
      <x:c r="O40" s="4" t="str">
        <x:v>UNASSIGNED</x:v>
      </x:c>
      <x:c r="P40" s="4" t="str"/>
      <x:c r="Q40" s="17" t="str">
        <x:v>codex/m2-m2-p014</x:v>
      </x:c>
      <x:c r="R40" s="4" t="str"/>
      <x:c r="S40" s="4" t="str"/>
      <x:c r="T40" s="4" t="str"/>
      <x:c r="U40" s="4" t="str"/>
      <x:c r="V40" s="4" t="str">
        <x:v>NO</x:v>
      </x:c>
      <x:c r="W40" s="17" t="str">
        <x:v>按原子提交回退；迁移仅向前修复</x:v>
      </x:c>
      <x:c r="X40" s="4" t="str"/>
      <x:c r="Y40" s="17" t="str"/>
    </x:row>
    <x:row r="41" ht="23" customHeight="1">
      <x:c r="A41" s="4" t="str">
        <x:v>M2-P015</x:v>
      </x:c>
      <x:c r="B41" s="4" t="str">
        <x:v>40</x:v>
      </x:c>
      <x:c r="C41" s="4" t="str">
        <x:v>M2</x:v>
      </x:c>
      <x:c r="D41" s="4" t="str">
        <x:v>CATALOG_DOMAIN</x:v>
      </x:c>
      <x:c r="E41" s="4" t="str">
        <x:v>P0</x:v>
      </x:c>
      <x:c r="F41" s="17" t="str">
        <x:v>服饰详情</x:v>
      </x:c>
      <x:c r="G41" s="17" t="str">
        <x:v>§5分类模板、§6商品价格库存</x:v>
      </x:c>
      <x:c r="H41" s="4" t="str">
        <x:v>P0-015</x:v>
      </x:c>
      <x:c r="I41" s="4"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4" t="str">
        <x:v>NOT_STARTED</x:v>
      </x:c>
      <x:c r="N41" s="4" t="str">
        <x:v>NOT_EXECUTED</x:v>
      </x:c>
      <x:c r="O41" s="4" t="str">
        <x:v>UNASSIGNED</x:v>
      </x:c>
      <x:c r="P41" s="4" t="str"/>
      <x:c r="Q41" s="17" t="str">
        <x:v>codex/m2-m2-p015</x:v>
      </x:c>
      <x:c r="R41" s="4" t="str"/>
      <x:c r="S41" s="4" t="str"/>
      <x:c r="T41" s="4" t="str"/>
      <x:c r="U41" s="4" t="str"/>
      <x:c r="V41" s="4" t="str">
        <x:v>NO</x:v>
      </x:c>
      <x:c r="W41" s="17" t="str">
        <x:v>按原子提交回退；迁移仅向前修复</x:v>
      </x:c>
      <x:c r="X41" s="4" t="str"/>
      <x:c r="Y41" s="17" t="str"/>
    </x:row>
    <x:row r="42" ht="23" customHeight="1">
      <x:c r="A42" s="4" t="str">
        <x:v>M2-P016</x:v>
      </x:c>
      <x:c r="B42" s="4" t="str">
        <x:v>41</x:v>
      </x:c>
      <x:c r="C42" s="4" t="str">
        <x:v>M2</x:v>
      </x:c>
      <x:c r="D42" s="4" t="str">
        <x:v>CATALOG_DOMAIN</x:v>
      </x:c>
      <x:c r="E42" s="4" t="str">
        <x:v>P0</x:v>
      </x:c>
      <x:c r="F42" s="17" t="str">
        <x:v>数码详情</x:v>
      </x:c>
      <x:c r="G42" s="17" t="str">
        <x:v>§5分类模板、§6商品价格库存</x:v>
      </x:c>
      <x:c r="H42" s="4" t="str">
        <x:v>P0-016</x:v>
      </x:c>
      <x:c r="I42" s="4"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4" t="str">
        <x:v>NOT_STARTED</x:v>
      </x:c>
      <x:c r="N42" s="4" t="str">
        <x:v>NOT_EXECUTED</x:v>
      </x:c>
      <x:c r="O42" s="4" t="str">
        <x:v>UNASSIGNED</x:v>
      </x:c>
      <x:c r="P42" s="4" t="str"/>
      <x:c r="Q42" s="17" t="str">
        <x:v>codex/m2-m2-p016</x:v>
      </x:c>
      <x:c r="R42" s="4" t="str"/>
      <x:c r="S42" s="4" t="str"/>
      <x:c r="T42" s="4" t="str"/>
      <x:c r="U42" s="4" t="str"/>
      <x:c r="V42" s="4" t="str">
        <x:v>NO</x:v>
      </x:c>
      <x:c r="W42" s="17" t="str">
        <x:v>按原子提交回退；迁移仅向前修复</x:v>
      </x:c>
      <x:c r="X42" s="4" t="str"/>
      <x:c r="Y42" s="17" t="str"/>
    </x:row>
    <x:row r="43" ht="23" customHeight="1">
      <x:c r="A43" s="4" t="str">
        <x:v>M2-P017</x:v>
      </x:c>
      <x:c r="B43" s="4" t="str">
        <x:v>42</x:v>
      </x:c>
      <x:c r="C43" s="4" t="str">
        <x:v>M2</x:v>
      </x:c>
      <x:c r="D43" s="4" t="str">
        <x:v>CATALOG_DOMAIN</x:v>
      </x:c>
      <x:c r="E43" s="4" t="str">
        <x:v>P0</x:v>
      </x:c>
      <x:c r="F43" s="17" t="str">
        <x:v>礼盒组合</x:v>
      </x:c>
      <x:c r="G43" s="17" t="str">
        <x:v>§5分类模板、§6商品价格库存</x:v>
      </x:c>
      <x:c r="H43" s="4" t="str">
        <x:v>P0-017</x:v>
      </x:c>
      <x:c r="I43" s="4"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4" t="str">
        <x:v>NOT_STARTED</x:v>
      </x:c>
      <x:c r="N43" s="4" t="str">
        <x:v>NOT_EXECUTED</x:v>
      </x:c>
      <x:c r="O43" s="4" t="str">
        <x:v>UNASSIGNED</x:v>
      </x:c>
      <x:c r="P43" s="4" t="str"/>
      <x:c r="Q43" s="17" t="str">
        <x:v>codex/m2-m2-p017</x:v>
      </x:c>
      <x:c r="R43" s="4" t="str"/>
      <x:c r="S43" s="4" t="str"/>
      <x:c r="T43" s="4" t="str"/>
      <x:c r="U43" s="4" t="str"/>
      <x:c r="V43" s="4" t="str">
        <x:v>NO</x:v>
      </x:c>
      <x:c r="W43" s="17" t="str">
        <x:v>按原子提交回退；迁移仅向前修复</x:v>
      </x:c>
      <x:c r="X43" s="4" t="str"/>
      <x:c r="Y43" s="17" t="str"/>
    </x:row>
    <x:row r="44" ht="23" customHeight="1">
      <x:c r="A44" s="4" t="str">
        <x:v>M2-P018</x:v>
      </x:c>
      <x:c r="B44" s="4" t="str">
        <x:v>43</x:v>
      </x:c>
      <x:c r="C44" s="4" t="str">
        <x:v>M2</x:v>
      </x:c>
      <x:c r="D44" s="4" t="str">
        <x:v>CATALOG_DOMAIN</x:v>
      </x:c>
      <x:c r="E44" s="4" t="str">
        <x:v>P0</x:v>
      </x:c>
      <x:c r="F44" s="17" t="str">
        <x:v>强监管默认关闭</x:v>
      </x:c>
      <x:c r="G44" s="17" t="str">
        <x:v>§5分类模板、§6商品价格库存</x:v>
      </x:c>
      <x:c r="H44" s="4" t="str">
        <x:v>P0-018</x:v>
      </x:c>
      <x:c r="I44" s="4"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4" t="str">
        <x:v>NOT_STARTED</x:v>
      </x:c>
      <x:c r="N44" s="4" t="str">
        <x:v>NOT_EXECUTED</x:v>
      </x:c>
      <x:c r="O44" s="4" t="str">
        <x:v>UNASSIGNED</x:v>
      </x:c>
      <x:c r="P44" s="4" t="str"/>
      <x:c r="Q44" s="17" t="str">
        <x:v>codex/m2-m2-p018</x:v>
      </x:c>
      <x:c r="R44" s="4" t="str"/>
      <x:c r="S44" s="4" t="str"/>
      <x:c r="T44" s="4" t="str"/>
      <x:c r="U44" s="4" t="str"/>
      <x:c r="V44" s="4" t="str">
        <x:v>NO</x:v>
      </x:c>
      <x:c r="W44" s="17" t="str">
        <x:v>按原子提交回退；迁移仅向前修复</x:v>
      </x:c>
      <x:c r="X44" s="4" t="str"/>
      <x:c r="Y44" s="17" t="str"/>
    </x:row>
    <x:row r="45" ht="23" customHeight="1">
      <x:c r="A45" s="4" t="str">
        <x:v>M2-P019</x:v>
      </x:c>
      <x:c r="B45" s="4" t="str">
        <x:v>44</x:v>
      </x:c>
      <x:c r="C45" s="4" t="str">
        <x:v>M2</x:v>
      </x:c>
      <x:c r="D45" s="4" t="str">
        <x:v>CATALOG_DOMAIN</x:v>
      </x:c>
      <x:c r="E45" s="4" t="str">
        <x:v>P0</x:v>
      </x:c>
      <x:c r="F45" s="17" t="str">
        <x:v>上架商品分级调价</x:v>
      </x:c>
      <x:c r="G45" s="17" t="str">
        <x:v>§5分类模板、§6商品价格库存</x:v>
      </x:c>
      <x:c r="H45" s="4" t="str">
        <x:v>P0-019</x:v>
      </x:c>
      <x:c r="I45" s="4"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4" t="str">
        <x:v>NOT_STARTED</x:v>
      </x:c>
      <x:c r="N45" s="4" t="str">
        <x:v>NOT_EXECUTED</x:v>
      </x:c>
      <x:c r="O45" s="4" t="str">
        <x:v>UNASSIGNED</x:v>
      </x:c>
      <x:c r="P45" s="4" t="str"/>
      <x:c r="Q45" s="17" t="str">
        <x:v>codex/m2-m2-p019</x:v>
      </x:c>
      <x:c r="R45" s="4" t="str"/>
      <x:c r="S45" s="4" t="str"/>
      <x:c r="T45" s="4" t="str"/>
      <x:c r="U45" s="4" t="str"/>
      <x:c r="V45" s="4" t="str">
        <x:v>NO</x:v>
      </x:c>
      <x:c r="W45" s="17" t="str">
        <x:v>按原子提交回退；迁移仅向前修复</x:v>
      </x:c>
      <x:c r="X45" s="4" t="str"/>
      <x:c r="Y45" s="17" t="str"/>
    </x:row>
    <x:row r="46" ht="23" customHeight="1">
      <x:c r="A46" s="4" t="str">
        <x:v>M2-P021</x:v>
      </x:c>
      <x:c r="B46" s="4" t="str">
        <x:v>45</x:v>
      </x:c>
      <x:c r="C46" s="4" t="str">
        <x:v>M2</x:v>
      </x:c>
      <x:c r="D46" s="4" t="str">
        <x:v>CATALOG_DOMAIN</x:v>
      </x:c>
      <x:c r="E46" s="4" t="str">
        <x:v>P0</x:v>
      </x:c>
      <x:c r="F46" s="17" t="str">
        <x:v>商品详情与价格隔离</x:v>
      </x:c>
      <x:c r="G46" s="17" t="str">
        <x:v>§5分类模板、§6商品价格库存</x:v>
      </x:c>
      <x:c r="H46" s="4" t="str">
        <x:v>P0-021</x:v>
      </x:c>
      <x:c r="I46" s="4"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4" t="str">
        <x:v>NOT_STARTED</x:v>
      </x:c>
      <x:c r="N46" s="4" t="str">
        <x:v>NOT_EXECUTED</x:v>
      </x:c>
      <x:c r="O46" s="4" t="str">
        <x:v>UNASSIGNED</x:v>
      </x:c>
      <x:c r="P46" s="4" t="str"/>
      <x:c r="Q46" s="17" t="str">
        <x:v>codex/m2-m2-p021</x:v>
      </x:c>
      <x:c r="R46" s="4" t="str"/>
      <x:c r="S46" s="4" t="str"/>
      <x:c r="T46" s="4" t="str"/>
      <x:c r="U46" s="4" t="str"/>
      <x:c r="V46" s="4" t="str">
        <x:v>NO</x:v>
      </x:c>
      <x:c r="W46" s="17" t="str">
        <x:v>按原子提交回退；迁移仅向前修复</x:v>
      </x:c>
      <x:c r="X46" s="4" t="str"/>
      <x:c r="Y46" s="17" t="str"/>
    </x:row>
    <x:row r="47" ht="23" customHeight="1">
      <x:c r="A47" s="4" t="str">
        <x:v>M2-P061</x:v>
      </x:c>
      <x:c r="B47" s="4" t="str">
        <x:v>46</x:v>
      </x:c>
      <x:c r="C47" s="4" t="str">
        <x:v>M2</x:v>
      </x:c>
      <x:c r="D47" s="4" t="str">
        <x:v>CATALOG_DOMAIN</x:v>
      </x:c>
      <x:c r="E47" s="4" t="str">
        <x:v>P0</x:v>
      </x:c>
      <x:c r="F47" s="17" t="str">
        <x:v>商品资源与集采标识</x:v>
      </x:c>
      <x:c r="G47" s="17" t="str">
        <x:v>§5分类模板、§6商品价格库存</x:v>
      </x:c>
      <x:c r="H47" s="4" t="str">
        <x:v>P0-061</x:v>
      </x:c>
      <x:c r="I47" s="4"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4" t="str">
        <x:v>NOT_STARTED</x:v>
      </x:c>
      <x:c r="N47" s="4" t="str">
        <x:v>NOT_EXECUTED</x:v>
      </x:c>
      <x:c r="O47" s="4" t="str">
        <x:v>UNASSIGNED</x:v>
      </x:c>
      <x:c r="P47" s="4" t="str"/>
      <x:c r="Q47" s="17" t="str">
        <x:v>codex/m2-m2-p061</x:v>
      </x:c>
      <x:c r="R47" s="4" t="str"/>
      <x:c r="S47" s="4" t="str"/>
      <x:c r="T47" s="4" t="str"/>
      <x:c r="U47" s="4" t="str"/>
      <x:c r="V47" s="4" t="str">
        <x:v>NO</x:v>
      </x:c>
      <x:c r="W47" s="17" t="str">
        <x:v>按原子提交回退；迁移仅向前修复</x:v>
      </x:c>
      <x:c r="X47" s="4" t="str"/>
      <x:c r="Y47" s="17" t="str"/>
    </x:row>
    <x:row r="48" ht="23" customHeight="1">
      <x:c r="A48" s="4" t="str">
        <x:v>M2-P063</x:v>
      </x:c>
      <x:c r="B48" s="4" t="str">
        <x:v>47</x:v>
      </x:c>
      <x:c r="C48" s="4" t="str">
        <x:v>M2</x:v>
      </x:c>
      <x:c r="D48" s="4" t="str">
        <x:v>CATALOG_DOMAIN</x:v>
      </x:c>
      <x:c r="E48" s="4" t="str">
        <x:v>P0</x:v>
      </x:c>
      <x:c r="F48" s="17" t="str">
        <x:v>跨渠道共用库存</x:v>
      </x:c>
      <x:c r="G48" s="17" t="str">
        <x:v>§5分类模板、§6商品价格库存</x:v>
      </x:c>
      <x:c r="H48" s="4" t="str">
        <x:v>P0-063</x:v>
      </x:c>
      <x:c r="I48" s="4"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4" t="str">
        <x:v>NOT_STARTED</x:v>
      </x:c>
      <x:c r="N48" s="4" t="str">
        <x:v>NOT_EXECUTED</x:v>
      </x:c>
      <x:c r="O48" s="4" t="str">
        <x:v>UNASSIGNED</x:v>
      </x:c>
      <x:c r="P48" s="4" t="str"/>
      <x:c r="Q48" s="17" t="str">
        <x:v>codex/m2-m2-p063</x:v>
      </x:c>
      <x:c r="R48" s="4" t="str"/>
      <x:c r="S48" s="4" t="str"/>
      <x:c r="T48" s="4" t="str"/>
      <x:c r="U48" s="4" t="str"/>
      <x:c r="V48" s="4" t="str">
        <x:v>NO</x:v>
      </x:c>
      <x:c r="W48" s="17" t="str">
        <x:v>按原子提交回退；迁移仅向前修复</x:v>
      </x:c>
      <x:c r="X48" s="4" t="str"/>
      <x:c r="Y48" s="17" t="str"/>
    </x:row>
    <x:row r="49" ht="23" customHeight="1">
      <x:c r="A49" s="4" t="str">
        <x:v>M2-P071</x:v>
      </x:c>
      <x:c r="B49" s="4" t="str">
        <x:v>48</x:v>
      </x:c>
      <x:c r="C49" s="4" t="str">
        <x:v>M2</x:v>
      </x:c>
      <x:c r="D49" s="4" t="str">
        <x:v>UI_VERTICAL_SLICE</x:v>
      </x:c>
      <x:c r="E49" s="4" t="str">
        <x:v>P0</x:v>
      </x:c>
      <x:c r="F49" s="17" t="str">
        <x:v>独立价格与审批页面</x:v>
      </x:c>
      <x:c r="G49" s="17" t="str">
        <x:v>§3角色权限、§4供应商后台、§14安全审计</x:v>
      </x:c>
      <x:c r="H49" s="4" t="str">
        <x:v>P0-071</x:v>
      </x:c>
      <x:c r="I49" s="4"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4" t="str">
        <x:v>NOT_STARTED</x:v>
      </x:c>
      <x:c r="N49" s="4" t="str">
        <x:v>NOT_EXECUTED</x:v>
      </x:c>
      <x:c r="O49" s="4" t="str">
        <x:v>UNASSIGNED</x:v>
      </x:c>
      <x:c r="P49" s="4" t="str"/>
      <x:c r="Q49" s="17" t="str">
        <x:v>codex/m2-m2-p071</x:v>
      </x:c>
      <x:c r="R49" s="4" t="str"/>
      <x:c r="S49" s="4" t="str"/>
      <x:c r="T49" s="4" t="str"/>
      <x:c r="U49" s="4" t="str"/>
      <x:c r="V49" s="4" t="str">
        <x:v>NO</x:v>
      </x:c>
      <x:c r="W49" s="17" t="str">
        <x:v>按原子提交回退；迁移仅向前修复</x:v>
      </x:c>
      <x:c r="X49" s="4" t="str"/>
      <x:c r="Y49" s="17" t="str"/>
    </x:row>
    <x:row r="50" ht="23" customHeight="1">
      <x:c r="A50" s="4" t="str">
        <x:v>M2-GATE</x:v>
      </x:c>
      <x:c r="B50" s="4" t="str">
        <x:v>49</x:v>
      </x:c>
      <x:c r="C50" s="4" t="str">
        <x:v>M2</x:v>
      </x:c>
      <x:c r="D50" s="4" t="str">
        <x:v>STAGE_GATE</x:v>
      </x:c>
      <x:c r="E50" s="4" t="str">
        <x:v>P0</x:v>
      </x:c>
      <x:c r="F50" s="17" t="str">
        <x:v>M2阶段门禁验收</x:v>
      </x:c>
      <x:c r="G50" s="17" t="str">
        <x:v>执行包§02</x:v>
      </x:c>
      <x:c r="H50" s="4" t="str"/>
      <x:c r="I50" s="4"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4" t="str">
        <x:v>NOT_STARTED</x:v>
      </x:c>
      <x:c r="N50" s="4" t="str">
        <x:v>NOT_EXECUTED</x:v>
      </x:c>
      <x:c r="O50" s="4" t="str">
        <x:v>UNASSIGNED</x:v>
      </x:c>
      <x:c r="P50" s="4" t="str"/>
      <x:c r="Q50" s="17" t="str">
        <x:v>codex/m2-m2</x:v>
      </x:c>
      <x:c r="R50" s="4" t="str"/>
      <x:c r="S50" s="4" t="str"/>
      <x:c r="T50" s="4" t="str"/>
      <x:c r="U50" s="4" t="str"/>
      <x:c r="V50" s="4" t="str">
        <x:v>YES</x:v>
      </x:c>
      <x:c r="W50" s="17" t="str">
        <x:v>按原子提交回退；迁移仅向前修复</x:v>
      </x:c>
      <x:c r="X50" s="4" t="str"/>
      <x:c r="Y50" s="17" t="str"/>
    </x:row>
    <x:row r="51" ht="23" customHeight="1">
      <x:c r="A51" s="4" t="str">
        <x:v>M3-000</x:v>
      </x:c>
      <x:c r="B51" s="4" t="str">
        <x:v>50</x:v>
      </x:c>
      <x:c r="C51" s="4" t="str">
        <x:v>M3</x:v>
      </x:c>
      <x:c r="D51" s="4" t="str">
        <x:v>CONTRACT_SLICE_PLAN</x:v>
      </x:c>
      <x:c r="E51" s="4" t="str">
        <x:v>P0</x:v>
      </x:c>
      <x:c r="F51" s="17" t="str">
        <x:v>冻结M3字段、状态机、权限与契约切片</x:v>
      </x:c>
      <x:c r="G51" s="17" t="str">
        <x:v>执行包字段/状态机/权限/API台账</x:v>
      </x:c>
      <x:c r="H51" s="4" t="str"/>
      <x:c r="I51" s="4"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4" t="str">
        <x:v>NOT_STARTED</x:v>
      </x:c>
      <x:c r="N51" s="4" t="str">
        <x:v>NOT_EXECUTED</x:v>
      </x:c>
      <x:c r="O51" s="4" t="str">
        <x:v>UNASSIGNED</x:v>
      </x:c>
      <x:c r="P51" s="4" t="str"/>
      <x:c r="Q51" s="17" t="str">
        <x:v>codex/m3-m3</x:v>
      </x:c>
      <x:c r="R51" s="4" t="str"/>
      <x:c r="S51" s="4" t="str"/>
      <x:c r="T51" s="4" t="str"/>
      <x:c r="U51" s="4" t="str"/>
      <x:c r="V51" s="4" t="str">
        <x:v>NO</x:v>
      </x:c>
      <x:c r="W51" s="17" t="str">
        <x:v>按原子提交回退；迁移仅向前修复</x:v>
      </x:c>
      <x:c r="X51" s="4" t="str"/>
      <x:c r="Y51" s="17" t="str"/>
    </x:row>
    <x:row r="52" ht="23" customHeight="1">
      <x:c r="A52" s="4" t="str">
        <x:v>M3-P020</x:v>
      </x:c>
      <x:c r="B52" s="4" t="str">
        <x:v>51</x:v>
      </x:c>
      <x:c r="C52" s="4" t="str">
        <x:v>M3</x:v>
      </x:c>
      <x:c r="D52" s="4" t="str">
        <x:v>CATALOG_DOMAIN</x:v>
      </x:c>
      <x:c r="E52" s="4" t="str">
        <x:v>P0</x:v>
      </x:c>
      <x:c r="F52" s="17" t="str">
        <x:v>用户首页</x:v>
      </x:c>
      <x:c r="G52" s="17" t="str">
        <x:v>§7用户小程序</x:v>
      </x:c>
      <x:c r="H52" s="4" t="str">
        <x:v>P0-020</x:v>
      </x:c>
      <x:c r="I52" s="4"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4" t="str">
        <x:v>NOT_STARTED</x:v>
      </x:c>
      <x:c r="N52" s="4" t="str">
        <x:v>NOT_EXECUTED</x:v>
      </x:c>
      <x:c r="O52" s="4" t="str">
        <x:v>UNASSIGNED</x:v>
      </x:c>
      <x:c r="P52" s="4" t="str"/>
      <x:c r="Q52" s="17" t="str">
        <x:v>codex/m3-m3-p020</x:v>
      </x:c>
      <x:c r="R52" s="4" t="str"/>
      <x:c r="S52" s="4" t="str"/>
      <x:c r="T52" s="4" t="str"/>
      <x:c r="U52" s="4" t="str"/>
      <x:c r="V52" s="4" t="str">
        <x:v>NO</x:v>
      </x:c>
      <x:c r="W52" s="17" t="str">
        <x:v>按原子提交回退；迁移仅向前修复</x:v>
      </x:c>
      <x:c r="X52" s="4" t="str"/>
      <x:c r="Y52" s="17" t="str"/>
    </x:row>
    <x:row r="53" ht="23" customHeight="1">
      <x:c r="A53" s="4" t="str">
        <x:v>M3-P022</x:v>
      </x:c>
      <x:c r="B53" s="4" t="str">
        <x:v>52</x:v>
      </x:c>
      <x:c r="C53" s="4" t="str">
        <x:v>M3</x:v>
      </x:c>
      <x:c r="D53" s="4" t="str">
        <x:v>BUSINESS_VERTICAL_SLICE</x:v>
      </x:c>
      <x:c r="E53" s="4" t="str">
        <x:v>P0</x:v>
      </x:c>
      <x:c r="F53" s="17" t="str">
        <x:v>个人与企业跨供应商订单</x:v>
      </x:c>
      <x:c r="G53" s="17" t="str">
        <x:v>§8企业采购、§9订单福利卡支付</x:v>
      </x:c>
      <x:c r="H53" s="4" t="str">
        <x:v>P0-022</x:v>
      </x:c>
      <x:c r="I53" s="4"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4" t="str">
        <x:v>NOT_STARTED</x:v>
      </x:c>
      <x:c r="N53" s="4" t="str">
        <x:v>NOT_EXECUTED</x:v>
      </x:c>
      <x:c r="O53" s="4" t="str">
        <x:v>UNASSIGNED</x:v>
      </x:c>
      <x:c r="P53" s="4" t="str"/>
      <x:c r="Q53" s="17" t="str">
        <x:v>codex/m3-m3-p022</x:v>
      </x:c>
      <x:c r="R53" s="4" t="str"/>
      <x:c r="S53" s="4" t="str"/>
      <x:c r="T53" s="4" t="str"/>
      <x:c r="U53" s="4" t="str"/>
      <x:c r="V53" s="4" t="str">
        <x:v>NO</x:v>
      </x:c>
      <x:c r="W53" s="17" t="str">
        <x:v>按原子提交回退；迁移仅向前修复</x:v>
      </x:c>
      <x:c r="X53" s="4" t="str"/>
      <x:c r="Y53" s="17" t="str"/>
    </x:row>
    <x:row r="54" ht="23" customHeight="1">
      <x:c r="A54" s="4" t="str">
        <x:v>M3-P023</x:v>
      </x:c>
      <x:c r="B54" s="4" t="str">
        <x:v>53</x:v>
      </x:c>
      <x:c r="C54" s="4" t="str">
        <x:v>M3</x:v>
      </x:c>
      <x:c r="D54" s="4" t="str">
        <x:v>BUSINESS_VERTICAL_SLICE</x:v>
      </x:c>
      <x:c r="E54" s="4" t="str">
        <x:v>P0</x:v>
      </x:c>
      <x:c r="F54" s="17" t="str">
        <x:v>库存预扣</x:v>
      </x:c>
      <x:c r="G54" s="17" t="str">
        <x:v>§8企业采购、§9订单福利卡支付</x:v>
      </x:c>
      <x:c r="H54" s="4" t="str">
        <x:v>P0-023</x:v>
      </x:c>
      <x:c r="I54" s="4"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4" t="str">
        <x:v>NOT_STARTED</x:v>
      </x:c>
      <x:c r="N54" s="4" t="str">
        <x:v>NOT_EXECUTED</x:v>
      </x:c>
      <x:c r="O54" s="4" t="str">
        <x:v>UNASSIGNED</x:v>
      </x:c>
      <x:c r="P54" s="4" t="str"/>
      <x:c r="Q54" s="17" t="str">
        <x:v>codex/m3-m3-p023</x:v>
      </x:c>
      <x:c r="R54" s="4" t="str"/>
      <x:c r="S54" s="4" t="str"/>
      <x:c r="T54" s="4" t="str"/>
      <x:c r="U54" s="4" t="str"/>
      <x:c r="V54" s="4" t="str">
        <x:v>NO</x:v>
      </x:c>
      <x:c r="W54" s="17" t="str">
        <x:v>按原子提交回退；迁移仅向前修复</x:v>
      </x:c>
      <x:c r="X54" s="4" t="str"/>
      <x:c r="Y54" s="17" t="str"/>
    </x:row>
    <x:row r="55" ht="23" customHeight="1">
      <x:c r="A55" s="4" t="str">
        <x:v>M3-P024</x:v>
      </x:c>
      <x:c r="B55" s="4" t="str">
        <x:v>54</x:v>
      </x:c>
      <x:c r="C55" s="4" t="str">
        <x:v>M3</x:v>
      </x:c>
      <x:c r="D55" s="4" t="str">
        <x:v>FINANCE_TRANSACTION</x:v>
      </x:c>
      <x:c r="E55" s="4" t="str">
        <x:v>P0</x:v>
      </x:c>
      <x:c r="F55" s="17" t="str">
        <x:v>支付幂等</x:v>
      </x:c>
      <x:c r="G55" s="17" t="str">
        <x:v>§8企业采购、§9订单福利卡支付</x:v>
      </x:c>
      <x:c r="H55" s="4" t="str">
        <x:v>P0-024</x:v>
      </x:c>
      <x:c r="I55" s="4"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4" t="str">
        <x:v>NOT_STARTED</x:v>
      </x:c>
      <x:c r="N55" s="4" t="str">
        <x:v>NOT_EXECUTED</x:v>
      </x:c>
      <x:c r="O55" s="4" t="str">
        <x:v>UNASSIGNED</x:v>
      </x:c>
      <x:c r="P55" s="4" t="str"/>
      <x:c r="Q55" s="17" t="str">
        <x:v>codex/m3-m3-p024</x:v>
      </x:c>
      <x:c r="R55" s="4" t="str"/>
      <x:c r="S55" s="4" t="str"/>
      <x:c r="T55" s="4" t="str"/>
      <x:c r="U55" s="4" t="str"/>
      <x:c r="V55" s="4" t="str">
        <x:v>YES</x:v>
      </x:c>
      <x:c r="W55" s="17" t="str">
        <x:v>按原子提交回退；迁移仅向前修复</x:v>
      </x:c>
      <x:c r="X55" s="4" t="str"/>
      <x:c r="Y55" s="17" t="str"/>
    </x:row>
    <x:row r="56" ht="23" customHeight="1">
      <x:c r="A56" s="4" t="str">
        <x:v>M3-P025</x:v>
      </x:c>
      <x:c r="B56" s="4" t="str">
        <x:v>55</x:v>
      </x:c>
      <x:c r="C56" s="4" t="str">
        <x:v>M3</x:v>
      </x:c>
      <x:c r="D56" s="4" t="str">
        <x:v>FINANCE_TRANSACTION</x:v>
      </x:c>
      <x:c r="E56" s="4" t="str">
        <x:v>P0</x:v>
      </x:c>
      <x:c r="F56" s="17" t="str">
        <x:v>公司统一对客结账</x:v>
      </x:c>
      <x:c r="G56" s="17" t="str">
        <x:v>§8企业采购、§9订单福利卡支付</x:v>
      </x:c>
      <x:c r="H56" s="4" t="str">
        <x:v>P0-025</x:v>
      </x:c>
      <x:c r="I56" s="4"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4" t="str">
        <x:v>NOT_STARTED</x:v>
      </x:c>
      <x:c r="N56" s="4" t="str">
        <x:v>NOT_EXECUTED</x:v>
      </x:c>
      <x:c r="O56" s="4" t="str">
        <x:v>UNASSIGNED</x:v>
      </x:c>
      <x:c r="P56" s="4" t="str"/>
      <x:c r="Q56" s="17" t="str">
        <x:v>codex/m3-m3-p025</x:v>
      </x:c>
      <x:c r="R56" s="4" t="str"/>
      <x:c r="S56" s="4" t="str"/>
      <x:c r="T56" s="4" t="str"/>
      <x:c r="U56" s="4" t="str"/>
      <x:c r="V56" s="4" t="str">
        <x:v>NO</x:v>
      </x:c>
      <x:c r="W56" s="17" t="str">
        <x:v>按原子提交回退；迁移仅向前修复</x:v>
      </x:c>
      <x:c r="X56" s="4" t="str"/>
      <x:c r="Y56" s="17" t="str"/>
    </x:row>
    <x:row r="57" ht="23" customHeight="1">
      <x:c r="A57" s="4" t="str">
        <x:v>M3-P026</x:v>
      </x:c>
      <x:c r="B57" s="4" t="str">
        <x:v>56</x:v>
      </x:c>
      <x:c r="C57" s="4" t="str">
        <x:v>M3</x:v>
      </x:c>
      <x:c r="D57" s="4" t="str">
        <x:v>FINANCE_TRANSACTION</x:v>
      </x:c>
      <x:c r="E57" s="4" t="str">
        <x:v>P0</x:v>
      </x:c>
      <x:c r="F57" s="17" t="str">
        <x:v>按原支付结构退款</x:v>
      </x:c>
      <x:c r="G57" s="17" t="str">
        <x:v>§8企业采购、§9订单福利卡支付</x:v>
      </x:c>
      <x:c r="H57" s="4" t="str">
        <x:v>P0-026</x:v>
      </x:c>
      <x:c r="I57" s="4"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4" t="str">
        <x:v>NOT_STARTED</x:v>
      </x:c>
      <x:c r="N57" s="4" t="str">
        <x:v>NOT_EXECUTED</x:v>
      </x:c>
      <x:c r="O57" s="4" t="str">
        <x:v>UNASSIGNED</x:v>
      </x:c>
      <x:c r="P57" s="4" t="str"/>
      <x:c r="Q57" s="17" t="str">
        <x:v>codex/m3-m3-p026</x:v>
      </x:c>
      <x:c r="R57" s="4" t="str"/>
      <x:c r="S57" s="4" t="str"/>
      <x:c r="T57" s="4" t="str"/>
      <x:c r="U57" s="4" t="str"/>
      <x:c r="V57" s="4" t="str">
        <x:v>YES</x:v>
      </x:c>
      <x:c r="W57" s="17" t="str">
        <x:v>按原子提交回退；迁移仅向前修复</x:v>
      </x:c>
      <x:c r="X57" s="4" t="str"/>
      <x:c r="Y57" s="17" t="str"/>
    </x:row>
    <x:row r="58" ht="23" customHeight="1">
      <x:c r="A58" s="4" t="str">
        <x:v>M3-P027</x:v>
      </x:c>
      <x:c r="B58" s="4" t="str">
        <x:v>57</x:v>
      </x:c>
      <x:c r="C58" s="4" t="str">
        <x:v>M3</x:v>
      </x:c>
      <x:c r="D58" s="4" t="str">
        <x:v>BUSINESS_VERTICAL_SLICE</x:v>
      </x:c>
      <x:c r="E58" s="4" t="str">
        <x:v>P0</x:v>
      </x:c>
      <x:c r="F58" s="17" t="str">
        <x:v>门户宣传</x:v>
      </x:c>
      <x:c r="G58" s="17" t="str">
        <x:v>§8企业采购、§9订单福利卡支付</x:v>
      </x:c>
      <x:c r="H58" s="4" t="str">
        <x:v>P0-027</x:v>
      </x:c>
      <x:c r="I58" s="4"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4" t="str">
        <x:v>NOT_STARTED</x:v>
      </x:c>
      <x:c r="N58" s="4" t="str">
        <x:v>NOT_EXECUTED</x:v>
      </x:c>
      <x:c r="O58" s="4" t="str">
        <x:v>UNASSIGNED</x:v>
      </x:c>
      <x:c r="P58" s="4" t="str"/>
      <x:c r="Q58" s="17" t="str">
        <x:v>codex/m3-m3-p027</x:v>
      </x:c>
      <x:c r="R58" s="4" t="str"/>
      <x:c r="S58" s="4" t="str"/>
      <x:c r="T58" s="4" t="str"/>
      <x:c r="U58" s="4" t="str"/>
      <x:c r="V58" s="4" t="str">
        <x:v>NO</x:v>
      </x:c>
      <x:c r="W58" s="17" t="str">
        <x:v>按原子提交回退；迁移仅向前修复</x:v>
      </x:c>
      <x:c r="X58" s="4" t="str"/>
      <x:c r="Y58" s="17" t="str"/>
    </x:row>
    <x:row r="59" ht="23" customHeight="1">
      <x:c r="A59" s="4" t="str">
        <x:v>M3-P028</x:v>
      </x:c>
      <x:c r="B59" s="4" t="str">
        <x:v>58</x:v>
      </x:c>
      <x:c r="C59" s="4" t="str">
        <x:v>M3</x:v>
      </x:c>
      <x:c r="D59" s="4" t="str">
        <x:v>BUSINESS_VERTICAL_SLICE</x:v>
      </x:c>
      <x:c r="E59" s="4" t="str">
        <x:v>P0</x:v>
      </x:c>
      <x:c r="F59" s="17" t="str">
        <x:v>企业注册认证</x:v>
      </x:c>
      <x:c r="G59" s="17" t="str">
        <x:v>§8企业采购、§9订单福利卡支付</x:v>
      </x:c>
      <x:c r="H59" s="4" t="str">
        <x:v>P0-028</x:v>
      </x:c>
      <x:c r="I59" s="4"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4" t="str">
        <x:v>NOT_STARTED</x:v>
      </x:c>
      <x:c r="N59" s="4" t="str">
        <x:v>NOT_EXECUTED</x:v>
      </x:c>
      <x:c r="O59" s="4" t="str">
        <x:v>UNASSIGNED</x:v>
      </x:c>
      <x:c r="P59" s="4" t="str"/>
      <x:c r="Q59" s="17" t="str">
        <x:v>codex/m3-m3-p028</x:v>
      </x:c>
      <x:c r="R59" s="4" t="str"/>
      <x:c r="S59" s="4" t="str"/>
      <x:c r="T59" s="4" t="str"/>
      <x:c r="U59" s="4" t="str"/>
      <x:c r="V59" s="4" t="str">
        <x:v>YES</x:v>
      </x:c>
      <x:c r="W59" s="17" t="str">
        <x:v>按原子提交回退；迁移仅向前修复</x:v>
      </x:c>
      <x:c r="X59" s="4" t="str"/>
      <x:c r="Y59" s="17" t="str"/>
    </x:row>
    <x:row r="60" ht="23" customHeight="1">
      <x:c r="A60" s="4" t="str">
        <x:v>M3-P029</x:v>
      </x:c>
      <x:c r="B60" s="4" t="str">
        <x:v>59</x:v>
      </x:c>
      <x:c r="C60" s="4" t="str">
        <x:v>M3</x:v>
      </x:c>
      <x:c r="D60" s="4" t="str">
        <x:v>BUSINESS_VERTICAL_SLICE</x:v>
      </x:c>
      <x:c r="E60" s="4" t="str">
        <x:v>P0</x:v>
      </x:c>
      <x:c r="F60" s="17" t="str">
        <x:v>统一企业采购</x:v>
      </x:c>
      <x:c r="G60" s="17" t="str">
        <x:v>§8企业采购、§9订单福利卡支付</x:v>
      </x:c>
      <x:c r="H60" s="4" t="str">
        <x:v>P0-029</x:v>
      </x:c>
      <x:c r="I60" s="4"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4" t="str">
        <x:v>NOT_STARTED</x:v>
      </x:c>
      <x:c r="N60" s="4" t="str">
        <x:v>NOT_EXECUTED</x:v>
      </x:c>
      <x:c r="O60" s="4" t="str">
        <x:v>UNASSIGNED</x:v>
      </x:c>
      <x:c r="P60" s="4" t="str"/>
      <x:c r="Q60" s="17" t="str">
        <x:v>codex/m3-m3-p029</x:v>
      </x:c>
      <x:c r="R60" s="4" t="str"/>
      <x:c r="S60" s="4" t="str"/>
      <x:c r="T60" s="4" t="str"/>
      <x:c r="U60" s="4" t="str"/>
      <x:c r="V60" s="4" t="str">
        <x:v>NO</x:v>
      </x:c>
      <x:c r="W60" s="17" t="str">
        <x:v>按原子提交回退；迁移仅向前修复</x:v>
      </x:c>
      <x:c r="X60" s="4" t="str"/>
      <x:c r="Y60" s="17" t="str"/>
    </x:row>
    <x:row r="61" ht="23" customHeight="1">
      <x:c r="A61" s="4" t="str">
        <x:v>M3-P030</x:v>
      </x:c>
      <x:c r="B61" s="4" t="str">
        <x:v>60</x:v>
      </x:c>
      <x:c r="C61" s="4" t="str">
        <x:v>M3</x:v>
      </x:c>
      <x:c r="D61" s="4" t="str">
        <x:v>BUSINESS_VERTICAL_SLICE</x:v>
      </x:c>
      <x:c r="E61" s="4" t="str">
        <x:v>P0</x:v>
      </x:c>
      <x:c r="F61" s="17" t="str">
        <x:v>社区集采边界</x:v>
      </x:c>
      <x:c r="G61" s="17" t="str">
        <x:v>§8企业采购、§9订单福利卡支付</x:v>
      </x:c>
      <x:c r="H61" s="4" t="str">
        <x:v>P0-030</x:v>
      </x:c>
      <x:c r="I61" s="4"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4" t="str">
        <x:v>NOT_STARTED</x:v>
      </x:c>
      <x:c r="N61" s="4" t="str">
        <x:v>NOT_EXECUTED</x:v>
      </x:c>
      <x:c r="O61" s="4" t="str">
        <x:v>UNASSIGNED</x:v>
      </x:c>
      <x:c r="P61" s="4" t="str"/>
      <x:c r="Q61" s="17" t="str">
        <x:v>codex/m3-m3-p030</x:v>
      </x:c>
      <x:c r="R61" s="4" t="str"/>
      <x:c r="S61" s="4" t="str"/>
      <x:c r="T61" s="4" t="str"/>
      <x:c r="U61" s="4" t="str"/>
      <x:c r="V61" s="4" t="str">
        <x:v>NO</x:v>
      </x:c>
      <x:c r="W61" s="17" t="str">
        <x:v>按原子提交回退；迁移仅向前修复</x:v>
      </x:c>
      <x:c r="X61" s="4" t="str"/>
      <x:c r="Y61" s="17" t="str"/>
    </x:row>
    <x:row r="62" ht="23" customHeight="1">
      <x:c r="A62" s="4" t="str">
        <x:v>M3-P031</x:v>
      </x:c>
      <x:c r="B62" s="4" t="str">
        <x:v>61</x:v>
      </x:c>
      <x:c r="C62" s="4" t="str">
        <x:v>M3</x:v>
      </x:c>
      <x:c r="D62" s="4" t="str">
        <x:v>BUSINESS_VERTICAL_SLICE</x:v>
      </x:c>
      <x:c r="E62" s="4" t="str">
        <x:v>P0</x:v>
      </x:c>
      <x:c r="F62" s="17" t="str">
        <x:v>供应商备货</x:v>
      </x:c>
      <x:c r="G62" s="17" t="str">
        <x:v>§8企业采购、§9订单福利卡支付</x:v>
      </x:c>
      <x:c r="H62" s="4" t="str">
        <x:v>P0-031</x:v>
      </x:c>
      <x:c r="I62" s="4"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4" t="str">
        <x:v>NOT_STARTED</x:v>
      </x:c>
      <x:c r="N62" s="4" t="str">
        <x:v>NOT_EXECUTED</x:v>
      </x:c>
      <x:c r="O62" s="4" t="str">
        <x:v>UNASSIGNED</x:v>
      </x:c>
      <x:c r="P62" s="4" t="str"/>
      <x:c r="Q62" s="17" t="str">
        <x:v>codex/m3-m3-p031</x:v>
      </x:c>
      <x:c r="R62" s="4" t="str"/>
      <x:c r="S62" s="4" t="str"/>
      <x:c r="T62" s="4" t="str"/>
      <x:c r="U62" s="4" t="str"/>
      <x:c r="V62" s="4" t="str">
        <x:v>NO</x:v>
      </x:c>
      <x:c r="W62" s="17" t="str">
        <x:v>按原子提交回退；迁移仅向前修复</x:v>
      </x:c>
      <x:c r="X62" s="4" t="str"/>
      <x:c r="Y62" s="17" t="str"/>
    </x:row>
    <x:row r="63" ht="23" customHeight="1">
      <x:c r="A63" s="4" t="str">
        <x:v>M3-P051</x:v>
      </x:c>
      <x:c r="B63" s="4" t="str">
        <x:v>62</x:v>
      </x:c>
      <x:c r="C63" s="4" t="str">
        <x:v>M3</x:v>
      </x:c>
      <x:c r="D63" s="4" t="str">
        <x:v>FINANCE_TRANSACTION</x:v>
      </x:c>
      <x:c r="E63" s="4" t="str">
        <x:v>P0</x:v>
      </x:c>
      <x:c r="F63" s="17" t="str">
        <x:v>福利卡计划与批次</x:v>
      </x:c>
      <x:c r="G63" s="17" t="str">
        <x:v>§8企业采购、§9订单福利卡支付</x:v>
      </x:c>
      <x:c r="H63" s="4" t="str">
        <x:v>P0-051</x:v>
      </x:c>
      <x:c r="I63" s="4"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4" t="str">
        <x:v>NOT_STARTED</x:v>
      </x:c>
      <x:c r="N63" s="4" t="str">
        <x:v>NOT_EXECUTED</x:v>
      </x:c>
      <x:c r="O63" s="4" t="str">
        <x:v>UNASSIGNED</x:v>
      </x:c>
      <x:c r="P63" s="4" t="str"/>
      <x:c r="Q63" s="17" t="str">
        <x:v>codex/m3-m3-p051</x:v>
      </x:c>
      <x:c r="R63" s="4" t="str"/>
      <x:c r="S63" s="4" t="str"/>
      <x:c r="T63" s="4" t="str"/>
      <x:c r="U63" s="4" t="str"/>
      <x:c r="V63" s="4" t="str">
        <x:v>YES</x:v>
      </x:c>
      <x:c r="W63" s="17" t="str">
        <x:v>按原子提交回退；迁移仅向前修复</x:v>
      </x:c>
      <x:c r="X63" s="4" t="str"/>
      <x:c r="Y63" s="17" t="str"/>
    </x:row>
    <x:row r="64" ht="23" customHeight="1">
      <x:c r="A64" s="4" t="str">
        <x:v>M3-P052</x:v>
      </x:c>
      <x:c r="B64" s="4" t="str">
        <x:v>63</x:v>
      </x:c>
      <x:c r="C64" s="4" t="str">
        <x:v>M3</x:v>
      </x:c>
      <x:c r="D64" s="4" t="str">
        <x:v>FINANCE_TRANSACTION</x:v>
      </x:c>
      <x:c r="E64" s="4" t="str">
        <x:v>P0</x:v>
      </x:c>
      <x:c r="F64" s="17" t="str">
        <x:v>福利卡绑定</x:v>
      </x:c>
      <x:c r="G64" s="17" t="str">
        <x:v>§8企业采购、§9订单福利卡支付</x:v>
      </x:c>
      <x:c r="H64" s="4" t="str">
        <x:v>P0-052</x:v>
      </x:c>
      <x:c r="I64" s="4"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4" t="str">
        <x:v>NOT_STARTED</x:v>
      </x:c>
      <x:c r="N64" s="4" t="str">
        <x:v>NOT_EXECUTED</x:v>
      </x:c>
      <x:c r="O64" s="4" t="str">
        <x:v>UNASSIGNED</x:v>
      </x:c>
      <x:c r="P64" s="4" t="str"/>
      <x:c r="Q64" s="17" t="str">
        <x:v>codex/m3-m3-p052</x:v>
      </x:c>
      <x:c r="R64" s="4" t="str"/>
      <x:c r="S64" s="4" t="str"/>
      <x:c r="T64" s="4" t="str"/>
      <x:c r="U64" s="4" t="str"/>
      <x:c r="V64" s="4" t="str">
        <x:v>YES</x:v>
      </x:c>
      <x:c r="W64" s="17" t="str">
        <x:v>按原子提交回退；迁移仅向前修复</x:v>
      </x:c>
      <x:c r="X64" s="4" t="str"/>
      <x:c r="Y64" s="17" t="str"/>
    </x:row>
    <x:row r="65" ht="23" customHeight="1">
      <x:c r="A65" s="4" t="str">
        <x:v>M3-P053</x:v>
      </x:c>
      <x:c r="B65" s="4" t="str">
        <x:v>64</x:v>
      </x:c>
      <x:c r="C65" s="4" t="str">
        <x:v>M3</x:v>
      </x:c>
      <x:c r="D65" s="4" t="str">
        <x:v>FINANCE_TRANSACTION</x:v>
      </x:c>
      <x:c r="E65" s="4" t="str">
        <x:v>P0</x:v>
      </x:c>
      <x:c r="F65" s="17" t="str">
        <x:v>福利卡账户选择</x:v>
      </x:c>
      <x:c r="G65" s="17" t="str">
        <x:v>§8企业采购、§9订单福利卡支付</x:v>
      </x:c>
      <x:c r="H65" s="4" t="str">
        <x:v>P0-053</x:v>
      </x:c>
      <x:c r="I65" s="4"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4" t="str">
        <x:v>NOT_STARTED</x:v>
      </x:c>
      <x:c r="N65" s="4" t="str">
        <x:v>NOT_EXECUTED</x:v>
      </x:c>
      <x:c r="O65" s="4" t="str">
        <x:v>UNASSIGNED</x:v>
      </x:c>
      <x:c r="P65" s="4" t="str"/>
      <x:c r="Q65" s="17" t="str">
        <x:v>codex/m3-m3-p053</x:v>
      </x:c>
      <x:c r="R65" s="4" t="str"/>
      <x:c r="S65" s="4" t="str"/>
      <x:c r="T65" s="4" t="str"/>
      <x:c r="U65" s="4" t="str"/>
      <x:c r="V65" s="4" t="str">
        <x:v>YES</x:v>
      </x:c>
      <x:c r="W65" s="17" t="str">
        <x:v>按原子提交回退；迁移仅向前修复</x:v>
      </x:c>
      <x:c r="X65" s="4" t="str"/>
      <x:c r="Y65" s="17" t="str"/>
    </x:row>
    <x:row r="66" ht="23" customHeight="1">
      <x:c r="A66" s="4" t="str">
        <x:v>M3-P054</x:v>
      </x:c>
      <x:c r="B66" s="4" t="str">
        <x:v>65</x:v>
      </x:c>
      <x:c r="C66" s="4" t="str">
        <x:v>M3</x:v>
      </x:c>
      <x:c r="D66" s="4" t="str">
        <x:v>FINANCE_TRANSACTION</x:v>
      </x:c>
      <x:c r="E66" s="4" t="str">
        <x:v>P0</x:v>
      </x:c>
      <x:c r="F66" s="17" t="str">
        <x:v>福利卡适用范围</x:v>
      </x:c>
      <x:c r="G66" s="17" t="str">
        <x:v>§8企业采购、§9订单福利卡支付</x:v>
      </x:c>
      <x:c r="H66" s="4" t="str">
        <x:v>P0-054</x:v>
      </x:c>
      <x:c r="I66" s="4"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4" t="str">
        <x:v>NOT_STARTED</x:v>
      </x:c>
      <x:c r="N66" s="4" t="str">
        <x:v>NOT_EXECUTED</x:v>
      </x:c>
      <x:c r="O66" s="4" t="str">
        <x:v>UNASSIGNED</x:v>
      </x:c>
      <x:c r="P66" s="4" t="str"/>
      <x:c r="Q66" s="17" t="str">
        <x:v>codex/m3-m3-p054</x:v>
      </x:c>
      <x:c r="R66" s="4" t="str"/>
      <x:c r="S66" s="4" t="str"/>
      <x:c r="T66" s="4" t="str"/>
      <x:c r="U66" s="4" t="str"/>
      <x:c r="V66" s="4" t="str">
        <x:v>YES</x:v>
      </x:c>
      <x:c r="W66" s="17" t="str">
        <x:v>按原子提交回退；迁移仅向前修复</x:v>
      </x:c>
      <x:c r="X66" s="4" t="str"/>
      <x:c r="Y66" s="17" t="str"/>
    </x:row>
    <x:row r="67" ht="23" customHeight="1">
      <x:c r="A67" s="4" t="str">
        <x:v>M3-P055</x:v>
      </x:c>
      <x:c r="B67" s="4" t="str">
        <x:v>66</x:v>
      </x:c>
      <x:c r="C67" s="4" t="str">
        <x:v>M3</x:v>
      </x:c>
      <x:c r="D67" s="4" t="str">
        <x:v>FINANCE_TRANSACTION</x:v>
      </x:c>
      <x:c r="E67" s="4" t="str">
        <x:v>P0</x:v>
      </x:c>
      <x:c r="F67" s="17" t="str">
        <x:v>福利卡全额支付</x:v>
      </x:c>
      <x:c r="G67" s="17" t="str">
        <x:v>§8企业采购、§9订单福利卡支付</x:v>
      </x:c>
      <x:c r="H67" s="4" t="str">
        <x:v>P0-055</x:v>
      </x:c>
      <x:c r="I67" s="4"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4" t="str">
        <x:v>NOT_STARTED</x:v>
      </x:c>
      <x:c r="N67" s="4" t="str">
        <x:v>NOT_EXECUTED</x:v>
      </x:c>
      <x:c r="O67" s="4" t="str">
        <x:v>UNASSIGNED</x:v>
      </x:c>
      <x:c r="P67" s="4" t="str"/>
      <x:c r="Q67" s="17" t="str">
        <x:v>codex/m3-m3-p055</x:v>
      </x:c>
      <x:c r="R67" s="4" t="str"/>
      <x:c r="S67" s="4" t="str"/>
      <x:c r="T67" s="4" t="str"/>
      <x:c r="U67" s="4" t="str"/>
      <x:c r="V67" s="4" t="str">
        <x:v>YES</x:v>
      </x:c>
      <x:c r="W67" s="17" t="str">
        <x:v>按原子提交回退；迁移仅向前修复</x:v>
      </x:c>
      <x:c r="X67" s="4" t="str"/>
      <x:c r="Y67" s="17" t="str"/>
    </x:row>
    <x:row r="68" ht="23" customHeight="1">
      <x:c r="A68" s="4" t="str">
        <x:v>M3-P056</x:v>
      </x:c>
      <x:c r="B68" s="4" t="str">
        <x:v>67</x:v>
      </x:c>
      <x:c r="C68" s="4" t="str">
        <x:v>M3</x:v>
      </x:c>
      <x:c r="D68" s="4" t="str">
        <x:v>FINANCE_TRANSACTION</x:v>
      </x:c>
      <x:c r="E68" s="4" t="str">
        <x:v>P0</x:v>
      </x:c>
      <x:c r="F68" s="17" t="str">
        <x:v>福利卡＋微信支付成功</x:v>
      </x:c>
      <x:c r="G68" s="17" t="str">
        <x:v>§8企业采购、§9订单福利卡支付</x:v>
      </x:c>
      <x:c r="H68" s="4" t="str">
        <x:v>P0-056</x:v>
      </x:c>
      <x:c r="I68" s="4"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4" t="str">
        <x:v>NOT_STARTED</x:v>
      </x:c>
      <x:c r="N68" s="4" t="str">
        <x:v>NOT_EXECUTED</x:v>
      </x:c>
      <x:c r="O68" s="4" t="str">
        <x:v>UNASSIGNED</x:v>
      </x:c>
      <x:c r="P68" s="4" t="str"/>
      <x:c r="Q68" s="17" t="str">
        <x:v>codex/m3-m3-p056</x:v>
      </x:c>
      <x:c r="R68" s="4" t="str"/>
      <x:c r="S68" s="4" t="str"/>
      <x:c r="T68" s="4" t="str"/>
      <x:c r="U68" s="4" t="str"/>
      <x:c r="V68" s="4" t="str">
        <x:v>YES</x:v>
      </x:c>
      <x:c r="W68" s="17" t="str">
        <x:v>按原子提交回退；迁移仅向前修复</x:v>
      </x:c>
      <x:c r="X68" s="4" t="str"/>
      <x:c r="Y68" s="17" t="str"/>
    </x:row>
    <x:row r="69" ht="23" customHeight="1">
      <x:c r="A69" s="4" t="str">
        <x:v>M3-P057</x:v>
      </x:c>
      <x:c r="B69" s="4" t="str">
        <x:v>68</x:v>
      </x:c>
      <x:c r="C69" s="4" t="str">
        <x:v>M3</x:v>
      </x:c>
      <x:c r="D69" s="4" t="str">
        <x:v>FINANCE_TRANSACTION</x:v>
      </x:c>
      <x:c r="E69" s="4" t="str">
        <x:v>P0</x:v>
      </x:c>
      <x:c r="F69" s="17" t="str">
        <x:v>混合支付取消</x:v>
      </x:c>
      <x:c r="G69" s="17" t="str">
        <x:v>§8企业采购、§9订单福利卡支付</x:v>
      </x:c>
      <x:c r="H69" s="4" t="str">
        <x:v>P0-057</x:v>
      </x:c>
      <x:c r="I69" s="4"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4" t="str">
        <x:v>NOT_STARTED</x:v>
      </x:c>
      <x:c r="N69" s="4" t="str">
        <x:v>NOT_EXECUTED</x:v>
      </x:c>
      <x:c r="O69" s="4" t="str">
        <x:v>UNASSIGNED</x:v>
      </x:c>
      <x:c r="P69" s="4" t="str"/>
      <x:c r="Q69" s="17" t="str">
        <x:v>codex/m3-m3-p057</x:v>
      </x:c>
      <x:c r="R69" s="4" t="str"/>
      <x:c r="S69" s="4" t="str"/>
      <x:c r="T69" s="4" t="str"/>
      <x:c r="U69" s="4" t="str"/>
      <x:c r="V69" s="4" t="str">
        <x:v>YES</x:v>
      </x:c>
      <x:c r="W69" s="17" t="str">
        <x:v>按原子提交回退；迁移仅向前修复</x:v>
      </x:c>
      <x:c r="X69" s="4" t="str"/>
      <x:c r="Y69" s="17" t="str"/>
    </x:row>
    <x:row r="70" ht="23" customHeight="1">
      <x:c r="A70" s="4" t="str">
        <x:v>M3-P058</x:v>
      </x:c>
      <x:c r="B70" s="4" t="str">
        <x:v>69</x:v>
      </x:c>
      <x:c r="C70" s="4" t="str">
        <x:v>M3</x:v>
      </x:c>
      <x:c r="D70" s="4" t="str">
        <x:v>FINANCE_TRANSACTION</x:v>
      </x:c>
      <x:c r="E70" s="4" t="str">
        <x:v>P0</x:v>
      </x:c>
      <x:c r="F70" s="17" t="str">
        <x:v>混合支付拆分退款</x:v>
      </x:c>
      <x:c r="G70" s="17" t="str">
        <x:v>§8企业采购、§9订单福利卡支付</x:v>
      </x:c>
      <x:c r="H70" s="4" t="str">
        <x:v>P0-058</x:v>
      </x:c>
      <x:c r="I70" s="4"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4" t="str">
        <x:v>NOT_STARTED</x:v>
      </x:c>
      <x:c r="N70" s="4" t="str">
        <x:v>NOT_EXECUTED</x:v>
      </x:c>
      <x:c r="O70" s="4" t="str">
        <x:v>UNASSIGNED</x:v>
      </x:c>
      <x:c r="P70" s="4" t="str"/>
      <x:c r="Q70" s="17" t="str">
        <x:v>codex/m3-m3-p058</x:v>
      </x:c>
      <x:c r="R70" s="4" t="str"/>
      <x:c r="S70" s="4" t="str"/>
      <x:c r="T70" s="4" t="str"/>
      <x:c r="U70" s="4" t="str"/>
      <x:c r="V70" s="4" t="str">
        <x:v>YES</x:v>
      </x:c>
      <x:c r="W70" s="17" t="str">
        <x:v>按原子提交回退；迁移仅向前修复</x:v>
      </x:c>
      <x:c r="X70" s="4" t="str"/>
      <x:c r="Y70" s="17" t="str"/>
    </x:row>
    <x:row r="71" ht="23" customHeight="1">
      <x:c r="A71" s="4" t="str">
        <x:v>M3-P059</x:v>
      </x:c>
      <x:c r="B71" s="4" t="str">
        <x:v>70</x:v>
      </x:c>
      <x:c r="C71" s="4" t="str">
        <x:v>M3</x:v>
      </x:c>
      <x:c r="D71" s="4" t="str">
        <x:v>FINANCE_TRANSACTION</x:v>
      </x:c>
      <x:c r="E71" s="4" t="str">
        <x:v>P0</x:v>
      </x:c>
      <x:c r="F71" s="17" t="str">
        <x:v>福利卡账本</x:v>
      </x:c>
      <x:c r="G71" s="17" t="str">
        <x:v>§8企业采购、§9订单福利卡支付</x:v>
      </x:c>
      <x:c r="H71" s="4" t="str">
        <x:v>P0-059</x:v>
      </x:c>
      <x:c r="I71" s="4"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4" t="str">
        <x:v>NOT_STARTED</x:v>
      </x:c>
      <x:c r="N71" s="4" t="str">
        <x:v>NOT_EXECUTED</x:v>
      </x:c>
      <x:c r="O71" s="4" t="str">
        <x:v>UNASSIGNED</x:v>
      </x:c>
      <x:c r="P71" s="4" t="str"/>
      <x:c r="Q71" s="17" t="str">
        <x:v>codex/m3-m3-p059</x:v>
      </x:c>
      <x:c r="R71" s="4" t="str"/>
      <x:c r="S71" s="4" t="str"/>
      <x:c r="T71" s="4" t="str"/>
      <x:c r="U71" s="4" t="str"/>
      <x:c r="V71" s="4" t="str">
        <x:v>NO</x:v>
      </x:c>
      <x:c r="W71" s="17" t="str">
        <x:v>按原子提交回退；迁移仅向前修复</x:v>
      </x:c>
      <x:c r="X71" s="4" t="str"/>
      <x:c r="Y71" s="17" t="str"/>
    </x:row>
    <x:row r="72" ht="23" customHeight="1">
      <x:c r="A72" s="4" t="str">
        <x:v>M3-P062</x:v>
      </x:c>
      <x:c r="B72" s="4" t="str">
        <x:v>71</x:v>
      </x:c>
      <x:c r="C72" s="4" t="str">
        <x:v>M3</x:v>
      </x:c>
      <x:c r="D72" s="4" t="str">
        <x:v>BUSINESS_VERTICAL_SLICE</x:v>
      </x:c>
      <x:c r="E72" s="4" t="str">
        <x:v>P0</x:v>
      </x:c>
      <x:c r="F72" s="17" t="str">
        <x:v>多供应商企业主订单</x:v>
      </x:c>
      <x:c r="G72" s="17" t="str">
        <x:v>§8企业采购、§9订单福利卡支付</x:v>
      </x:c>
      <x:c r="H72" s="4" t="str">
        <x:v>P0-062</x:v>
      </x:c>
      <x:c r="I72" s="4"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4" t="str">
        <x:v>NOT_STARTED</x:v>
      </x:c>
      <x:c r="N72" s="4" t="str">
        <x:v>NOT_EXECUTED</x:v>
      </x:c>
      <x:c r="O72" s="4" t="str">
        <x:v>UNASSIGNED</x:v>
      </x:c>
      <x:c r="P72" s="4" t="str"/>
      <x:c r="Q72" s="17" t="str">
        <x:v>codex/m3-m3-p062</x:v>
      </x:c>
      <x:c r="R72" s="4" t="str"/>
      <x:c r="S72" s="4" t="str"/>
      <x:c r="T72" s="4" t="str"/>
      <x:c r="U72" s="4" t="str"/>
      <x:c r="V72" s="4" t="str">
        <x:v>NO</x:v>
      </x:c>
      <x:c r="W72" s="17" t="str">
        <x:v>按原子提交回退；迁移仅向前修复</x:v>
      </x:c>
      <x:c r="X72" s="4" t="str"/>
      <x:c r="Y72" s="17" t="str"/>
    </x:row>
    <x:row r="73" ht="23" customHeight="1">
      <x:c r="A73" s="4" t="str">
        <x:v>M3-P073</x:v>
      </x:c>
      <x:c r="B73" s="4" t="str">
        <x:v>72</x:v>
      </x:c>
      <x:c r="C73" s="4" t="str">
        <x:v>M3</x:v>
      </x:c>
      <x:c r="D73" s="4" t="str">
        <x:v>UI_VERTICAL_SLICE</x:v>
      </x:c>
      <x:c r="E73" s="4" t="str">
        <x:v>P0</x:v>
      </x:c>
      <x:c r="F73" s="17" t="str">
        <x:v>门户全站导航</x:v>
      </x:c>
      <x:c r="G73" s="17" t="str">
        <x:v>§8企业门户网站</x:v>
      </x:c>
      <x:c r="H73" s="4" t="str">
        <x:v>P0-073</x:v>
      </x:c>
      <x:c r="I73" s="4"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4" t="str">
        <x:v>NOT_STARTED</x:v>
      </x:c>
      <x:c r="N73" s="4" t="str">
        <x:v>NOT_EXECUTED</x:v>
      </x:c>
      <x:c r="O73" s="4" t="str">
        <x:v>UNASSIGNED</x:v>
      </x:c>
      <x:c r="P73" s="4" t="str"/>
      <x:c r="Q73" s="17" t="str">
        <x:v>codex/m3-m3-p073</x:v>
      </x:c>
      <x:c r="R73" s="4" t="str"/>
      <x:c r="S73" s="4" t="str"/>
      <x:c r="T73" s="4" t="str"/>
      <x:c r="U73" s="4" t="str"/>
      <x:c r="V73" s="4" t="str">
        <x:v>NO</x:v>
      </x:c>
      <x:c r="W73" s="17" t="str">
        <x:v>按原子提交回退；迁移仅向前修复</x:v>
      </x:c>
      <x:c r="X73" s="4" t="str"/>
      <x:c r="Y73" s="17" t="str"/>
    </x:row>
    <x:row r="74" ht="23" customHeight="1">
      <x:c r="A74" s="4" t="str">
        <x:v>M3-P074</x:v>
      </x:c>
      <x:c r="B74" s="4" t="str">
        <x:v>73</x:v>
      </x:c>
      <x:c r="C74" s="4" t="str">
        <x:v>M3</x:v>
      </x:c>
      <x:c r="D74" s="4" t="str">
        <x:v>UI_VERTICAL_SLICE</x:v>
      </x:c>
      <x:c r="E74" s="4" t="str">
        <x:v>P0</x:v>
      </x:c>
      <x:c r="F74" s="17" t="str">
        <x:v>门户首页闭环</x:v>
      </x:c>
      <x:c r="G74" s="17" t="str">
        <x:v>§8企业门户网站</x:v>
      </x:c>
      <x:c r="H74" s="4" t="str">
        <x:v>P0-074</x:v>
      </x:c>
      <x:c r="I74" s="4"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4" t="str">
        <x:v>NOT_STARTED</x:v>
      </x:c>
      <x:c r="N74" s="4" t="str">
        <x:v>NOT_EXECUTED</x:v>
      </x:c>
      <x:c r="O74" s="4" t="str">
        <x:v>UNASSIGNED</x:v>
      </x:c>
      <x:c r="P74" s="4" t="str"/>
      <x:c r="Q74" s="17" t="str">
        <x:v>codex/m3-m3-p074</x:v>
      </x:c>
      <x:c r="R74" s="4" t="str"/>
      <x:c r="S74" s="4" t="str"/>
      <x:c r="T74" s="4" t="str"/>
      <x:c r="U74" s="4" t="str"/>
      <x:c r="V74" s="4" t="str">
        <x:v>NO</x:v>
      </x:c>
      <x:c r="W74" s="17" t="str">
        <x:v>按原子提交回退；迁移仅向前修复</x:v>
      </x:c>
      <x:c r="X74" s="4" t="str"/>
      <x:c r="Y74" s="17" t="str"/>
    </x:row>
    <x:row r="75" ht="23" customHeight="1">
      <x:c r="A75" s="4" t="str">
        <x:v>M3-P075</x:v>
      </x:c>
      <x:c r="B75" s="4" t="str">
        <x:v>74</x:v>
      </x:c>
      <x:c r="C75" s="4" t="str">
        <x:v>M3</x:v>
      </x:c>
      <x:c r="D75" s="4" t="str">
        <x:v>UI_VERTICAL_SLICE</x:v>
      </x:c>
      <x:c r="E75" s="4" t="str">
        <x:v>P0</x:v>
      </x:c>
      <x:c r="F75" s="17" t="str">
        <x:v>企业宣传页面</x:v>
      </x:c>
      <x:c r="G75" s="17" t="str">
        <x:v>§8企业门户网站</x:v>
      </x:c>
      <x:c r="H75" s="4" t="str">
        <x:v>P0-075</x:v>
      </x:c>
      <x:c r="I75" s="4"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4" t="str">
        <x:v>NOT_STARTED</x:v>
      </x:c>
      <x:c r="N75" s="4" t="str">
        <x:v>NOT_EXECUTED</x:v>
      </x:c>
      <x:c r="O75" s="4" t="str">
        <x:v>UNASSIGNED</x:v>
      </x:c>
      <x:c r="P75" s="4" t="str"/>
      <x:c r="Q75" s="17" t="str">
        <x:v>codex/m3-m3-p075</x:v>
      </x:c>
      <x:c r="R75" s="4" t="str"/>
      <x:c r="S75" s="4" t="str"/>
      <x:c r="T75" s="4" t="str"/>
      <x:c r="U75" s="4" t="str"/>
      <x:c r="V75" s="4" t="str">
        <x:v>NO</x:v>
      </x:c>
      <x:c r="W75" s="17" t="str">
        <x:v>按原子提交回退；迁移仅向前修复</x:v>
      </x:c>
      <x:c r="X75" s="4" t="str"/>
      <x:c r="Y75" s="17" t="str"/>
    </x:row>
    <x:row r="76" ht="23" customHeight="1">
      <x:c r="A76" s="4" t="str">
        <x:v>M3-P076</x:v>
      </x:c>
      <x:c r="B76" s="4" t="str">
        <x:v>75</x:v>
      </x:c>
      <x:c r="C76" s="4" t="str">
        <x:v>M3</x:v>
      </x:c>
      <x:c r="D76" s="4" t="str">
        <x:v>UI_VERTICAL_SLICE</x:v>
      </x:c>
      <x:c r="E76" s="4" t="str">
        <x:v>P0</x:v>
      </x:c>
      <x:c r="F76" s="17" t="str">
        <x:v>供应商与福利服务页</x:v>
      </x:c>
      <x:c r="G76" s="17" t="str">
        <x:v>§8企业门户网站</x:v>
      </x:c>
      <x:c r="H76" s="4" t="str">
        <x:v>P0-076</x:v>
      </x:c>
      <x:c r="I76" s="4"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4" t="str">
        <x:v>NOT_STARTED</x:v>
      </x:c>
      <x:c r="N76" s="4" t="str">
        <x:v>NOT_EXECUTED</x:v>
      </x:c>
      <x:c r="O76" s="4" t="str">
        <x:v>UNASSIGNED</x:v>
      </x:c>
      <x:c r="P76" s="4" t="str"/>
      <x:c r="Q76" s="17" t="str">
        <x:v>codex/m3-m3-p076</x:v>
      </x:c>
      <x:c r="R76" s="4" t="str"/>
      <x:c r="S76" s="4" t="str"/>
      <x:c r="T76" s="4" t="str"/>
      <x:c r="U76" s="4" t="str"/>
      <x:c r="V76" s="4" t="str">
        <x:v>NO</x:v>
      </x:c>
      <x:c r="W76" s="17" t="str">
        <x:v>按原子提交回退；迁移仅向前修复</x:v>
      </x:c>
      <x:c r="X76" s="4" t="str"/>
      <x:c r="Y76" s="17" t="str"/>
    </x:row>
    <x:row r="77" ht="23" customHeight="1">
      <x:c r="A77" s="4" t="str">
        <x:v>M3-P077</x:v>
      </x:c>
      <x:c r="B77" s="4" t="str">
        <x:v>76</x:v>
      </x:c>
      <x:c r="C77" s="4" t="str">
        <x:v>M3</x:v>
      </x:c>
      <x:c r="D77" s="4" t="str">
        <x:v>UI_VERTICAL_SLICE</x:v>
      </x:c>
      <x:c r="E77" s="4" t="str">
        <x:v>P0</x:v>
      </x:c>
      <x:c r="F77" s="17" t="str">
        <x:v>企业注册认证界面</x:v>
      </x:c>
      <x:c r="G77" s="17" t="str">
        <x:v>§8企业门户网站</x:v>
      </x:c>
      <x:c r="H77" s="4" t="str">
        <x:v>P0-077</x:v>
      </x:c>
      <x:c r="I77" s="4"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4" t="str">
        <x:v>NOT_STARTED</x:v>
      </x:c>
      <x:c r="N77" s="4" t="str">
        <x:v>NOT_EXECUTED</x:v>
      </x:c>
      <x:c r="O77" s="4" t="str">
        <x:v>UNASSIGNED</x:v>
      </x:c>
      <x:c r="P77" s="4" t="str"/>
      <x:c r="Q77" s="17" t="str">
        <x:v>codex/m3-m3-p077</x:v>
      </x:c>
      <x:c r="R77" s="4" t="str"/>
      <x:c r="S77" s="4" t="str"/>
      <x:c r="T77" s="4" t="str"/>
      <x:c r="U77" s="4" t="str"/>
      <x:c r="V77" s="4" t="str">
        <x:v>YES</x:v>
      </x:c>
      <x:c r="W77" s="17" t="str">
        <x:v>按原子提交回退；迁移仅向前修复</x:v>
      </x:c>
      <x:c r="X77" s="4" t="str"/>
      <x:c r="Y77" s="17" t="str"/>
    </x:row>
    <x:row r="78" ht="23" customHeight="1">
      <x:c r="A78" s="4" t="str">
        <x:v>M3-P078</x:v>
      </x:c>
      <x:c r="B78" s="4" t="str">
        <x:v>77</x:v>
      </x:c>
      <x:c r="C78" s="4" t="str">
        <x:v>M3</x:v>
      </x:c>
      <x:c r="D78" s="4" t="str">
        <x:v>UI_VERTICAL_SLICE</x:v>
      </x:c>
      <x:c r="E78" s="4" t="str">
        <x:v>P0</x:v>
      </x:c>
      <x:c r="F78" s="17" t="str">
        <x:v>企业采购货架</x:v>
      </x:c>
      <x:c r="G78" s="17" t="str">
        <x:v>§8企业门户网站</x:v>
      </x:c>
      <x:c r="H78" s="4" t="str">
        <x:v>P0-078</x:v>
      </x:c>
      <x:c r="I78" s="4"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4" t="str">
        <x:v>NOT_STARTED</x:v>
      </x:c>
      <x:c r="N78" s="4" t="str">
        <x:v>NOT_EXECUTED</x:v>
      </x:c>
      <x:c r="O78" s="4" t="str">
        <x:v>UNASSIGNED</x:v>
      </x:c>
      <x:c r="P78" s="4" t="str"/>
      <x:c r="Q78" s="17" t="str">
        <x:v>codex/m3-m3-p078</x:v>
      </x:c>
      <x:c r="R78" s="4" t="str"/>
      <x:c r="S78" s="4" t="str"/>
      <x:c r="T78" s="4" t="str"/>
      <x:c r="U78" s="4" t="str"/>
      <x:c r="V78" s="4" t="str">
        <x:v>NO</x:v>
      </x:c>
      <x:c r="W78" s="17" t="str">
        <x:v>按原子提交回退；迁移仅向前修复</x:v>
      </x:c>
      <x:c r="X78" s="4" t="str"/>
      <x:c r="Y78" s="17" t="str"/>
    </x:row>
    <x:row r="79" ht="23" customHeight="1">
      <x:c r="A79" s="4" t="str">
        <x:v>M3-P079</x:v>
      </x:c>
      <x:c r="B79" s="4" t="str">
        <x:v>78</x:v>
      </x:c>
      <x:c r="C79" s="4" t="str">
        <x:v>M3</x:v>
      </x:c>
      <x:c r="D79" s="4" t="str">
        <x:v>UI_VERTICAL_SLICE</x:v>
      </x:c>
      <x:c r="E79" s="4" t="str">
        <x:v>P0</x:v>
      </x:c>
      <x:c r="F79" s="17" t="str">
        <x:v>采购车与结算界面</x:v>
      </x:c>
      <x:c r="G79" s="17" t="str">
        <x:v>§8企业门户网站</x:v>
      </x:c>
      <x:c r="H79" s="4" t="str">
        <x:v>P0-079</x:v>
      </x:c>
      <x:c r="I79" s="4"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4" t="str">
        <x:v>NOT_STARTED</x:v>
      </x:c>
      <x:c r="N79" s="4" t="str">
        <x:v>NOT_EXECUTED</x:v>
      </x:c>
      <x:c r="O79" s="4" t="str">
        <x:v>UNASSIGNED</x:v>
      </x:c>
      <x:c r="P79" s="4" t="str"/>
      <x:c r="Q79" s="17" t="str">
        <x:v>codex/m3-m3-p079</x:v>
      </x:c>
      <x:c r="R79" s="4" t="str"/>
      <x:c r="S79" s="4" t="str"/>
      <x:c r="T79" s="4" t="str"/>
      <x:c r="U79" s="4" t="str"/>
      <x:c r="V79" s="4" t="str">
        <x:v>NO</x:v>
      </x:c>
      <x:c r="W79" s="17" t="str">
        <x:v>按原子提交回退；迁移仅向前修复</x:v>
      </x:c>
      <x:c r="X79" s="4" t="str"/>
      <x:c r="Y79" s="17" t="str"/>
    </x:row>
    <x:row r="80" ht="23" customHeight="1">
      <x:c r="A80" s="4" t="str">
        <x:v>M3-P080</x:v>
      </x:c>
      <x:c r="B80" s="4" t="str">
        <x:v>79</x:v>
      </x:c>
      <x:c r="C80" s="4" t="str">
        <x:v>M3</x:v>
      </x:c>
      <x:c r="D80" s="4" t="str">
        <x:v>UI_VERTICAL_SLICE</x:v>
      </x:c>
      <x:c r="E80" s="4" t="str">
        <x:v>P0</x:v>
      </x:c>
      <x:c r="F80" s="17" t="str">
        <x:v>企业工作台与订单</x:v>
      </x:c>
      <x:c r="G80" s="17" t="str">
        <x:v>§8企业门户网站</x:v>
      </x:c>
      <x:c r="H80" s="4" t="str">
        <x:v>P0-080</x:v>
      </x:c>
      <x:c r="I80" s="4"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4" t="str">
        <x:v>NOT_STARTED</x:v>
      </x:c>
      <x:c r="N80" s="4" t="str">
        <x:v>NOT_EXECUTED</x:v>
      </x:c>
      <x:c r="O80" s="4" t="str">
        <x:v>UNASSIGNED</x:v>
      </x:c>
      <x:c r="P80" s="4" t="str"/>
      <x:c r="Q80" s="17" t="str">
        <x:v>codex/m3-m3-p080</x:v>
      </x:c>
      <x:c r="R80" s="4" t="str"/>
      <x:c r="S80" s="4" t="str"/>
      <x:c r="T80" s="4" t="str"/>
      <x:c r="U80" s="4" t="str"/>
      <x:c r="V80" s="4" t="str">
        <x:v>NO</x:v>
      </x:c>
      <x:c r="W80" s="17" t="str">
        <x:v>按原子提交回退；迁移仅向前修复</x:v>
      </x:c>
      <x:c r="X80" s="4" t="str"/>
      <x:c r="Y80" s="17" t="str"/>
    </x:row>
    <x:row r="81" ht="23" customHeight="1">
      <x:c r="A81" s="4" t="str">
        <x:v>M3-P081</x:v>
      </x:c>
      <x:c r="B81" s="4" t="str">
        <x:v>80</x:v>
      </x:c>
      <x:c r="C81" s="4" t="str">
        <x:v>M3</x:v>
      </x:c>
      <x:c r="D81" s="4" t="str">
        <x:v>UI_VERTICAL_SLICE</x:v>
      </x:c>
      <x:c r="E81" s="4" t="str">
        <x:v>P0</x:v>
      </x:c>
      <x:c r="F81" s="17" t="str">
        <x:v>响应式与页面状态</x:v>
      </x:c>
      <x:c r="G81" s="17" t="str">
        <x:v>§8企业门户网站</x:v>
      </x:c>
      <x:c r="H81" s="4" t="str">
        <x:v>P0-081</x:v>
      </x:c>
      <x:c r="I81" s="4"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4" t="str">
        <x:v>NOT_STARTED</x:v>
      </x:c>
      <x:c r="N81" s="4" t="str">
        <x:v>NOT_EXECUTED</x:v>
      </x:c>
      <x:c r="O81" s="4" t="str">
        <x:v>UNASSIGNED</x:v>
      </x:c>
      <x:c r="P81" s="4" t="str"/>
      <x:c r="Q81" s="17" t="str">
        <x:v>codex/m3-m3-p081</x:v>
      </x:c>
      <x:c r="R81" s="4" t="str"/>
      <x:c r="S81" s="4" t="str"/>
      <x:c r="T81" s="4" t="str"/>
      <x:c r="U81" s="4" t="str"/>
      <x:c r="V81" s="4" t="str">
        <x:v>NO</x:v>
      </x:c>
      <x:c r="W81" s="17" t="str">
        <x:v>按原子提交回退；迁移仅向前修复</x:v>
      </x:c>
      <x:c r="X81" s="4" t="str"/>
      <x:c r="Y81" s="17" t="str"/>
    </x:row>
    <x:row r="82" ht="23" customHeight="1">
      <x:c r="A82" s="4" t="str">
        <x:v>M3-P083</x:v>
      </x:c>
      <x:c r="B82" s="4" t="str">
        <x:v>81</x:v>
      </x:c>
      <x:c r="C82" s="4" t="str">
        <x:v>M3</x:v>
      </x:c>
      <x:c r="D82" s="4" t="str">
        <x:v>UI_VERTICAL_SLICE</x:v>
      </x:c>
      <x:c r="E82" s="4" t="str">
        <x:v>P0</x:v>
      </x:c>
      <x:c r="F82" s="17" t="str">
        <x:v>用户小程序定位与入口隔离</x:v>
      </x:c>
      <x:c r="G82" s="17" t="str">
        <x:v>§7用户小程序</x:v>
      </x:c>
      <x:c r="H82" s="4" t="str">
        <x:v>P0-083</x:v>
      </x:c>
      <x:c r="I82" s="4"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4" t="str">
        <x:v>NOT_STARTED</x:v>
      </x:c>
      <x:c r="N82" s="4" t="str">
        <x:v>NOT_EXECUTED</x:v>
      </x:c>
      <x:c r="O82" s="4" t="str">
        <x:v>UNASSIGNED</x:v>
      </x:c>
      <x:c r="P82" s="4" t="str"/>
      <x:c r="Q82" s="17" t="str">
        <x:v>codex/m3-m3-p083</x:v>
      </x:c>
      <x:c r="R82" s="4" t="str"/>
      <x:c r="S82" s="4" t="str"/>
      <x:c r="T82" s="4" t="str"/>
      <x:c r="U82" s="4" t="str"/>
      <x:c r="V82" s="4" t="str">
        <x:v>YES</x:v>
      </x:c>
      <x:c r="W82" s="17" t="str">
        <x:v>按原子提交回退；迁移仅向前修复</x:v>
      </x:c>
      <x:c r="X82" s="4" t="str"/>
      <x:c r="Y82" s="17" t="str"/>
    </x:row>
    <x:row r="83" ht="23" customHeight="1">
      <x:c r="A83" s="4" t="str">
        <x:v>M3-P084</x:v>
      </x:c>
      <x:c r="B83" s="4" t="str">
        <x:v>82</x:v>
      </x:c>
      <x:c r="C83" s="4" t="str">
        <x:v>M3</x:v>
      </x:c>
      <x:c r="D83" s="4" t="str">
        <x:v>UI_VERTICAL_SLICE</x:v>
      </x:c>
      <x:c r="E83" s="4" t="str">
        <x:v>P0</x:v>
      </x:c>
      <x:c r="F83" s="17" t="str">
        <x:v>小程序导航与页面路径</x:v>
      </x:c>
      <x:c r="G83" s="17" t="str">
        <x:v>§7用户小程序</x:v>
      </x:c>
      <x:c r="H83" s="4" t="str">
        <x:v>P0-084</x:v>
      </x:c>
      <x:c r="I83" s="4"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4" t="str">
        <x:v>NOT_STARTED</x:v>
      </x:c>
      <x:c r="N83" s="4" t="str">
        <x:v>NOT_EXECUTED</x:v>
      </x:c>
      <x:c r="O83" s="4" t="str">
        <x:v>UNASSIGNED</x:v>
      </x:c>
      <x:c r="P83" s="4" t="str"/>
      <x:c r="Q83" s="17" t="str">
        <x:v>codex/m3-m3-p084</x:v>
      </x:c>
      <x:c r="R83" s="4" t="str"/>
      <x:c r="S83" s="4" t="str"/>
      <x:c r="T83" s="4" t="str"/>
      <x:c r="U83" s="4" t="str"/>
      <x:c r="V83" s="4" t="str">
        <x:v>YES</x:v>
      </x:c>
      <x:c r="W83" s="17" t="str">
        <x:v>按原子提交回退；迁移仅向前修复</x:v>
      </x:c>
      <x:c r="X83" s="4" t="str"/>
      <x:c r="Y83" s="17" t="str"/>
    </x:row>
    <x:row r="84" ht="23" customHeight="1">
      <x:c r="A84" s="4" t="str">
        <x:v>M3-P085</x:v>
      </x:c>
      <x:c r="B84" s="4" t="str">
        <x:v>83</x:v>
      </x:c>
      <x:c r="C84" s="4" t="str">
        <x:v>M3</x:v>
      </x:c>
      <x:c r="D84" s="4" t="str">
        <x:v>UI_VERTICAL_SLICE</x:v>
      </x:c>
      <x:c r="E84" s="4" t="str">
        <x:v>P0</x:v>
      </x:c>
      <x:c r="F84" s="17" t="str">
        <x:v>按需登录与授权</x:v>
      </x:c>
      <x:c r="G84" s="17" t="str">
        <x:v>§7用户小程序</x:v>
      </x:c>
      <x:c r="H84" s="4" t="str">
        <x:v>P0-085</x:v>
      </x:c>
      <x:c r="I84" s="4"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4" t="str">
        <x:v>NOT_STARTED</x:v>
      </x:c>
      <x:c r="N84" s="4" t="str">
        <x:v>NOT_EXECUTED</x:v>
      </x:c>
      <x:c r="O84" s="4" t="str">
        <x:v>UNASSIGNED</x:v>
      </x:c>
      <x:c r="P84" s="4" t="str"/>
      <x:c r="Q84" s="17" t="str">
        <x:v>codex/m3-m3-p085</x:v>
      </x:c>
      <x:c r="R84" s="4" t="str"/>
      <x:c r="S84" s="4" t="str"/>
      <x:c r="T84" s="4" t="str"/>
      <x:c r="U84" s="4" t="str"/>
      <x:c r="V84" s="4" t="str">
        <x:v>YES</x:v>
      </x:c>
      <x:c r="W84" s="17" t="str">
        <x:v>按原子提交回退；迁移仅向前修复</x:v>
      </x:c>
      <x:c r="X84" s="4" t="str"/>
      <x:c r="Y84" s="17" t="str"/>
    </x:row>
    <x:row r="85" ht="23" customHeight="1">
      <x:c r="A85" s="4" t="str">
        <x:v>M3-P086</x:v>
      </x:c>
      <x:c r="B85" s="4" t="str">
        <x:v>84</x:v>
      </x:c>
      <x:c r="C85" s="4" t="str">
        <x:v>M3</x:v>
      </x:c>
      <x:c r="D85" s="4" t="str">
        <x:v>UI_VERTICAL_SLICE</x:v>
      </x:c>
      <x:c r="E85" s="4" t="str">
        <x:v>P0</x:v>
      </x:c>
      <x:c r="F85" s="17" t="str">
        <x:v>小程序首页</x:v>
      </x:c>
      <x:c r="G85" s="17" t="str">
        <x:v>§7用户小程序</x:v>
      </x:c>
      <x:c r="H85" s="4" t="str">
        <x:v>P0-086</x:v>
      </x:c>
      <x:c r="I85" s="4"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4" t="str">
        <x:v>NOT_STARTED</x:v>
      </x:c>
      <x:c r="N85" s="4" t="str">
        <x:v>NOT_EXECUTED</x:v>
      </x:c>
      <x:c r="O85" s="4" t="str">
        <x:v>UNASSIGNED</x:v>
      </x:c>
      <x:c r="P85" s="4" t="str"/>
      <x:c r="Q85" s="17" t="str">
        <x:v>codex/m3-m3-p086</x:v>
      </x:c>
      <x:c r="R85" s="4" t="str"/>
      <x:c r="S85" s="4" t="str"/>
      <x:c r="T85" s="4" t="str"/>
      <x:c r="U85" s="4" t="str"/>
      <x:c r="V85" s="4" t="str">
        <x:v>YES</x:v>
      </x:c>
      <x:c r="W85" s="17" t="str">
        <x:v>按原子提交回退；迁移仅向前修复</x:v>
      </x:c>
      <x:c r="X85" s="4" t="str"/>
      <x:c r="Y85" s="17" t="str"/>
    </x:row>
    <x:row r="86" ht="23" customHeight="1">
      <x:c r="A86" s="4" t="str">
        <x:v>M3-P087</x:v>
      </x:c>
      <x:c r="B86" s="4" t="str">
        <x:v>85</x:v>
      </x:c>
      <x:c r="C86" s="4" t="str">
        <x:v>M3</x:v>
      </x:c>
      <x:c r="D86" s="4" t="str">
        <x:v>UI_VERTICAL_SLICE</x:v>
      </x:c>
      <x:c r="E86" s="4" t="str">
        <x:v>P0</x:v>
      </x:c>
      <x:c r="F86" s="17" t="str">
        <x:v>分类、搜索与列表</x:v>
      </x:c>
      <x:c r="G86" s="17" t="str">
        <x:v>§7用户小程序</x:v>
      </x:c>
      <x:c r="H86" s="4" t="str">
        <x:v>P0-087</x:v>
      </x:c>
      <x:c r="I86" s="4"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4" t="str">
        <x:v>NOT_STARTED</x:v>
      </x:c>
      <x:c r="N86" s="4" t="str">
        <x:v>NOT_EXECUTED</x:v>
      </x:c>
      <x:c r="O86" s="4" t="str">
        <x:v>UNASSIGNED</x:v>
      </x:c>
      <x:c r="P86" s="4" t="str"/>
      <x:c r="Q86" s="17" t="str">
        <x:v>codex/m3-m3-p087</x:v>
      </x:c>
      <x:c r="R86" s="4" t="str"/>
      <x:c r="S86" s="4" t="str"/>
      <x:c r="T86" s="4" t="str"/>
      <x:c r="U86" s="4" t="str"/>
      <x:c r="V86" s="4" t="str">
        <x:v>YES</x:v>
      </x:c>
      <x:c r="W86" s="17" t="str">
        <x:v>按原子提交回退；迁移仅向前修复</x:v>
      </x:c>
      <x:c r="X86" s="4" t="str"/>
      <x:c r="Y86" s="17" t="str"/>
    </x:row>
    <x:row r="87" ht="23" customHeight="1">
      <x:c r="A87" s="4" t="str">
        <x:v>M3-P088</x:v>
      </x:c>
      <x:c r="B87" s="4" t="str">
        <x:v>86</x:v>
      </x:c>
      <x:c r="C87" s="4" t="str">
        <x:v>M3</x:v>
      </x:c>
      <x:c r="D87" s="4" t="str">
        <x:v>UI_VERTICAL_SLICE</x:v>
      </x:c>
      <x:c r="E87" s="4" t="str">
        <x:v>P0</x:v>
      </x:c>
      <x:c r="F87" s="17" t="str">
        <x:v>模板化商品详情</x:v>
      </x:c>
      <x:c r="G87" s="17" t="str">
        <x:v>§7用户小程序</x:v>
      </x:c>
      <x:c r="H87" s="4" t="str">
        <x:v>P0-088</x:v>
      </x:c>
      <x:c r="I87" s="4"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4" t="str">
        <x:v>NOT_STARTED</x:v>
      </x:c>
      <x:c r="N87" s="4" t="str">
        <x:v>NOT_EXECUTED</x:v>
      </x:c>
      <x:c r="O87" s="4" t="str">
        <x:v>UNASSIGNED</x:v>
      </x:c>
      <x:c r="P87" s="4" t="str"/>
      <x:c r="Q87" s="17" t="str">
        <x:v>codex/m3-m3-p088</x:v>
      </x:c>
      <x:c r="R87" s="4" t="str"/>
      <x:c r="S87" s="4" t="str"/>
      <x:c r="T87" s="4" t="str"/>
      <x:c r="U87" s="4" t="str"/>
      <x:c r="V87" s="4" t="str">
        <x:v>YES</x:v>
      </x:c>
      <x:c r="W87" s="17" t="str">
        <x:v>按原子提交回退；迁移仅向前修复</x:v>
      </x:c>
      <x:c r="X87" s="4" t="str"/>
      <x:c r="Y87" s="17" t="str"/>
    </x:row>
    <x:row r="88" ht="23" customHeight="1">
      <x:c r="A88" s="4" t="str">
        <x:v>M3-P089</x:v>
      </x:c>
      <x:c r="B88" s="4" t="str">
        <x:v>87</x:v>
      </x:c>
      <x:c r="C88" s="4" t="str">
        <x:v>M3</x:v>
      </x:c>
      <x:c r="D88" s="4" t="str">
        <x:v>UI_VERTICAL_SLICE</x:v>
      </x:c>
      <x:c r="E88" s="4" t="str">
        <x:v>P0</x:v>
      </x:c>
      <x:c r="F88" s="17" t="str">
        <x:v>看他还卖什么边界</x:v>
      </x:c>
      <x:c r="G88" s="17" t="str">
        <x:v>§7用户小程序</x:v>
      </x:c>
      <x:c r="H88" s="4" t="str">
        <x:v>P0-089</x:v>
      </x:c>
      <x:c r="I88" s="4"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4" t="str">
        <x:v>NOT_STARTED</x:v>
      </x:c>
      <x:c r="N88" s="4" t="str">
        <x:v>NOT_EXECUTED</x:v>
      </x:c>
      <x:c r="O88" s="4" t="str">
        <x:v>UNASSIGNED</x:v>
      </x:c>
      <x:c r="P88" s="4" t="str"/>
      <x:c r="Q88" s="17" t="str">
        <x:v>codex/m3-m3-p089</x:v>
      </x:c>
      <x:c r="R88" s="4" t="str"/>
      <x:c r="S88" s="4" t="str"/>
      <x:c r="T88" s="4" t="str"/>
      <x:c r="U88" s="4" t="str"/>
      <x:c r="V88" s="4" t="str">
        <x:v>YES</x:v>
      </x:c>
      <x:c r="W88" s="17" t="str">
        <x:v>按原子提交回退；迁移仅向前修复</x:v>
      </x:c>
      <x:c r="X88" s="4" t="str"/>
      <x:c r="Y88" s="17" t="str"/>
    </x:row>
    <x:row r="89" ht="23" customHeight="1">
      <x:c r="A89" s="4" t="str">
        <x:v>M3-P090</x:v>
      </x:c>
      <x:c r="B89" s="4" t="str">
        <x:v>88</x:v>
      </x:c>
      <x:c r="C89" s="4" t="str">
        <x:v>M3</x:v>
      </x:c>
      <x:c r="D89" s="4" t="str">
        <x:v>UI_VERTICAL_SLICE</x:v>
      </x:c>
      <x:c r="E89" s="4" t="str">
        <x:v>P0</x:v>
      </x:c>
      <x:c r="F89" s="17" t="str">
        <x:v>跨供应商购物车</x:v>
      </x:c>
      <x:c r="G89" s="17" t="str">
        <x:v>§7用户小程序</x:v>
      </x:c>
      <x:c r="H89" s="4" t="str">
        <x:v>P0-090</x:v>
      </x:c>
      <x:c r="I89" s="4"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4" t="str">
        <x:v>NOT_STARTED</x:v>
      </x:c>
      <x:c r="N89" s="4" t="str">
        <x:v>NOT_EXECUTED</x:v>
      </x:c>
      <x:c r="O89" s="4" t="str">
        <x:v>UNASSIGNED</x:v>
      </x:c>
      <x:c r="P89" s="4" t="str"/>
      <x:c r="Q89" s="17" t="str">
        <x:v>codex/m3-m3-p090</x:v>
      </x:c>
      <x:c r="R89" s="4" t="str"/>
      <x:c r="S89" s="4" t="str"/>
      <x:c r="T89" s="4" t="str"/>
      <x:c r="U89" s="4" t="str"/>
      <x:c r="V89" s="4" t="str">
        <x:v>YES</x:v>
      </x:c>
      <x:c r="W89" s="17" t="str">
        <x:v>按原子提交回退；迁移仅向前修复</x:v>
      </x:c>
      <x:c r="X89" s="4" t="str"/>
      <x:c r="Y89" s="17" t="str"/>
    </x:row>
    <x:row r="90" ht="23" customHeight="1">
      <x:c r="A90" s="4" t="str">
        <x:v>M3-P091</x:v>
      </x:c>
      <x:c r="B90" s="4" t="str">
        <x:v>89</x:v>
      </x:c>
      <x:c r="C90" s="4" t="str">
        <x:v>M3</x:v>
      </x:c>
      <x:c r="D90" s="4" t="str">
        <x:v>UI_VERTICAL_SLICE</x:v>
      </x:c>
      <x:c r="E90" s="4" t="str">
        <x:v>P0</x:v>
      </x:c>
      <x:c r="F90" s="17" t="str">
        <x:v>确认订单界面</x:v>
      </x:c>
      <x:c r="G90" s="17" t="str">
        <x:v>§7用户小程序</x:v>
      </x:c>
      <x:c r="H90" s="4" t="str">
        <x:v>P0-091</x:v>
      </x:c>
      <x:c r="I90" s="4"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4" t="str">
        <x:v>NOT_STARTED</x:v>
      </x:c>
      <x:c r="N90" s="4" t="str">
        <x:v>NOT_EXECUTED</x:v>
      </x:c>
      <x:c r="O90" s="4" t="str">
        <x:v>UNASSIGNED</x:v>
      </x:c>
      <x:c r="P90" s="4" t="str"/>
      <x:c r="Q90" s="17" t="str">
        <x:v>codex/m3-m3-p091</x:v>
      </x:c>
      <x:c r="R90" s="4" t="str"/>
      <x:c r="S90" s="4" t="str"/>
      <x:c r="T90" s="4" t="str"/>
      <x:c r="U90" s="4" t="str"/>
      <x:c r="V90" s="4" t="str">
        <x:v>YES</x:v>
      </x:c>
      <x:c r="W90" s="17" t="str">
        <x:v>按原子提交回退；迁移仅向前修复</x:v>
      </x:c>
      <x:c r="X90" s="4" t="str"/>
      <x:c r="Y90" s="17" t="str"/>
    </x:row>
    <x:row r="91" ht="23" customHeight="1">
      <x:c r="A91" s="4" t="str">
        <x:v>M3-P092</x:v>
      </x:c>
      <x:c r="B91" s="4" t="str">
        <x:v>90</x:v>
      </x:c>
      <x:c r="C91" s="4" t="str">
        <x:v>M3</x:v>
      </x:c>
      <x:c r="D91" s="4" t="str">
        <x:v>UI_VERTICAL_SLICE</x:v>
      </x:c>
      <x:c r="E91" s="4" t="str">
        <x:v>P0</x:v>
      </x:c>
      <x:c r="F91" s="17" t="str">
        <x:v>福利卡账户选择</x:v>
      </x:c>
      <x:c r="G91" s="17" t="str">
        <x:v>§7用户小程序</x:v>
      </x:c>
      <x:c r="H91" s="4" t="str">
        <x:v>P0-092</x:v>
      </x:c>
      <x:c r="I91" s="4"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4" t="str">
        <x:v>NOT_STARTED</x:v>
      </x:c>
      <x:c r="N91" s="4" t="str">
        <x:v>NOT_EXECUTED</x:v>
      </x:c>
      <x:c r="O91" s="4" t="str">
        <x:v>UNASSIGNED</x:v>
      </x:c>
      <x:c r="P91" s="4" t="str"/>
      <x:c r="Q91" s="17" t="str">
        <x:v>codex/m3-m3-p092</x:v>
      </x:c>
      <x:c r="R91" s="4" t="str"/>
      <x:c r="S91" s="4" t="str"/>
      <x:c r="T91" s="4" t="str"/>
      <x:c r="U91" s="4" t="str"/>
      <x:c r="V91" s="4" t="str">
        <x:v>YES</x:v>
      </x:c>
      <x:c r="W91" s="17" t="str">
        <x:v>按原子提交回退；迁移仅向前修复</x:v>
      </x:c>
      <x:c r="X91" s="4" t="str"/>
      <x:c r="Y91" s="17" t="str"/>
    </x:row>
    <x:row r="92" ht="23" customHeight="1">
      <x:c r="A92" s="4" t="str">
        <x:v>M3-P093</x:v>
      </x:c>
      <x:c r="B92" s="4" t="str">
        <x:v>91</x:v>
      </x:c>
      <x:c r="C92" s="4" t="str">
        <x:v>M3</x:v>
      </x:c>
      <x:c r="D92" s="4" t="str">
        <x:v>FINANCE_TRANSACTION</x:v>
      </x:c>
      <x:c r="E92" s="4" t="str">
        <x:v>P0</x:v>
      </x:c>
      <x:c r="F92" s="17" t="str">
        <x:v>微信支付与结果恢复</x:v>
      </x:c>
      <x:c r="G92" s="17" t="str">
        <x:v>§7用户小程序</x:v>
      </x:c>
      <x:c r="H92" s="4" t="str">
        <x:v>P0-093</x:v>
      </x:c>
      <x:c r="I92" s="4"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4" t="str">
        <x:v>NOT_STARTED</x:v>
      </x:c>
      <x:c r="N92" s="4" t="str">
        <x:v>NOT_EXECUTED</x:v>
      </x:c>
      <x:c r="O92" s="4" t="str">
        <x:v>UNASSIGNED</x:v>
      </x:c>
      <x:c r="P92" s="4" t="str"/>
      <x:c r="Q92" s="17" t="str">
        <x:v>codex/m3-m3-p093</x:v>
      </x:c>
      <x:c r="R92" s="4" t="str"/>
      <x:c r="S92" s="4" t="str"/>
      <x:c r="T92" s="4" t="str"/>
      <x:c r="U92" s="4" t="str"/>
      <x:c r="V92" s="4" t="str">
        <x:v>YES</x:v>
      </x:c>
      <x:c r="W92" s="17" t="str">
        <x:v>按原子提交回退；迁移仅向前修复</x:v>
      </x:c>
      <x:c r="X92" s="4" t="str"/>
      <x:c r="Y92" s="17" t="str"/>
    </x:row>
    <x:row r="93" ht="23" customHeight="1">
      <x:c r="A93" s="4" t="str">
        <x:v>M3-P094</x:v>
      </x:c>
      <x:c r="B93" s="4" t="str">
        <x:v>92</x:v>
      </x:c>
      <x:c r="C93" s="4" t="str">
        <x:v>M3</x:v>
      </x:c>
      <x:c r="D93" s="4" t="str">
        <x:v>UI_VERTICAL_SLICE</x:v>
      </x:c>
      <x:c r="E93" s="4" t="str">
        <x:v>P0</x:v>
      </x:c>
      <x:c r="F93" s="17" t="str">
        <x:v>个人订单界面</x:v>
      </x:c>
      <x:c r="G93" s="17" t="str">
        <x:v>§7用户小程序</x:v>
      </x:c>
      <x:c r="H93" s="4" t="str">
        <x:v>P0-094</x:v>
      </x:c>
      <x:c r="I93" s="4"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4" t="str">
        <x:v>NOT_STARTED</x:v>
      </x:c>
      <x:c r="N93" s="4" t="str">
        <x:v>NOT_EXECUTED</x:v>
      </x:c>
      <x:c r="O93" s="4" t="str">
        <x:v>UNASSIGNED</x:v>
      </x:c>
      <x:c r="P93" s="4" t="str"/>
      <x:c r="Q93" s="17" t="str">
        <x:v>codex/m3-m3-p094</x:v>
      </x:c>
      <x:c r="R93" s="4" t="str"/>
      <x:c r="S93" s="4" t="str"/>
      <x:c r="T93" s="4" t="str"/>
      <x:c r="U93" s="4" t="str"/>
      <x:c r="V93" s="4" t="str">
        <x:v>YES</x:v>
      </x:c>
      <x:c r="W93" s="17" t="str">
        <x:v>按原子提交回退；迁移仅向前修复</x:v>
      </x:c>
      <x:c r="X93" s="4" t="str"/>
      <x:c r="Y93" s="17" t="str"/>
    </x:row>
    <x:row r="94" ht="23" customHeight="1">
      <x:c r="A94" s="4" t="str">
        <x:v>M3-P096</x:v>
      </x:c>
      <x:c r="B94" s="4" t="str">
        <x:v>93</x:v>
      </x:c>
      <x:c r="C94" s="4" t="str">
        <x:v>M3</x:v>
      </x:c>
      <x:c r="D94" s="4" t="str">
        <x:v>FINANCE_TRANSACTION</x:v>
      </x:c>
      <x:c r="E94" s="4" t="str">
        <x:v>P0</x:v>
      </x:c>
      <x:c r="F94" s="17" t="str">
        <x:v>小程序售后退款</x:v>
      </x:c>
      <x:c r="G94" s="17" t="str">
        <x:v>§7用户小程序</x:v>
      </x:c>
      <x:c r="H94" s="4" t="str">
        <x:v>P0-096</x:v>
      </x:c>
      <x:c r="I94" s="4"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4" t="str">
        <x:v>NOT_STARTED</x:v>
      </x:c>
      <x:c r="N94" s="4" t="str">
        <x:v>NOT_EXECUTED</x:v>
      </x:c>
      <x:c r="O94" s="4" t="str">
        <x:v>UNASSIGNED</x:v>
      </x:c>
      <x:c r="P94" s="4" t="str"/>
      <x:c r="Q94" s="17" t="str">
        <x:v>codex/m3-m3-p096</x:v>
      </x:c>
      <x:c r="R94" s="4" t="str"/>
      <x:c r="S94" s="4" t="str"/>
      <x:c r="T94" s="4" t="str"/>
      <x:c r="U94" s="4" t="str"/>
      <x:c r="V94" s="4" t="str">
        <x:v>YES</x:v>
      </x:c>
      <x:c r="W94" s="17" t="str">
        <x:v>按原子提交回退；迁移仅向前修复</x:v>
      </x:c>
      <x:c r="X94" s="4" t="str"/>
      <x:c r="Y94" s="17" t="str"/>
    </x:row>
    <x:row r="95" ht="23" customHeight="1">
      <x:c r="A95" s="4" t="str">
        <x:v>M3-P097</x:v>
      </x:c>
      <x:c r="B95" s="4" t="str">
        <x:v>94</x:v>
      </x:c>
      <x:c r="C95" s="4" t="str">
        <x:v>M3</x:v>
      </x:c>
      <x:c r="D95" s="4" t="str">
        <x:v>LOGISTICS_STATE_MACHINE</x:v>
      </x:c>
      <x:c r="E95" s="4" t="str">
        <x:v>P0</x:v>
      </x:c>
      <x:c r="F95" s="17" t="str">
        <x:v>福利卡与个人中心</x:v>
      </x:c>
      <x:c r="G95" s="17" t="str">
        <x:v>§7用户小程序</x:v>
      </x:c>
      <x:c r="H95" s="4" t="str">
        <x:v>P0-097</x:v>
      </x:c>
      <x:c r="I95" s="4"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4" t="str">
        <x:v>NOT_STARTED</x:v>
      </x:c>
      <x:c r="N95" s="4" t="str">
        <x:v>NOT_EXECUTED</x:v>
      </x:c>
      <x:c r="O95" s="4" t="str">
        <x:v>UNASSIGNED</x:v>
      </x:c>
      <x:c r="P95" s="4" t="str"/>
      <x:c r="Q95" s="17" t="str">
        <x:v>codex/m3-m3-p097</x:v>
      </x:c>
      <x:c r="R95" s="4" t="str"/>
      <x:c r="S95" s="4" t="str"/>
      <x:c r="T95" s="4" t="str"/>
      <x:c r="U95" s="4" t="str"/>
      <x:c r="V95" s="4" t="str">
        <x:v>YES</x:v>
      </x:c>
      <x:c r="W95" s="17" t="str">
        <x:v>按原子提交回退；迁移仅向前修复</x:v>
      </x:c>
      <x:c r="X95" s="4" t="str"/>
      <x:c r="Y95" s="17" t="str"/>
    </x:row>
    <x:row r="96" ht="23" customHeight="1">
      <x:c r="A96" s="4" t="str">
        <x:v>M3-P098</x:v>
      </x:c>
      <x:c r="B96" s="4" t="str">
        <x:v>95</x:v>
      </x:c>
      <x:c r="C96" s="4" t="str">
        <x:v>M3</x:v>
      </x:c>
      <x:c r="D96" s="4" t="str">
        <x:v>SECURITY</x:v>
      </x:c>
      <x:c r="E96" s="4" t="str">
        <x:v>P0</x:v>
      </x:c>
      <x:c r="F96" s="17" t="str">
        <x:v>小程序质量与安全</x:v>
      </x:c>
      <x:c r="G96" s="17" t="str">
        <x:v>§7用户小程序</x:v>
      </x:c>
      <x:c r="H96" s="4" t="str">
        <x:v>P0-098</x:v>
      </x:c>
      <x:c r="I96" s="4"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4" t="str">
        <x:v>NOT_STARTED</x:v>
      </x:c>
      <x:c r="N96" s="4" t="str">
        <x:v>NOT_EXECUTED</x:v>
      </x:c>
      <x:c r="O96" s="4" t="str">
        <x:v>UNASSIGNED</x:v>
      </x:c>
      <x:c r="P96" s="4" t="str"/>
      <x:c r="Q96" s="17" t="str">
        <x:v>codex/m3-m3-p098</x:v>
      </x:c>
      <x:c r="R96" s="4" t="str"/>
      <x:c r="S96" s="4" t="str"/>
      <x:c r="T96" s="4" t="str"/>
      <x:c r="U96" s="4" t="str"/>
      <x:c r="V96" s="4" t="str">
        <x:v>YES</x:v>
      </x:c>
      <x:c r="W96" s="17" t="str">
        <x:v>按原子提交回退；迁移仅向前修复</x:v>
      </x:c>
      <x:c r="X96" s="4" t="str"/>
      <x:c r="Y96" s="17" t="str"/>
    </x:row>
    <x:row r="97" ht="23" customHeight="1">
      <x:c r="A97" s="4" t="str">
        <x:v>M3-GATE</x:v>
      </x:c>
      <x:c r="B97" s="4" t="str">
        <x:v>96</x:v>
      </x:c>
      <x:c r="C97" s="4" t="str">
        <x:v>M3</x:v>
      </x:c>
      <x:c r="D97" s="4" t="str">
        <x:v>STAGE_GATE</x:v>
      </x:c>
      <x:c r="E97" s="4" t="str">
        <x:v>P0</x:v>
      </x:c>
      <x:c r="F97" s="17" t="str">
        <x:v>M3阶段门禁验收</x:v>
      </x:c>
      <x:c r="G97" s="17" t="str">
        <x:v>执行包§02</x:v>
      </x:c>
      <x:c r="H97" s="4" t="str"/>
      <x:c r="I97" s="4"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4" t="str">
        <x:v>NOT_STARTED</x:v>
      </x:c>
      <x:c r="N97" s="4" t="str">
        <x:v>NOT_EXECUTED</x:v>
      </x:c>
      <x:c r="O97" s="4" t="str">
        <x:v>UNASSIGNED</x:v>
      </x:c>
      <x:c r="P97" s="4" t="str"/>
      <x:c r="Q97" s="17" t="str">
        <x:v>codex/m3-m3</x:v>
      </x:c>
      <x:c r="R97" s="4" t="str"/>
      <x:c r="S97" s="4" t="str"/>
      <x:c r="T97" s="4" t="str"/>
      <x:c r="U97" s="4" t="str"/>
      <x:c r="V97" s="4" t="str">
        <x:v>YES</x:v>
      </x:c>
      <x:c r="W97" s="17" t="str">
        <x:v>按原子提交回退；迁移仅向前修复</x:v>
      </x:c>
      <x:c r="X97" s="4" t="str"/>
      <x:c r="Y97" s="17" t="str"/>
    </x:row>
    <x:row r="98" ht="23" customHeight="1">
      <x:c r="A98" s="4" t="str">
        <x:v>M4-000</x:v>
      </x:c>
      <x:c r="B98" s="4" t="str">
        <x:v>97</x:v>
      </x:c>
      <x:c r="C98" s="4" t="str">
        <x:v>M4</x:v>
      </x:c>
      <x:c r="D98" s="4" t="str">
        <x:v>CONTRACT_SLICE_PLAN</x:v>
      </x:c>
      <x:c r="E98" s="4" t="str">
        <x:v>P0</x:v>
      </x:c>
      <x:c r="F98" s="17" t="str">
        <x:v>冻结M4字段、状态机、权限与契约切片</x:v>
      </x:c>
      <x:c r="G98" s="17" t="str">
        <x:v>执行包字段/状态机/权限/API台账</x:v>
      </x:c>
      <x:c r="H98" s="4" t="str"/>
      <x:c r="I98" s="4"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4" t="str">
        <x:v>NOT_STARTED</x:v>
      </x:c>
      <x:c r="N98" s="4" t="str">
        <x:v>NOT_EXECUTED</x:v>
      </x:c>
      <x:c r="O98" s="4" t="str">
        <x:v>UNASSIGNED</x:v>
      </x:c>
      <x:c r="P98" s="4" t="str"/>
      <x:c r="Q98" s="17" t="str">
        <x:v>codex/m4-m4</x:v>
      </x:c>
      <x:c r="R98" s="4" t="str"/>
      <x:c r="S98" s="4" t="str"/>
      <x:c r="T98" s="4" t="str"/>
      <x:c r="U98" s="4" t="str"/>
      <x:c r="V98" s="4" t="str">
        <x:v>NO</x:v>
      </x:c>
      <x:c r="W98" s="17" t="str">
        <x:v>按原子提交回退；迁移仅向前修复</x:v>
      </x:c>
      <x:c r="X98" s="4" t="str"/>
      <x:c r="Y98" s="17" t="str"/>
    </x:row>
    <x:row r="99" ht="23" customHeight="1">
      <x:c r="A99" s="4" t="str">
        <x:v>M4-P032</x:v>
      </x:c>
      <x:c r="B99" s="4" t="str">
        <x:v>98</x:v>
      </x:c>
      <x:c r="C99" s="4" t="str">
        <x:v>M4</x:v>
      </x:c>
      <x:c r="D99" s="4" t="str">
        <x:v>LOGISTICS_STATE_MACHINE</x:v>
      </x:c>
      <x:c r="E99" s="4" t="str">
        <x:v>P0</x:v>
      </x:c>
      <x:c r="F99" s="17" t="str">
        <x:v>个人抢单大厅</x:v>
      </x:c>
      <x:c r="G99" s="17" t="str">
        <x:v>§10个人跑腿与企业统一配送</x:v>
      </x:c>
      <x:c r="H99" s="4" t="str">
        <x:v>P0-032</x:v>
      </x:c>
      <x:c r="I99" s="4"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4" t="str">
        <x:v>NOT_STARTED</x:v>
      </x:c>
      <x:c r="N99" s="4" t="str">
        <x:v>NOT_EXECUTED</x:v>
      </x:c>
      <x:c r="O99" s="4" t="str">
        <x:v>UNASSIGNED</x:v>
      </x:c>
      <x:c r="P99" s="4" t="str"/>
      <x:c r="Q99" s="17" t="str">
        <x:v>codex/m4-m4-p032</x:v>
      </x:c>
      <x:c r="R99" s="4" t="str"/>
      <x:c r="S99" s="4" t="str"/>
      <x:c r="T99" s="4" t="str"/>
      <x:c r="U99" s="4" t="str"/>
      <x:c r="V99" s="4" t="str">
        <x:v>NO</x:v>
      </x:c>
      <x:c r="W99" s="17" t="str">
        <x:v>按原子提交回退；迁移仅向前修复</x:v>
      </x:c>
      <x:c r="X99" s="4" t="str"/>
      <x:c r="Y99" s="17" t="str"/>
    </x:row>
    <x:row r="100" ht="23" customHeight="1">
      <x:c r="A100" s="4" t="str">
        <x:v>M4-P033</x:v>
      </x:c>
      <x:c r="B100" s="4" t="str">
        <x:v>99</x:v>
      </x:c>
      <x:c r="C100" s="4" t="str">
        <x:v>M4</x:v>
      </x:c>
      <x:c r="D100" s="4" t="str">
        <x:v>LOGISTICS_STATE_MACHINE</x:v>
      </x:c>
      <x:c r="E100" s="4" t="str">
        <x:v>P0</x:v>
      </x:c>
      <x:c r="F100" s="17" t="str">
        <x:v>个人物流节点</x:v>
      </x:c>
      <x:c r="G100" s="17" t="str">
        <x:v>§10个人跑腿与企业统一配送</x:v>
      </x:c>
      <x:c r="H100" s="4" t="str">
        <x:v>P0-033</x:v>
      </x:c>
      <x:c r="I100" s="4"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4" t="str">
        <x:v>NOT_STARTED</x:v>
      </x:c>
      <x:c r="N100" s="4" t="str">
        <x:v>NOT_EXECUTED</x:v>
      </x:c>
      <x:c r="O100" s="4" t="str">
        <x:v>UNASSIGNED</x:v>
      </x:c>
      <x:c r="P100" s="4" t="str"/>
      <x:c r="Q100" s="17" t="str">
        <x:v>codex/m4-m4-p033</x:v>
      </x:c>
      <x:c r="R100" s="4" t="str"/>
      <x:c r="S100" s="4" t="str"/>
      <x:c r="T100" s="4" t="str"/>
      <x:c r="U100" s="4" t="str"/>
      <x:c r="V100" s="4" t="str">
        <x:v>NO</x:v>
      </x:c>
      <x:c r="W100" s="17" t="str">
        <x:v>按原子提交回退；迁移仅向前修复</x:v>
      </x:c>
      <x:c r="X100" s="4" t="str"/>
      <x:c r="Y100" s="17" t="str"/>
    </x:row>
    <x:row r="101" ht="23" customHeight="1">
      <x:c r="A101" s="4" t="str">
        <x:v>M4-P034</x:v>
      </x:c>
      <x:c r="B101" s="4" t="str">
        <x:v>100</x:v>
      </x:c>
      <x:c r="C101" s="4" t="str">
        <x:v>M4</x:v>
      </x:c>
      <x:c r="D101" s="4" t="str">
        <x:v>LOGISTICS_STATE_MACHINE</x:v>
      </x:c>
      <x:c r="E101" s="4" t="str">
        <x:v>P0</x:v>
      </x:c>
      <x:c r="F101" s="17" t="str">
        <x:v>个人取送双导航</x:v>
      </x:c>
      <x:c r="G101" s="17" t="str">
        <x:v>§10个人跑腿与企业统一配送</x:v>
      </x:c>
      <x:c r="H101" s="4" t="str">
        <x:v>P0-034</x:v>
      </x:c>
      <x:c r="I101" s="4"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4" t="str">
        <x:v>NOT_STARTED</x:v>
      </x:c>
      <x:c r="N101" s="4" t="str">
        <x:v>NOT_EXECUTED</x:v>
      </x:c>
      <x:c r="O101" s="4" t="str">
        <x:v>UNASSIGNED</x:v>
      </x:c>
      <x:c r="P101" s="4" t="str"/>
      <x:c r="Q101" s="17" t="str">
        <x:v>codex/m4-m4-p034</x:v>
      </x:c>
      <x:c r="R101" s="4" t="str"/>
      <x:c r="S101" s="4" t="str"/>
      <x:c r="T101" s="4" t="str"/>
      <x:c r="U101" s="4" t="str"/>
      <x:c r="V101" s="4" t="str">
        <x:v>NO</x:v>
      </x:c>
      <x:c r="W101" s="17" t="str">
        <x:v>按原子提交回退；迁移仅向前修复</x:v>
      </x:c>
      <x:c r="X101" s="4" t="str"/>
      <x:c r="Y101" s="17" t="str"/>
    </x:row>
    <x:row r="102" ht="23" customHeight="1">
      <x:c r="A102" s="4" t="str">
        <x:v>M4-P035</x:v>
      </x:c>
      <x:c r="B102" s="4" t="str">
        <x:v>101</x:v>
      </x:c>
      <x:c r="C102" s="4" t="str">
        <x:v>M4</x:v>
      </x:c>
      <x:c r="D102" s="4" t="str">
        <x:v>LOGISTICS_STATE_MACHINE</x:v>
      </x:c>
      <x:c r="E102" s="4" t="str">
        <x:v>P0</x:v>
      </x:c>
      <x:c r="F102" s="17" t="str">
        <x:v>个人物流简化</x:v>
      </x:c>
      <x:c r="G102" s="17" t="str">
        <x:v>§10个人跑腿与企业统一配送</x:v>
      </x:c>
      <x:c r="H102" s="4" t="str">
        <x:v>P0-035</x:v>
      </x:c>
      <x:c r="I102" s="4"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4" t="str">
        <x:v>NOT_STARTED</x:v>
      </x:c>
      <x:c r="N102" s="4" t="str">
        <x:v>NOT_EXECUTED</x:v>
      </x:c>
      <x:c r="O102" s="4" t="str">
        <x:v>UNASSIGNED</x:v>
      </x:c>
      <x:c r="P102" s="4" t="str"/>
      <x:c r="Q102" s="17" t="str">
        <x:v>codex/m4-m4-p035</x:v>
      </x:c>
      <x:c r="R102" s="4" t="str"/>
      <x:c r="S102" s="4" t="str"/>
      <x:c r="T102" s="4" t="str"/>
      <x:c r="U102" s="4" t="str"/>
      <x:c r="V102" s="4" t="str">
        <x:v>NO</x:v>
      </x:c>
      <x:c r="W102" s="17" t="str">
        <x:v>按原子提交回退；迁移仅向前修复</x:v>
      </x:c>
      <x:c r="X102" s="4" t="str"/>
      <x:c r="Y102" s="17" t="str"/>
    </x:row>
    <x:row r="103" ht="23" customHeight="1">
      <x:c r="A103" s="4" t="str">
        <x:v>M4-P036</x:v>
      </x:c>
      <x:c r="B103" s="4" t="str">
        <x:v>102</x:v>
      </x:c>
      <x:c r="C103" s="4" t="str">
        <x:v>M4</x:v>
      </x:c>
      <x:c r="D103" s="4" t="str">
        <x:v>LOGISTICS_STATE_MACHINE</x:v>
      </x:c>
      <x:c r="E103" s="4" t="str">
        <x:v>P0</x:v>
      </x:c>
      <x:c r="F103" s="17" t="str">
        <x:v>异常物流</x:v>
      </x:c>
      <x:c r="G103" s="17" t="str">
        <x:v>§10个人跑腿与企业统一配送</x:v>
      </x:c>
      <x:c r="H103" s="4" t="str">
        <x:v>P0-036</x:v>
      </x:c>
      <x:c r="I103" s="4"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4" t="str">
        <x:v>NOT_STARTED</x:v>
      </x:c>
      <x:c r="N103" s="4" t="str">
        <x:v>NOT_EXECUTED</x:v>
      </x:c>
      <x:c r="O103" s="4" t="str">
        <x:v>UNASSIGNED</x:v>
      </x:c>
      <x:c r="P103" s="4" t="str"/>
      <x:c r="Q103" s="17" t="str">
        <x:v>codex/m4-m4-p036</x:v>
      </x:c>
      <x:c r="R103" s="4" t="str"/>
      <x:c r="S103" s="4" t="str"/>
      <x:c r="T103" s="4" t="str"/>
      <x:c r="U103" s="4" t="str"/>
      <x:c r="V103" s="4" t="str">
        <x:v>NO</x:v>
      </x:c>
      <x:c r="W103" s="17" t="str">
        <x:v>按原子提交回退；迁移仅向前修复</x:v>
      </x:c>
      <x:c r="X103" s="4" t="str"/>
      <x:c r="Y103" s="17" t="str"/>
    </x:row>
    <x:row r="104" ht="23" customHeight="1">
      <x:c r="A104" s="4" t="str">
        <x:v>M4-P037</x:v>
      </x:c>
      <x:c r="B104" s="4" t="str">
        <x:v>103</x:v>
      </x:c>
      <x:c r="C104" s="4" t="str">
        <x:v>M4</x:v>
      </x:c>
      <x:c r="D104" s="4" t="str">
        <x:v>LOGISTICS_STATE_MACHINE</x:v>
      </x:c>
      <x:c r="E104" s="4" t="str">
        <x:v>P0</x:v>
      </x:c>
      <x:c r="F104" s="17" t="str">
        <x:v>个人与企业收货</x:v>
      </x:c>
      <x:c r="G104" s="17" t="str">
        <x:v>§10个人跑腿与企业统一配送</x:v>
      </x:c>
      <x:c r="H104" s="4" t="str">
        <x:v>P0-037</x:v>
      </x:c>
      <x:c r="I104" s="4"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4" t="str">
        <x:v>NOT_STARTED</x:v>
      </x:c>
      <x:c r="N104" s="4" t="str">
        <x:v>NOT_EXECUTED</x:v>
      </x:c>
      <x:c r="O104" s="4" t="str">
        <x:v>UNASSIGNED</x:v>
      </x:c>
      <x:c r="P104" s="4" t="str"/>
      <x:c r="Q104" s="17" t="str">
        <x:v>codex/m4-m4-p037</x:v>
      </x:c>
      <x:c r="R104" s="4" t="str"/>
      <x:c r="S104" s="4" t="str"/>
      <x:c r="T104" s="4" t="str"/>
      <x:c r="U104" s="4" t="str"/>
      <x:c r="V104" s="4" t="str">
        <x:v>NO</x:v>
      </x:c>
      <x:c r="W104" s="17" t="str">
        <x:v>按原子提交回退；迁移仅向前修复</x:v>
      </x:c>
      <x:c r="X104" s="4" t="str"/>
      <x:c r="Y104" s="17" t="str"/>
    </x:row>
    <x:row r="105" ht="23" customHeight="1">
      <x:c r="A105" s="4" t="str">
        <x:v>M4-P064</x:v>
      </x:c>
      <x:c r="B105" s="4" t="str">
        <x:v>104</x:v>
      </x:c>
      <x:c r="C105" s="4" t="str">
        <x:v>M4</x:v>
      </x:c>
      <x:c r="D105" s="4" t="str">
        <x:v>LOGISTICS_STATE_MACHINE</x:v>
      </x:c>
      <x:c r="E105" s="4" t="str">
        <x:v>P0</x:v>
      </x:c>
      <x:c r="F105" s="17" t="str">
        <x:v>企业平台统一配送</x:v>
      </x:c>
      <x:c r="G105" s="17" t="str">
        <x:v>§10个人跑腿与企业统一配送</x:v>
      </x:c>
      <x:c r="H105" s="4" t="str">
        <x:v>P0-064</x:v>
      </x:c>
      <x:c r="I105" s="4"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4" t="str">
        <x:v>NOT_STARTED</x:v>
      </x:c>
      <x:c r="N105" s="4" t="str">
        <x:v>NOT_EXECUTED</x:v>
      </x:c>
      <x:c r="O105" s="4" t="str">
        <x:v>UNASSIGNED</x:v>
      </x:c>
      <x:c r="P105" s="4" t="str"/>
      <x:c r="Q105" s="17" t="str">
        <x:v>codex/m4-m4-p064</x:v>
      </x:c>
      <x:c r="R105" s="4" t="str"/>
      <x:c r="S105" s="4" t="str"/>
      <x:c r="T105" s="4" t="str"/>
      <x:c r="U105" s="4" t="str"/>
      <x:c r="V105" s="4" t="str">
        <x:v>YES</x:v>
      </x:c>
      <x:c r="W105" s="17" t="str">
        <x:v>按原子提交回退；迁移仅向前修复</x:v>
      </x:c>
      <x:c r="X105" s="4" t="str"/>
      <x:c r="Y105" s="17" t="str"/>
    </x:row>
    <x:row r="106" ht="23" customHeight="1">
      <x:c r="A106" s="4" t="str">
        <x:v>M4-P095</x:v>
      </x:c>
      <x:c r="B106" s="4" t="str">
        <x:v>105</x:v>
      </x:c>
      <x:c r="C106" s="4" t="str">
        <x:v>M4</x:v>
      </x:c>
      <x:c r="D106" s="4" t="str">
        <x:v>LOGISTICS_STATE_MACHINE</x:v>
      </x:c>
      <x:c r="E106" s="4" t="str">
        <x:v>P0</x:v>
      </x:c>
      <x:c r="F106" s="17" t="str">
        <x:v>个人多配送卡</x:v>
      </x:c>
      <x:c r="G106" s="17" t="str">
        <x:v>§10个人跑腿与企业统一配送</x:v>
      </x:c>
      <x:c r="H106" s="4" t="str">
        <x:v>P0-095</x:v>
      </x:c>
      <x:c r="I106" s="4"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4" t="str">
        <x:v>NOT_STARTED</x:v>
      </x:c>
      <x:c r="N106" s="4" t="str">
        <x:v>NOT_EXECUTED</x:v>
      </x:c>
      <x:c r="O106" s="4" t="str">
        <x:v>UNASSIGNED</x:v>
      </x:c>
      <x:c r="P106" s="4" t="str"/>
      <x:c r="Q106" s="17" t="str">
        <x:v>codex/m4-m4-p095</x:v>
      </x:c>
      <x:c r="R106" s="4" t="str"/>
      <x:c r="S106" s="4" t="str"/>
      <x:c r="T106" s="4" t="str"/>
      <x:c r="U106" s="4" t="str"/>
      <x:c r="V106" s="4" t="str">
        <x:v>YES</x:v>
      </x:c>
      <x:c r="W106" s="17" t="str">
        <x:v>按原子提交回退；迁移仅向前修复</x:v>
      </x:c>
      <x:c r="X106" s="4" t="str"/>
      <x:c r="Y106" s="17" t="str"/>
    </x:row>
    <x:row r="107" ht="23" customHeight="1">
      <x:c r="A107" s="4" t="str">
        <x:v>M4-P099</x:v>
      </x:c>
      <x:c r="B107" s="4" t="str">
        <x:v>106</x:v>
      </x:c>
      <x:c r="C107" s="4" t="str">
        <x:v>M4</x:v>
      </x:c>
      <x:c r="D107" s="4" t="str">
        <x:v>LOGISTICS_STATE_MACHINE</x:v>
      </x:c>
      <x:c r="E107" s="4" t="str">
        <x:v>P0</x:v>
      </x:c>
      <x:c r="F107" s="17" t="str">
        <x:v>双配送链路隔离</x:v>
      </x:c>
      <x:c r="G107" s="17" t="str">
        <x:v>§10个人跑腿与企业统一配送</x:v>
      </x:c>
      <x:c r="H107" s="4" t="str">
        <x:v>P0-099</x:v>
      </x:c>
      <x:c r="I107" s="4"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4" t="str">
        <x:v>NOT_STARTED</x:v>
      </x:c>
      <x:c r="N107" s="4" t="str">
        <x:v>NOT_EXECUTED</x:v>
      </x:c>
      <x:c r="O107" s="4" t="str">
        <x:v>UNASSIGNED</x:v>
      </x:c>
      <x:c r="P107" s="4" t="str"/>
      <x:c r="Q107" s="17" t="str">
        <x:v>codex/m4-m4-p099</x:v>
      </x:c>
      <x:c r="R107" s="4" t="str"/>
      <x:c r="S107" s="4" t="str"/>
      <x:c r="T107" s="4" t="str"/>
      <x:c r="U107" s="4" t="str"/>
      <x:c r="V107" s="4" t="str">
        <x:v>NO</x:v>
      </x:c>
      <x:c r="W107" s="17" t="str">
        <x:v>按原子提交回退；迁移仅向前修复</x:v>
      </x:c>
      <x:c r="X107" s="4" t="str"/>
      <x:c r="Y107" s="17" t="str"/>
    </x:row>
    <x:row r="108" ht="23" customHeight="1">
      <x:c r="A108" s="4" t="str">
        <x:v>M4-P100</x:v>
      </x:c>
      <x:c r="B108" s="4" t="str">
        <x:v>107</x:v>
      </x:c>
      <x:c r="C108" s="4" t="str">
        <x:v>M4</x:v>
      </x:c>
      <x:c r="D108" s="4" t="str">
        <x:v>LOGISTICS_STATE_MACHINE</x:v>
      </x:c>
      <x:c r="E108" s="4" t="str">
        <x:v>P0</x:v>
      </x:c>
      <x:c r="F108" s="17" t="str">
        <x:v>跑腿员注册与审核</x:v>
      </x:c>
      <x:c r="G108" s="17" t="str">
        <x:v>§10个人跑腿与企业统一配送</x:v>
      </x:c>
      <x:c r="H108" s="4" t="str">
        <x:v>P0-100</x:v>
      </x:c>
      <x:c r="I108" s="4"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4" t="str">
        <x:v>NOT_STARTED</x:v>
      </x:c>
      <x:c r="N108" s="4" t="str">
        <x:v>NOT_EXECUTED</x:v>
      </x:c>
      <x:c r="O108" s="4" t="str">
        <x:v>UNASSIGNED</x:v>
      </x:c>
      <x:c r="P108" s="4" t="str"/>
      <x:c r="Q108" s="17" t="str">
        <x:v>codex/m4-m4-p100</x:v>
      </x:c>
      <x:c r="R108" s="4" t="str"/>
      <x:c r="S108" s="4" t="str"/>
      <x:c r="T108" s="4" t="str"/>
      <x:c r="U108" s="4" t="str"/>
      <x:c r="V108" s="4" t="str">
        <x:v>YES</x:v>
      </x:c>
      <x:c r="W108" s="17" t="str">
        <x:v>按原子提交回退；迁移仅向前修复</x:v>
      </x:c>
      <x:c r="X108" s="4" t="str"/>
      <x:c r="Y108" s="17" t="str"/>
    </x:row>
    <x:row r="109" ht="23" customHeight="1">
      <x:c r="A109" s="4" t="str">
        <x:v>M4-P101</x:v>
      </x:c>
      <x:c r="B109" s="4" t="str">
        <x:v>108</x:v>
      </x:c>
      <x:c r="C109" s="4" t="str">
        <x:v>M4</x:v>
      </x:c>
      <x:c r="D109" s="4" t="str">
        <x:v>LOGISTICS_STATE_MACHINE</x:v>
      </x:c>
      <x:c r="E109" s="4" t="str">
        <x:v>P0</x:v>
      </x:c>
      <x:c r="F109" s="17" t="str">
        <x:v>跑腿小程序独立入口</x:v>
      </x:c>
      <x:c r="G109" s="17" t="str">
        <x:v>§10个人跑腿与企业统一配送</x:v>
      </x:c>
      <x:c r="H109" s="4" t="str">
        <x:v>P0-101</x:v>
      </x:c>
      <x:c r="I109" s="4"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4" t="str">
        <x:v>NOT_STARTED</x:v>
      </x:c>
      <x:c r="N109" s="4" t="str">
        <x:v>NOT_EXECUTED</x:v>
      </x:c>
      <x:c r="O109" s="4" t="str">
        <x:v>UNASSIGNED</x:v>
      </x:c>
      <x:c r="P109" s="4" t="str"/>
      <x:c r="Q109" s="17" t="str">
        <x:v>codex/m4-m4-p101</x:v>
      </x:c>
      <x:c r="R109" s="4" t="str"/>
      <x:c r="S109" s="4" t="str"/>
      <x:c r="T109" s="4" t="str"/>
      <x:c r="U109" s="4" t="str"/>
      <x:c r="V109" s="4" t="str">
        <x:v>YES</x:v>
      </x:c>
      <x:c r="W109" s="17" t="str">
        <x:v>按原子提交回退；迁移仅向前修复</x:v>
      </x:c>
      <x:c r="X109" s="4" t="str"/>
      <x:c r="Y109" s="17" t="str"/>
    </x:row>
    <x:row r="110" ht="23" customHeight="1">
      <x:c r="A110" s="4" t="str">
        <x:v>M4-P102</x:v>
      </x:c>
      <x:c r="B110" s="4" t="str">
        <x:v>109</x:v>
      </x:c>
      <x:c r="C110" s="4" t="str">
        <x:v>M4</x:v>
      </x:c>
      <x:c r="D110" s="4" t="str">
        <x:v>LOGISTICS_STATE_MACHINE</x:v>
      </x:c>
      <x:c r="E110" s="4" t="str">
        <x:v>P0</x:v>
      </x:c>
      <x:c r="F110" s="17" t="str">
        <x:v>个人任务幂等生成与投放</x:v>
      </x:c>
      <x:c r="G110" s="17" t="str">
        <x:v>§10个人跑腿与企业统一配送</x:v>
      </x:c>
      <x:c r="H110" s="4" t="str">
        <x:v>P0-102</x:v>
      </x:c>
      <x:c r="I110" s="4"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4" t="str">
        <x:v>NOT_STARTED</x:v>
      </x:c>
      <x:c r="N110" s="4" t="str">
        <x:v>NOT_EXECUTED</x:v>
      </x:c>
      <x:c r="O110" s="4" t="str">
        <x:v>UNASSIGNED</x:v>
      </x:c>
      <x:c r="P110" s="4" t="str"/>
      <x:c r="Q110" s="17" t="str">
        <x:v>codex/m4-m4-p102</x:v>
      </x:c>
      <x:c r="R110" s="4" t="str"/>
      <x:c r="S110" s="4" t="str"/>
      <x:c r="T110" s="4" t="str"/>
      <x:c r="U110" s="4" t="str"/>
      <x:c r="V110" s="4" t="str">
        <x:v>YES</x:v>
      </x:c>
      <x:c r="W110" s="17" t="str">
        <x:v>按原子提交回退；迁移仅向前修复</x:v>
      </x:c>
      <x:c r="X110" s="4" t="str"/>
      <x:c r="Y110" s="17" t="str"/>
    </x:row>
    <x:row r="111" ht="23" customHeight="1">
      <x:c r="A111" s="4" t="str">
        <x:v>M4-P103</x:v>
      </x:c>
      <x:c r="B111" s="4" t="str">
        <x:v>110</x:v>
      </x:c>
      <x:c r="C111" s="4" t="str">
        <x:v>M4</x:v>
      </x:c>
      <x:c r="D111" s="4" t="str">
        <x:v>LOGISTICS_STATE_MACHINE</x:v>
      </x:c>
      <x:c r="E111" s="4" t="str">
        <x:v>P0</x:v>
      </x:c>
      <x:c r="F111" s="17" t="str">
        <x:v>上线与大厅可见性</x:v>
      </x:c>
      <x:c r="G111" s="17" t="str">
        <x:v>§10个人跑腿与企业统一配送</x:v>
      </x:c>
      <x:c r="H111" s="4" t="str">
        <x:v>P0-103</x:v>
      </x:c>
      <x:c r="I111" s="4"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4" t="str">
        <x:v>NOT_STARTED</x:v>
      </x:c>
      <x:c r="N111" s="4" t="str">
        <x:v>NOT_EXECUTED</x:v>
      </x:c>
      <x:c r="O111" s="4" t="str">
        <x:v>UNASSIGNED</x:v>
      </x:c>
      <x:c r="P111" s="4" t="str"/>
      <x:c r="Q111" s="17" t="str">
        <x:v>codex/m4-m4-p103</x:v>
      </x:c>
      <x:c r="R111" s="4" t="str"/>
      <x:c r="S111" s="4" t="str"/>
      <x:c r="T111" s="4" t="str"/>
      <x:c r="U111" s="4" t="str"/>
      <x:c r="V111" s="4" t="str">
        <x:v>YES</x:v>
      </x:c>
      <x:c r="W111" s="17" t="str">
        <x:v>按原子提交回退；迁移仅向前修复</x:v>
      </x:c>
      <x:c r="X111" s="4" t="str"/>
      <x:c r="Y111" s="17" t="str"/>
    </x:row>
    <x:row r="112" ht="23" customHeight="1">
      <x:c r="A112" s="4" t="str">
        <x:v>M4-P104</x:v>
      </x:c>
      <x:c r="B112" s="4" t="str">
        <x:v>111</x:v>
      </x:c>
      <x:c r="C112" s="4" t="str">
        <x:v>M4</x:v>
      </x:c>
      <x:c r="D112" s="4" t="str">
        <x:v>LOGISTICS_STATE_MACHINE</x:v>
      </x:c>
      <x:c r="E112" s="4" t="str">
        <x:v>P0</x:v>
      </x:c>
      <x:c r="F112" s="17" t="str">
        <x:v>大厅隐私摘要</x:v>
      </x:c>
      <x:c r="G112" s="17" t="str">
        <x:v>§10个人跑腿与企业统一配送</x:v>
      </x:c>
      <x:c r="H112" s="4" t="str">
        <x:v>P0-104</x:v>
      </x:c>
      <x:c r="I112" s="4"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4" t="str">
        <x:v>NOT_STARTED</x:v>
      </x:c>
      <x:c r="N112" s="4" t="str">
        <x:v>NOT_EXECUTED</x:v>
      </x:c>
      <x:c r="O112" s="4" t="str">
        <x:v>UNASSIGNED</x:v>
      </x:c>
      <x:c r="P112" s="4" t="str"/>
      <x:c r="Q112" s="17" t="str">
        <x:v>codex/m4-m4-p104</x:v>
      </x:c>
      <x:c r="R112" s="4" t="str"/>
      <x:c r="S112" s="4" t="str"/>
      <x:c r="T112" s="4" t="str"/>
      <x:c r="U112" s="4" t="str"/>
      <x:c r="V112" s="4" t="str">
        <x:v>YES</x:v>
      </x:c>
      <x:c r="W112" s="17" t="str">
        <x:v>按原子提交回退；迁移仅向前修复</x:v>
      </x:c>
      <x:c r="X112" s="4" t="str"/>
      <x:c r="Y112" s="17" t="str"/>
    </x:row>
    <x:row r="113" ht="23" customHeight="1">
      <x:c r="A113" s="4" t="str">
        <x:v>M4-P105</x:v>
      </x:c>
      <x:c r="B113" s="4" t="str">
        <x:v>112</x:v>
      </x:c>
      <x:c r="C113" s="4" t="str">
        <x:v>M4</x:v>
      </x:c>
      <x:c r="D113" s="4" t="str">
        <x:v>LOGISTICS_STATE_MACHINE</x:v>
      </x:c>
      <x:c r="E113" s="4" t="str">
        <x:v>P0</x:v>
      </x:c>
      <x:c r="F113" s="17" t="str">
        <x:v>抢单并发与未知结果</x:v>
      </x:c>
      <x:c r="G113" s="17" t="str">
        <x:v>§10个人跑腿与企业统一配送</x:v>
      </x:c>
      <x:c r="H113" s="4" t="str">
        <x:v>P0-105</x:v>
      </x:c>
      <x:c r="I113" s="4"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4" t="str">
        <x:v>NOT_STARTED</x:v>
      </x:c>
      <x:c r="N113" s="4" t="str">
        <x:v>NOT_EXECUTED</x:v>
      </x:c>
      <x:c r="O113" s="4" t="str">
        <x:v>UNASSIGNED</x:v>
      </x:c>
      <x:c r="P113" s="4" t="str"/>
      <x:c r="Q113" s="17" t="str">
        <x:v>codex/m4-m4-p105</x:v>
      </x:c>
      <x:c r="R113" s="4" t="str"/>
      <x:c r="S113" s="4" t="str"/>
      <x:c r="T113" s="4" t="str"/>
      <x:c r="U113" s="4" t="str"/>
      <x:c r="V113" s="4" t="str">
        <x:v>YES</x:v>
      </x:c>
      <x:c r="W113" s="17" t="str">
        <x:v>按原子提交回退；迁移仅向前修复</x:v>
      </x:c>
      <x:c r="X113" s="4" t="str"/>
      <x:c r="Y113" s="17" t="str"/>
    </x:row>
    <x:row r="114" ht="23" customHeight="1">
      <x:c r="A114" s="4" t="str">
        <x:v>M4-P106</x:v>
      </x:c>
      <x:c r="B114" s="4" t="str">
        <x:v>113</x:v>
      </x:c>
      <x:c r="C114" s="4" t="str">
        <x:v>M4</x:v>
      </x:c>
      <x:c r="D114" s="4" t="str">
        <x:v>LOGISTICS_STATE_MACHINE</x:v>
      </x:c>
      <x:c r="E114" s="4" t="str">
        <x:v>P0</x:v>
      </x:c>
      <x:c r="F114" s="17" t="str">
        <x:v>跑腿任务详情</x:v>
      </x:c>
      <x:c r="G114" s="17" t="str">
        <x:v>§10个人跑腿与企业统一配送</x:v>
      </x:c>
      <x:c r="H114" s="4" t="str">
        <x:v>P0-106</x:v>
      </x:c>
      <x:c r="I114" s="4"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4" t="str">
        <x:v>NOT_STARTED</x:v>
      </x:c>
      <x:c r="N114" s="4" t="str">
        <x:v>NOT_EXECUTED</x:v>
      </x:c>
      <x:c r="O114" s="4" t="str">
        <x:v>UNASSIGNED</x:v>
      </x:c>
      <x:c r="P114" s="4" t="str"/>
      <x:c r="Q114" s="17" t="str">
        <x:v>codex/m4-m4-p106</x:v>
      </x:c>
      <x:c r="R114" s="4" t="str"/>
      <x:c r="S114" s="4" t="str"/>
      <x:c r="T114" s="4" t="str"/>
      <x:c r="U114" s="4" t="str"/>
      <x:c r="V114" s="4" t="str">
        <x:v>YES</x:v>
      </x:c>
      <x:c r="W114" s="17" t="str">
        <x:v>按原子提交回退；迁移仅向前修复</x:v>
      </x:c>
      <x:c r="X114" s="4" t="str"/>
      <x:c r="Y114" s="17" t="str"/>
    </x:row>
    <x:row r="115" ht="23" customHeight="1">
      <x:c r="A115" s="4" t="str">
        <x:v>M4-P107</x:v>
      </x:c>
      <x:c r="B115" s="4" t="str">
        <x:v>114</x:v>
      </x:c>
      <x:c r="C115" s="4" t="str">
        <x:v>M4</x:v>
      </x:c>
      <x:c r="D115" s="4" t="str">
        <x:v>LOGISTICS_STATE_MACHINE</x:v>
      </x:c>
      <x:c r="E115" s="4" t="str">
        <x:v>P0</x:v>
      </x:c>
      <x:c r="F115" s="17" t="str">
        <x:v>跑腿节点状态机</x:v>
      </x:c>
      <x:c r="G115" s="17" t="str">
        <x:v>§10个人跑腿与企业统一配送</x:v>
      </x:c>
      <x:c r="H115" s="4" t="str">
        <x:v>P0-107</x:v>
      </x:c>
      <x:c r="I115" s="4"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4" t="str">
        <x:v>NOT_STARTED</x:v>
      </x:c>
      <x:c r="N115" s="4" t="str">
        <x:v>NOT_EXECUTED</x:v>
      </x:c>
      <x:c r="O115" s="4" t="str">
        <x:v>UNASSIGNED</x:v>
      </x:c>
      <x:c r="P115" s="4" t="str"/>
      <x:c r="Q115" s="17" t="str">
        <x:v>codex/m4-m4-p107</x:v>
      </x:c>
      <x:c r="R115" s="4" t="str"/>
      <x:c r="S115" s="4" t="str"/>
      <x:c r="T115" s="4" t="str"/>
      <x:c r="U115" s="4" t="str"/>
      <x:c r="V115" s="4" t="str">
        <x:v>YES</x:v>
      </x:c>
      <x:c r="W115" s="17" t="str">
        <x:v>按原子提交回退；迁移仅向前修复</x:v>
      </x:c>
      <x:c r="X115" s="4" t="str"/>
      <x:c r="Y115" s="17" t="str"/>
    </x:row>
    <x:row r="116" ht="23" customHeight="1">
      <x:c r="A116" s="4" t="str">
        <x:v>M4-P108</x:v>
      </x:c>
      <x:c r="B116" s="4" t="str">
        <x:v>115</x:v>
      </x:c>
      <x:c r="C116" s="4" t="str">
        <x:v>M4</x:v>
      </x:c>
      <x:c r="D116" s="4" t="str">
        <x:v>LOGISTICS_STATE_MACHINE</x:v>
      </x:c>
      <x:c r="E116" s="4" t="str">
        <x:v>P0</x:v>
      </x:c>
      <x:c r="F116" s="17" t="str">
        <x:v>取货点与目的地双导航</x:v>
      </x:c>
      <x:c r="G116" s="17" t="str">
        <x:v>§10个人跑腿与企业统一配送</x:v>
      </x:c>
      <x:c r="H116" s="4" t="str">
        <x:v>P0-108</x:v>
      </x:c>
      <x:c r="I116" s="4"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4" t="str">
        <x:v>NOT_STARTED</x:v>
      </x:c>
      <x:c r="N116" s="4" t="str">
        <x:v>NOT_EXECUTED</x:v>
      </x:c>
      <x:c r="O116" s="4" t="str">
        <x:v>UNASSIGNED</x:v>
      </x:c>
      <x:c r="P116" s="4" t="str"/>
      <x:c r="Q116" s="17" t="str">
        <x:v>codex/m4-m4-p108</x:v>
      </x:c>
      <x:c r="R116" s="4" t="str"/>
      <x:c r="S116" s="4" t="str"/>
      <x:c r="T116" s="4" t="str"/>
      <x:c r="U116" s="4" t="str"/>
      <x:c r="V116" s="4" t="str">
        <x:v>YES</x:v>
      </x:c>
      <x:c r="W116" s="17" t="str">
        <x:v>按原子提交回退；迁移仅向前修复</x:v>
      </x:c>
      <x:c r="X116" s="4" t="str"/>
      <x:c r="Y116" s="17" t="str"/>
    </x:row>
    <x:row r="117" ht="23" customHeight="1">
      <x:c r="A117" s="4" t="str">
        <x:v>M4-P109</x:v>
      </x:c>
      <x:c r="B117" s="4" t="str">
        <x:v>116</x:v>
      </x:c>
      <x:c r="C117" s="4" t="str">
        <x:v>M4</x:v>
      </x:c>
      <x:c r="D117" s="4" t="str">
        <x:v>LOGISTICS_STATE_MACHINE</x:v>
      </x:c>
      <x:c r="E117" s="4" t="str">
        <x:v>P0</x:v>
      </x:c>
      <x:c r="F117" s="17" t="str">
        <x:v>配送异常与取消权限</x:v>
      </x:c>
      <x:c r="G117" s="17" t="str">
        <x:v>§10个人跑腿与企业统一配送</x:v>
      </x:c>
      <x:c r="H117" s="4" t="str">
        <x:v>P0-109</x:v>
      </x:c>
      <x:c r="I117" s="4"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4" t="str">
        <x:v>NOT_STARTED</x:v>
      </x:c>
      <x:c r="N117" s="4" t="str">
        <x:v>NOT_EXECUTED</x:v>
      </x:c>
      <x:c r="O117" s="4" t="str">
        <x:v>UNASSIGNED</x:v>
      </x:c>
      <x:c r="P117" s="4" t="str"/>
      <x:c r="Q117" s="17" t="str">
        <x:v>codex/m4-m4-p109</x:v>
      </x:c>
      <x:c r="R117" s="4" t="str"/>
      <x:c r="S117" s="4" t="str"/>
      <x:c r="T117" s="4" t="str"/>
      <x:c r="U117" s="4" t="str"/>
      <x:c r="V117" s="4" t="str">
        <x:v>YES</x:v>
      </x:c>
      <x:c r="W117" s="17" t="str">
        <x:v>按原子提交回退；迁移仅向前修复</x:v>
      </x:c>
      <x:c r="X117" s="4" t="str"/>
      <x:c r="Y117" s="17" t="str"/>
    </x:row>
    <x:row r="118" ht="23" customHeight="1">
      <x:c r="A118" s="4" t="str">
        <x:v>M4-P110</x:v>
      </x:c>
      <x:c r="B118" s="4" t="str">
        <x:v>117</x:v>
      </x:c>
      <x:c r="C118" s="4" t="str">
        <x:v>M4</x:v>
      </x:c>
      <x:c r="D118" s="4" t="str">
        <x:v>LOGISTICS_STATE_MACHINE</x:v>
      </x:c>
      <x:c r="E118" s="4" t="str">
        <x:v>P0</x:v>
      </x:c>
      <x:c r="F118" s="17" t="str">
        <x:v>配送转派与失权</x:v>
      </x:c>
      <x:c r="G118" s="17" t="str">
        <x:v>§10个人跑腿与企业统一配送</x:v>
      </x:c>
      <x:c r="H118" s="4" t="str">
        <x:v>P0-110</x:v>
      </x:c>
      <x:c r="I118" s="4"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4" t="str">
        <x:v>NOT_STARTED</x:v>
      </x:c>
      <x:c r="N118" s="4" t="str">
        <x:v>NOT_EXECUTED</x:v>
      </x:c>
      <x:c r="O118" s="4" t="str">
        <x:v>UNASSIGNED</x:v>
      </x:c>
      <x:c r="P118" s="4" t="str"/>
      <x:c r="Q118" s="17" t="str">
        <x:v>codex/m4-m4-p110</x:v>
      </x:c>
      <x:c r="R118" s="4" t="str"/>
      <x:c r="S118" s="4" t="str"/>
      <x:c r="T118" s="4" t="str"/>
      <x:c r="U118" s="4" t="str"/>
      <x:c r="V118" s="4" t="str">
        <x:v>YES</x:v>
      </x:c>
      <x:c r="W118" s="17" t="str">
        <x:v>按原子提交回退；迁移仅向前修复</x:v>
      </x:c>
      <x:c r="X118" s="4" t="str"/>
      <x:c r="Y118" s="17" t="str"/>
    </x:row>
    <x:row r="119" ht="23" customHeight="1">
      <x:c r="A119" s="4" t="str">
        <x:v>M4-P111</x:v>
      </x:c>
      <x:c r="B119" s="4" t="str">
        <x:v>118</x:v>
      </x:c>
      <x:c r="C119" s="4" t="str">
        <x:v>M4</x:v>
      </x:c>
      <x:c r="D119" s="4" t="str">
        <x:v>LOGISTICS_STATE_MACHINE</x:v>
      </x:c>
      <x:c r="E119" s="4" t="str">
        <x:v>P0</x:v>
      </x:c>
      <x:c r="F119" s="17" t="str">
        <x:v>联系、凭证与分批收货</x:v>
      </x:c>
      <x:c r="G119" s="17" t="str">
        <x:v>§10个人跑腿与企业统一配送</x:v>
      </x:c>
      <x:c r="H119" s="4" t="str">
        <x:v>P0-111</x:v>
      </x:c>
      <x:c r="I119" s="4"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4" t="str">
        <x:v>NOT_STARTED</x:v>
      </x:c>
      <x:c r="N119" s="4" t="str">
        <x:v>NOT_EXECUTED</x:v>
      </x:c>
      <x:c r="O119" s="4" t="str">
        <x:v>UNASSIGNED</x:v>
      </x:c>
      <x:c r="P119" s="4" t="str"/>
      <x:c r="Q119" s="17" t="str">
        <x:v>codex/m4-m4-p111</x:v>
      </x:c>
      <x:c r="R119" s="4" t="str"/>
      <x:c r="S119" s="4" t="str"/>
      <x:c r="T119" s="4" t="str"/>
      <x:c r="U119" s="4" t="str"/>
      <x:c r="V119" s="4" t="str">
        <x:v>YES</x:v>
      </x:c>
      <x:c r="W119" s="17" t="str">
        <x:v>按原子提交回退；迁移仅向前修复</x:v>
      </x:c>
      <x:c r="X119" s="4" t="str"/>
      <x:c r="Y119" s="17" t="str"/>
    </x:row>
    <x:row r="120" ht="23" customHeight="1">
      <x:c r="A120" s="4" t="str">
        <x:v>M4-P112</x:v>
      </x:c>
      <x:c r="B120" s="4" t="str">
        <x:v>119</x:v>
      </x:c>
      <x:c r="C120" s="4" t="str">
        <x:v>M4</x:v>
      </x:c>
      <x:c r="D120" s="4" t="str">
        <x:v>LOGISTICS_STATE_MACHINE</x:v>
      </x:c>
      <x:c r="E120" s="4" t="str">
        <x:v>P0</x:v>
      </x:c>
      <x:c r="F120" s="17" t="str">
        <x:v>跑腿通知与隐私</x:v>
      </x:c>
      <x:c r="G120" s="17" t="str">
        <x:v>§10个人跑腿与企业统一配送</x:v>
      </x:c>
      <x:c r="H120" s="4" t="str">
        <x:v>P0-112</x:v>
      </x:c>
      <x:c r="I120" s="4"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4" t="str">
        <x:v>NOT_STARTED</x:v>
      </x:c>
      <x:c r="N120" s="4" t="str">
        <x:v>NOT_EXECUTED</x:v>
      </x:c>
      <x:c r="O120" s="4" t="str">
        <x:v>UNASSIGNED</x:v>
      </x:c>
      <x:c r="P120" s="4" t="str"/>
      <x:c r="Q120" s="17" t="str">
        <x:v>codex/m4-m4-p112</x:v>
      </x:c>
      <x:c r="R120" s="4" t="str"/>
      <x:c r="S120" s="4" t="str"/>
      <x:c r="T120" s="4" t="str"/>
      <x:c r="U120" s="4" t="str"/>
      <x:c r="V120" s="4" t="str">
        <x:v>YES</x:v>
      </x:c>
      <x:c r="W120" s="17" t="str">
        <x:v>按原子提交回退；迁移仅向前修复</x:v>
      </x:c>
      <x:c r="X120" s="4" t="str"/>
      <x:c r="Y120" s="17" t="str"/>
    </x:row>
    <x:row r="121" ht="23" customHeight="1">
      <x:c r="A121" s="4" t="str">
        <x:v>M4-P113</x:v>
      </x:c>
      <x:c r="B121" s="4" t="str">
        <x:v>120</x:v>
      </x:c>
      <x:c r="C121" s="4" t="str">
        <x:v>M4</x:v>
      </x:c>
      <x:c r="D121" s="4" t="str">
        <x:v>LOGISTICS_STATE_MACHINE</x:v>
      </x:c>
      <x:c r="E121" s="4" t="str">
        <x:v>P0</x:v>
      </x:c>
      <x:c r="F121" s="17" t="str">
        <x:v>任务记录与报酬</x:v>
      </x:c>
      <x:c r="G121" s="17" t="str">
        <x:v>§10个人跑腿与企业统一配送</x:v>
      </x:c>
      <x:c r="H121" s="4" t="str">
        <x:v>P0-113</x:v>
      </x:c>
      <x:c r="I121" s="4"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4" t="str">
        <x:v>NOT_STARTED</x:v>
      </x:c>
      <x:c r="N121" s="4" t="str">
        <x:v>NOT_EXECUTED</x:v>
      </x:c>
      <x:c r="O121" s="4" t="str">
        <x:v>UNASSIGNED</x:v>
      </x:c>
      <x:c r="P121" s="4" t="str"/>
      <x:c r="Q121" s="17" t="str">
        <x:v>codex/m4-m4-p113</x:v>
      </x:c>
      <x:c r="R121" s="4" t="str"/>
      <x:c r="S121" s="4" t="str"/>
      <x:c r="T121" s="4" t="str"/>
      <x:c r="U121" s="4" t="str"/>
      <x:c r="V121" s="4" t="str">
        <x:v>YES</x:v>
      </x:c>
      <x:c r="W121" s="17" t="str">
        <x:v>按原子提交回退；迁移仅向前修复</x:v>
      </x:c>
      <x:c r="X121" s="4" t="str"/>
      <x:c r="Y121" s="17" t="str"/>
    </x:row>
    <x:row r="122" ht="23" customHeight="1">
      <x:c r="A122" s="4" t="str">
        <x:v>M4-P114</x:v>
      </x:c>
      <x:c r="B122" s="4" t="str">
        <x:v>121</x:v>
      </x:c>
      <x:c r="C122" s="4" t="str">
        <x:v>M4</x:v>
      </x:c>
      <x:c r="D122" s="4" t="str">
        <x:v>SECURITY</x:v>
      </x:c>
      <x:c r="E122" s="4" t="str">
        <x:v>P0</x:v>
      </x:c>
      <x:c r="F122" s="17" t="str">
        <x:v>跑腿端质量安全</x:v>
      </x:c>
      <x:c r="G122" s="17" t="str">
        <x:v>§10个人跑腿与企业统一配送</x:v>
      </x:c>
      <x:c r="H122" s="4" t="str">
        <x:v>P0-114</x:v>
      </x:c>
      <x:c r="I122" s="4"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4" t="str">
        <x:v>NOT_STARTED</x:v>
      </x:c>
      <x:c r="N122" s="4" t="str">
        <x:v>NOT_EXECUTED</x:v>
      </x:c>
      <x:c r="O122" s="4" t="str">
        <x:v>UNASSIGNED</x:v>
      </x:c>
      <x:c r="P122" s="4" t="str"/>
      <x:c r="Q122" s="17" t="str">
        <x:v>codex/m4-m4-p114</x:v>
      </x:c>
      <x:c r="R122" s="4" t="str"/>
      <x:c r="S122" s="4" t="str"/>
      <x:c r="T122" s="4" t="str"/>
      <x:c r="U122" s="4" t="str"/>
      <x:c r="V122" s="4" t="str">
        <x:v>YES</x:v>
      </x:c>
      <x:c r="W122" s="17" t="str">
        <x:v>按原子提交回退；迁移仅向前修复</x:v>
      </x:c>
      <x:c r="X122" s="4" t="str"/>
      <x:c r="Y122" s="17" t="str"/>
    </x:row>
    <x:row r="123" ht="23" customHeight="1">
      <x:c r="A123" s="4" t="str">
        <x:v>M4-P115</x:v>
      </x:c>
      <x:c r="B123" s="4" t="str">
        <x:v>122</x:v>
      </x:c>
      <x:c r="C123" s="4" t="str">
        <x:v>M4</x:v>
      </x:c>
      <x:c r="D123" s="4" t="str">
        <x:v>LOGISTICS_STATE_MACHINE</x:v>
      </x:c>
      <x:c r="E123" s="4" t="str">
        <x:v>P0</x:v>
      </x:c>
      <x:c r="F123" s="17" t="str">
        <x:v>企业统一配送状态机</x:v>
      </x:c>
      <x:c r="G123" s="17" t="str">
        <x:v>§10个人跑腿与企业统一配送</x:v>
      </x:c>
      <x:c r="H123" s="4" t="str">
        <x:v>P0-115</x:v>
      </x:c>
      <x:c r="I123" s="4"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4" t="str">
        <x:v>NOT_STARTED</x:v>
      </x:c>
      <x:c r="N123" s="4" t="str">
        <x:v>NOT_EXECUTED</x:v>
      </x:c>
      <x:c r="O123" s="4" t="str">
        <x:v>UNASSIGNED</x:v>
      </x:c>
      <x:c r="P123" s="4" t="str"/>
      <x:c r="Q123" s="17" t="str">
        <x:v>codex/m4-m4-p115</x:v>
      </x:c>
      <x:c r="R123" s="4" t="str"/>
      <x:c r="S123" s="4" t="str"/>
      <x:c r="T123" s="4" t="str"/>
      <x:c r="U123" s="4" t="str"/>
      <x:c r="V123" s="4" t="str">
        <x:v>NO</x:v>
      </x:c>
      <x:c r="W123" s="17" t="str">
        <x:v>按原子提交回退；迁移仅向前修复</x:v>
      </x:c>
      <x:c r="X123" s="4" t="str"/>
      <x:c r="Y123" s="17" t="str"/>
    </x:row>
    <x:row r="124" ht="23" customHeight="1">
      <x:c r="A124" s="4" t="str">
        <x:v>M4-P116</x:v>
      </x:c>
      <x:c r="B124" s="4" t="str">
        <x:v>123</x:v>
      </x:c>
      <x:c r="C124" s="4" t="str">
        <x:v>M4</x:v>
      </x:c>
      <x:c r="D124" s="4" t="str">
        <x:v>LOGISTICS_STATE_MACHINE</x:v>
      </x:c>
      <x:c r="E124" s="4" t="str">
        <x:v>P0</x:v>
      </x:c>
      <x:c r="F124" s="17" t="str">
        <x:v>公司物流独立页面</x:v>
      </x:c>
      <x:c r="G124" s="17" t="str">
        <x:v>§10个人跑腿与企业统一配送</x:v>
      </x:c>
      <x:c r="H124" s="4" t="str">
        <x:v>P0-116</x:v>
      </x:c>
      <x:c r="I124" s="4"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4" t="str">
        <x:v>NOT_STARTED</x:v>
      </x:c>
      <x:c r="N124" s="4" t="str">
        <x:v>NOT_EXECUTED</x:v>
      </x:c>
      <x:c r="O124" s="4" t="str">
        <x:v>UNASSIGNED</x:v>
      </x:c>
      <x:c r="P124" s="4" t="str"/>
      <x:c r="Q124" s="17" t="str">
        <x:v>codex/m4-m4-p116</x:v>
      </x:c>
      <x:c r="R124" s="4" t="str"/>
      <x:c r="S124" s="4" t="str"/>
      <x:c r="T124" s="4" t="str"/>
      <x:c r="U124" s="4" t="str"/>
      <x:c r="V124" s="4" t="str">
        <x:v>NO</x:v>
      </x:c>
      <x:c r="W124" s="17" t="str">
        <x:v>按原子提交回退；迁移仅向前修复</x:v>
      </x:c>
      <x:c r="X124" s="4" t="str"/>
      <x:c r="Y124" s="17" t="str"/>
    </x:row>
    <x:row r="125" ht="23" customHeight="1">
      <x:c r="A125" s="4" t="str">
        <x:v>M4-P117</x:v>
      </x:c>
      <x:c r="B125" s="4" t="str">
        <x:v>124</x:v>
      </x:c>
      <x:c r="C125" s="4" t="str">
        <x:v>M4</x:v>
      </x:c>
      <x:c r="D125" s="4" t="str">
        <x:v>LOGISTICS_STATE_MACHINE</x:v>
      </x:c>
      <x:c r="E125" s="4" t="str">
        <x:v>P0</x:v>
      </x:c>
      <x:c r="F125" s="17" t="str">
        <x:v>企业汇总收货</x:v>
      </x:c>
      <x:c r="G125" s="17" t="str">
        <x:v>§10个人跑腿与企业统一配送</x:v>
      </x:c>
      <x:c r="H125" s="4" t="str">
        <x:v>P0-117</x:v>
      </x:c>
      <x:c r="I125" s="4"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4" t="str">
        <x:v>NOT_STARTED</x:v>
      </x:c>
      <x:c r="N125" s="4" t="str">
        <x:v>NOT_EXECUTED</x:v>
      </x:c>
      <x:c r="O125" s="4" t="str">
        <x:v>UNASSIGNED</x:v>
      </x:c>
      <x:c r="P125" s="4" t="str"/>
      <x:c r="Q125" s="17" t="str">
        <x:v>codex/m4-m4-p117</x:v>
      </x:c>
      <x:c r="R125" s="4" t="str"/>
      <x:c r="S125" s="4" t="str"/>
      <x:c r="T125" s="4" t="str"/>
      <x:c r="U125" s="4" t="str"/>
      <x:c r="V125" s="4" t="str">
        <x:v>NO</x:v>
      </x:c>
      <x:c r="W125" s="17" t="str">
        <x:v>按原子提交回退；迁移仅向前修复</x:v>
      </x:c>
      <x:c r="X125" s="4" t="str"/>
      <x:c r="Y125" s="17" t="str"/>
    </x:row>
    <x:row r="126" ht="23" customHeight="1">
      <x:c r="A126" s="4" t="str">
        <x:v>M4-P118</x:v>
      </x:c>
      <x:c r="B126" s="4" t="str">
        <x:v>125</x:v>
      </x:c>
      <x:c r="C126" s="4" t="str">
        <x:v>M4</x:v>
      </x:c>
      <x:c r="D126" s="4" t="str">
        <x:v>LOGISTICS_STATE_MACHINE</x:v>
      </x:c>
      <x:c r="E126" s="4" t="str">
        <x:v>P0</x:v>
      </x:c>
      <x:c r="F126" s="17" t="str">
        <x:v>企业派车与移动执行</x:v>
      </x:c>
      <x:c r="G126" s="17" t="str">
        <x:v>§10个人跑腿与企业统一配送</x:v>
      </x:c>
      <x:c r="H126" s="4" t="str">
        <x:v>P0-118</x:v>
      </x:c>
      <x:c r="I126" s="4"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4" t="str">
        <x:v>NOT_STARTED</x:v>
      </x:c>
      <x:c r="N126" s="4" t="str">
        <x:v>NOT_EXECUTED</x:v>
      </x:c>
      <x:c r="O126" s="4" t="str">
        <x:v>UNASSIGNED</x:v>
      </x:c>
      <x:c r="P126" s="4" t="str"/>
      <x:c r="Q126" s="17" t="str">
        <x:v>codex/m4-m4-p118</x:v>
      </x:c>
      <x:c r="R126" s="4" t="str"/>
      <x:c r="S126" s="4" t="str"/>
      <x:c r="T126" s="4" t="str"/>
      <x:c r="U126" s="4" t="str"/>
      <x:c r="V126" s="4" t="str">
        <x:v>YES</x:v>
      </x:c>
      <x:c r="W126" s="17" t="str">
        <x:v>按原子提交回退；迁移仅向前修复</x:v>
      </x:c>
      <x:c r="X126" s="4" t="str"/>
      <x:c r="Y126" s="17" t="str"/>
    </x:row>
    <x:row r="127" ht="23" customHeight="1">
      <x:c r="A127" s="4" t="str">
        <x:v>M4-P119</x:v>
      </x:c>
      <x:c r="B127" s="4" t="str">
        <x:v>126</x:v>
      </x:c>
      <x:c r="C127" s="4" t="str">
        <x:v>M4</x:v>
      </x:c>
      <x:c r="D127" s="4" t="str">
        <x:v>LOGISTICS_STATE_MACHINE</x:v>
      </x:c>
      <x:c r="E127" s="4" t="str">
        <x:v>P0</x:v>
      </x:c>
      <x:c r="F127" s="17" t="str">
        <x:v>企业签收、对客同步与审计</x:v>
      </x:c>
      <x:c r="G127" s="17" t="str">
        <x:v>§10个人跑腿与企业统一配送</x:v>
      </x:c>
      <x:c r="H127" s="4" t="str">
        <x:v>P0-119</x:v>
      </x:c>
      <x:c r="I127" s="4"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4" t="str">
        <x:v>NOT_STARTED</x:v>
      </x:c>
      <x:c r="N127" s="4" t="str">
        <x:v>NOT_EXECUTED</x:v>
      </x:c>
      <x:c r="O127" s="4" t="str">
        <x:v>UNASSIGNED</x:v>
      </x:c>
      <x:c r="P127" s="4" t="str"/>
      <x:c r="Q127" s="17" t="str">
        <x:v>codex/m4-m4-p119</x:v>
      </x:c>
      <x:c r="R127" s="4" t="str"/>
      <x:c r="S127" s="4" t="str"/>
      <x:c r="T127" s="4" t="str"/>
      <x:c r="U127" s="4" t="str"/>
      <x:c r="V127" s="4" t="str">
        <x:v>YES</x:v>
      </x:c>
      <x:c r="W127" s="17" t="str">
        <x:v>按原子提交回退；迁移仅向前修复</x:v>
      </x:c>
      <x:c r="X127" s="4" t="str"/>
      <x:c r="Y127" s="17" t="str"/>
    </x:row>
    <x:row r="128" ht="23" customHeight="1">
      <x:c r="A128" s="4" t="str">
        <x:v>M4-GATE</x:v>
      </x:c>
      <x:c r="B128" s="4" t="str">
        <x:v>127</x:v>
      </x:c>
      <x:c r="C128" s="4" t="str">
        <x:v>M4</x:v>
      </x:c>
      <x:c r="D128" s="4" t="str">
        <x:v>STAGE_GATE</x:v>
      </x:c>
      <x:c r="E128" s="4" t="str">
        <x:v>P0</x:v>
      </x:c>
      <x:c r="F128" s="17" t="str">
        <x:v>M4阶段门禁验收</x:v>
      </x:c>
      <x:c r="G128" s="17" t="str">
        <x:v>执行包§02</x:v>
      </x:c>
      <x:c r="H128" s="4" t="str"/>
      <x:c r="I128" s="4"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4" t="str">
        <x:v>NOT_STARTED</x:v>
      </x:c>
      <x:c r="N128" s="4" t="str">
        <x:v>NOT_EXECUTED</x:v>
      </x:c>
      <x:c r="O128" s="4" t="str">
        <x:v>UNASSIGNED</x:v>
      </x:c>
      <x:c r="P128" s="4" t="str"/>
      <x:c r="Q128" s="17" t="str">
        <x:v>codex/m4-m4</x:v>
      </x:c>
      <x:c r="R128" s="4" t="str"/>
      <x:c r="S128" s="4" t="str"/>
      <x:c r="T128" s="4" t="str"/>
      <x:c r="U128" s="4" t="str"/>
      <x:c r="V128" s="4" t="str">
        <x:v>YES</x:v>
      </x:c>
      <x:c r="W128" s="17" t="str">
        <x:v>按原子提交回退；迁移仅向前修复</x:v>
      </x:c>
      <x:c r="X128" s="4" t="str"/>
      <x:c r="Y128" s="17" t="str"/>
    </x:row>
    <x:row r="129" ht="23" customHeight="1">
      <x:c r="A129" s="4" t="str">
        <x:v>M5-000</x:v>
      </x:c>
      <x:c r="B129" s="4" t="str">
        <x:v>128</x:v>
      </x:c>
      <x:c r="C129" s="4" t="str">
        <x:v>M5</x:v>
      </x:c>
      <x:c r="D129" s="4" t="str">
        <x:v>CONTRACT_SLICE_PLAN</x:v>
      </x:c>
      <x:c r="E129" s="4" t="str">
        <x:v>P0</x:v>
      </x:c>
      <x:c r="F129" s="17" t="str">
        <x:v>冻结M5字段、状态机、权限与契约切片</x:v>
      </x:c>
      <x:c r="G129" s="17" t="str">
        <x:v>执行包字段/状态机/权限/API台账</x:v>
      </x:c>
      <x:c r="H129" s="4" t="str"/>
      <x:c r="I129" s="4"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4" t="str">
        <x:v>NOT_STARTED</x:v>
      </x:c>
      <x:c r="N129" s="4" t="str">
        <x:v>NOT_EXECUTED</x:v>
      </x:c>
      <x:c r="O129" s="4" t="str">
        <x:v>UNASSIGNED</x:v>
      </x:c>
      <x:c r="P129" s="4" t="str"/>
      <x:c r="Q129" s="17" t="str">
        <x:v>codex/m5-m5</x:v>
      </x:c>
      <x:c r="R129" s="4" t="str"/>
      <x:c r="S129" s="4" t="str"/>
      <x:c r="T129" s="4" t="str"/>
      <x:c r="U129" s="4" t="str"/>
      <x:c r="V129" s="4" t="str">
        <x:v>NO</x:v>
      </x:c>
      <x:c r="W129" s="17" t="str">
        <x:v>按原子提交回退；迁移仅向前修复</x:v>
      </x:c>
      <x:c r="X129" s="4" t="str"/>
      <x:c r="Y129" s="17" t="str"/>
    </x:row>
    <x:row r="130" ht="23" customHeight="1">
      <x:c r="A130" s="4" t="str">
        <x:v>M5-P038</x:v>
      </x:c>
      <x:c r="B130" s="4" t="str">
        <x:v>129</x:v>
      </x:c>
      <x:c r="C130" s="4" t="str">
        <x:v>M5</x:v>
      </x:c>
      <x:c r="D130" s="4" t="str">
        <x:v>BUSINESS_VERTICAL_SLICE</x:v>
      </x:c>
      <x:c r="E130" s="4" t="str">
        <x:v>P0</x:v>
      </x:c>
      <x:c r="F130" s="17" t="str">
        <x:v>售后统一受理</x:v>
      </x:c>
      <x:c r="G130" s="17" t="str">
        <x:v>§11售后、§12对账结算</x:v>
      </x:c>
      <x:c r="H130" s="4" t="str">
        <x:v>P0-038</x:v>
      </x:c>
      <x:c r="I130" s="4"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4" t="str">
        <x:v>NOT_STARTED</x:v>
      </x:c>
      <x:c r="N130" s="4" t="str">
        <x:v>NOT_EXECUTED</x:v>
      </x:c>
      <x:c r="O130" s="4" t="str">
        <x:v>UNASSIGNED</x:v>
      </x:c>
      <x:c r="P130" s="4" t="str"/>
      <x:c r="Q130" s="17" t="str">
        <x:v>codex/m5-m5-p038</x:v>
      </x:c>
      <x:c r="R130" s="4" t="str"/>
      <x:c r="S130" s="4" t="str"/>
      <x:c r="T130" s="4" t="str"/>
      <x:c r="U130" s="4" t="str"/>
      <x:c r="V130" s="4" t="str">
        <x:v>NO</x:v>
      </x:c>
      <x:c r="W130" s="17" t="str">
        <x:v>按原子提交回退；迁移仅向前修复</x:v>
      </x:c>
      <x:c r="X130" s="4" t="str"/>
      <x:c r="Y130" s="17" t="str"/>
    </x:row>
    <x:row r="131" ht="23" customHeight="1">
      <x:c r="A131" s="4" t="str">
        <x:v>M5-P039</x:v>
      </x:c>
      <x:c r="B131" s="4" t="str">
        <x:v>130</x:v>
      </x:c>
      <x:c r="C131" s="4" t="str">
        <x:v>M5</x:v>
      </x:c>
      <x:c r="D131" s="4" t="str">
        <x:v>BUSINESS_VERTICAL_SLICE</x:v>
      </x:c>
      <x:c r="E131" s="4" t="str">
        <x:v>P0</x:v>
      </x:c>
      <x:c r="F131" s="17" t="str">
        <x:v>责任归因</x:v>
      </x:c>
      <x:c r="G131" s="17" t="str">
        <x:v>§11售后、§12对账结算</x:v>
      </x:c>
      <x:c r="H131" s="4" t="str">
        <x:v>P0-039</x:v>
      </x:c>
      <x:c r="I131" s="4"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4" t="str">
        <x:v>NOT_STARTED</x:v>
      </x:c>
      <x:c r="N131" s="4" t="str">
        <x:v>NOT_EXECUTED</x:v>
      </x:c>
      <x:c r="O131" s="4" t="str">
        <x:v>UNASSIGNED</x:v>
      </x:c>
      <x:c r="P131" s="4" t="str"/>
      <x:c r="Q131" s="17" t="str">
        <x:v>codex/m5-m5-p039</x:v>
      </x:c>
      <x:c r="R131" s="4" t="str"/>
      <x:c r="S131" s="4" t="str"/>
      <x:c r="T131" s="4" t="str"/>
      <x:c r="U131" s="4" t="str"/>
      <x:c r="V131" s="4" t="str">
        <x:v>NO</x:v>
      </x:c>
      <x:c r="W131" s="17" t="str">
        <x:v>按原子提交回退；迁移仅向前修复</x:v>
      </x:c>
      <x:c r="X131" s="4" t="str"/>
      <x:c r="Y131" s="17" t="str"/>
    </x:row>
    <x:row r="132" ht="23" customHeight="1">
      <x:c r="A132" s="4" t="str">
        <x:v>M5-P040</x:v>
      </x:c>
      <x:c r="B132" s="4" t="str">
        <x:v>131</x:v>
      </x:c>
      <x:c r="C132" s="4" t="str">
        <x:v>M5</x:v>
      </x:c>
      <x:c r="D132" s="4" t="str">
        <x:v>FINANCE_TRANSACTION</x:v>
      </x:c>
      <x:c r="E132" s="4" t="str">
        <x:v>P0</x:v>
      </x:c>
      <x:c r="F132" s="17" t="str">
        <x:v>线上对账单</x:v>
      </x:c>
      <x:c r="G132" s="17" t="str">
        <x:v>§11售后、§12对账结算</x:v>
      </x:c>
      <x:c r="H132" s="4" t="str">
        <x:v>P0-040</x:v>
      </x:c>
      <x:c r="I132" s="4"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4" t="str">
        <x:v>NOT_STARTED</x:v>
      </x:c>
      <x:c r="N132" s="4" t="str">
        <x:v>NOT_EXECUTED</x:v>
      </x:c>
      <x:c r="O132" s="4" t="str">
        <x:v>UNASSIGNED</x:v>
      </x:c>
      <x:c r="P132" s="4" t="str"/>
      <x:c r="Q132" s="17" t="str">
        <x:v>codex/m5-m5-p040</x:v>
      </x:c>
      <x:c r="R132" s="4" t="str"/>
      <x:c r="S132" s="4" t="str"/>
      <x:c r="T132" s="4" t="str"/>
      <x:c r="U132" s="4" t="str"/>
      <x:c r="V132" s="4" t="str">
        <x:v>NO</x:v>
      </x:c>
      <x:c r="W132" s="17" t="str">
        <x:v>按原子提交回退；迁移仅向前修复</x:v>
      </x:c>
      <x:c r="X132" s="4" t="str"/>
      <x:c r="Y132" s="17" t="str"/>
    </x:row>
    <x:row r="133" ht="23" customHeight="1">
      <x:c r="A133" s="4" t="str">
        <x:v>M5-P041</x:v>
      </x:c>
      <x:c r="B133" s="4" t="str">
        <x:v>132</x:v>
      </x:c>
      <x:c r="C133" s="4" t="str">
        <x:v>M5</x:v>
      </x:c>
      <x:c r="D133" s="4" t="str">
        <x:v>FINANCE_TRANSACTION</x:v>
      </x:c>
      <x:c r="E133" s="4" t="str">
        <x:v>P0</x:v>
      </x:c>
      <x:c r="F133" s="17" t="str">
        <x:v>差异申诉</x:v>
      </x:c>
      <x:c r="G133" s="17" t="str">
        <x:v>§11售后、§12对账结算</x:v>
      </x:c>
      <x:c r="H133" s="4" t="str">
        <x:v>P0-041</x:v>
      </x:c>
      <x:c r="I133" s="4"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4" t="str">
        <x:v>NOT_STARTED</x:v>
      </x:c>
      <x:c r="N133" s="4" t="str">
        <x:v>NOT_EXECUTED</x:v>
      </x:c>
      <x:c r="O133" s="4" t="str">
        <x:v>UNASSIGNED</x:v>
      </x:c>
      <x:c r="P133" s="4" t="str"/>
      <x:c r="Q133" s="17" t="str">
        <x:v>codex/m5-m5-p041</x:v>
      </x:c>
      <x:c r="R133" s="4" t="str"/>
      <x:c r="S133" s="4" t="str"/>
      <x:c r="T133" s="4" t="str"/>
      <x:c r="U133" s="4" t="str"/>
      <x:c r="V133" s="4" t="str">
        <x:v>NO</x:v>
      </x:c>
      <x:c r="W133" s="17" t="str">
        <x:v>按原子提交回退；迁移仅向前修复</x:v>
      </x:c>
      <x:c r="X133" s="4" t="str"/>
      <x:c r="Y133" s="17" t="str"/>
    </x:row>
    <x:row r="134" ht="23" customHeight="1">
      <x:c r="A134" s="4" t="str">
        <x:v>M5-P042</x:v>
      </x:c>
      <x:c r="B134" s="4" t="str">
        <x:v>133</x:v>
      </x:c>
      <x:c r="C134" s="4" t="str">
        <x:v>M5</x:v>
      </x:c>
      <x:c r="D134" s="4" t="str">
        <x:v>FINANCE_TRANSACTION</x:v>
      </x:c>
      <x:c r="E134" s="4" t="str">
        <x:v>P0</x:v>
      </x:c>
      <x:c r="F134" s="17" t="str">
        <x:v>线下结算</x:v>
      </x:c>
      <x:c r="G134" s="17" t="str">
        <x:v>§11售后、§12对账结算</x:v>
      </x:c>
      <x:c r="H134" s="4" t="str">
        <x:v>P0-042</x:v>
      </x:c>
      <x:c r="I134" s="4"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4" t="str">
        <x:v>NOT_STARTED</x:v>
      </x:c>
      <x:c r="N134" s="4" t="str">
        <x:v>NOT_EXECUTED</x:v>
      </x:c>
      <x:c r="O134" s="4" t="str">
        <x:v>UNASSIGNED</x:v>
      </x:c>
      <x:c r="P134" s="4" t="str"/>
      <x:c r="Q134" s="17" t="str">
        <x:v>codex/m5-m5-p042</x:v>
      </x:c>
      <x:c r="R134" s="4" t="str"/>
      <x:c r="S134" s="4" t="str"/>
      <x:c r="T134" s="4" t="str"/>
      <x:c r="U134" s="4" t="str"/>
      <x:c r="V134" s="4" t="str">
        <x:v>YES</x:v>
      </x:c>
      <x:c r="W134" s="17" t="str">
        <x:v>按原子提交回退；迁移仅向前修复</x:v>
      </x:c>
      <x:c r="X134" s="4" t="str"/>
      <x:c r="Y134" s="17" t="str"/>
    </x:row>
    <x:row r="135" ht="23" customHeight="1">
      <x:c r="A135" s="4" t="str">
        <x:v>M5-P043</x:v>
      </x:c>
      <x:c r="B135" s="4" t="str">
        <x:v>134</x:v>
      </x:c>
      <x:c r="C135" s="4" t="str">
        <x:v>M5</x:v>
      </x:c>
      <x:c r="D135" s="4" t="str">
        <x:v>FINANCE_TRANSACTION</x:v>
      </x:c>
      <x:c r="E135" s="4" t="str">
        <x:v>P0</x:v>
      </x:c>
      <x:c r="F135" s="17" t="str">
        <x:v>账单不可覆盖</x:v>
      </x:c>
      <x:c r="G135" s="17" t="str">
        <x:v>§11售后、§12对账结算</x:v>
      </x:c>
      <x:c r="H135" s="4" t="str">
        <x:v>P0-043</x:v>
      </x:c>
      <x:c r="I135" s="4"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4" t="str">
        <x:v>NOT_STARTED</x:v>
      </x:c>
      <x:c r="N135" s="4" t="str">
        <x:v>NOT_EXECUTED</x:v>
      </x:c>
      <x:c r="O135" s="4" t="str">
        <x:v>UNASSIGNED</x:v>
      </x:c>
      <x:c r="P135" s="4" t="str"/>
      <x:c r="Q135" s="17" t="str">
        <x:v>codex/m5-m5-p043</x:v>
      </x:c>
      <x:c r="R135" s="4" t="str"/>
      <x:c r="S135" s="4" t="str"/>
      <x:c r="T135" s="4" t="str"/>
      <x:c r="U135" s="4" t="str"/>
      <x:c r="V135" s="4" t="str">
        <x:v>NO</x:v>
      </x:c>
      <x:c r="W135" s="17" t="str">
        <x:v>按原子提交回退；迁移仅向前修复</x:v>
      </x:c>
      <x:c r="X135" s="4" t="str"/>
      <x:c r="Y135" s="17" t="str"/>
    </x:row>
    <x:row r="136" ht="23" customHeight="1">
      <x:c r="A136" s="4" t="str">
        <x:v>M5-P044</x:v>
      </x:c>
      <x:c r="B136" s="4" t="str">
        <x:v>135</x:v>
      </x:c>
      <x:c r="C136" s="4" t="str">
        <x:v>M5</x:v>
      </x:c>
      <x:c r="D136" s="4" t="str">
        <x:v>BUSINESS_VERTICAL_SLICE</x:v>
      </x:c>
      <x:c r="E136" s="4" t="str">
        <x:v>P0</x:v>
      </x:c>
      <x:c r="F136" s="17" t="str">
        <x:v>供应商退出</x:v>
      </x:c>
      <x:c r="G136" s="17" t="str">
        <x:v>§11售后、§12对账结算</x:v>
      </x:c>
      <x:c r="H136" s="4" t="str">
        <x:v>P0-044</x:v>
      </x:c>
      <x:c r="I136" s="4"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4" t="str">
        <x:v>NOT_STARTED</x:v>
      </x:c>
      <x:c r="N136" s="4" t="str">
        <x:v>NOT_EXECUTED</x:v>
      </x:c>
      <x:c r="O136" s="4" t="str">
        <x:v>UNASSIGNED</x:v>
      </x:c>
      <x:c r="P136" s="4" t="str"/>
      <x:c r="Q136" s="17" t="str">
        <x:v>codex/m5-m5-p044</x:v>
      </x:c>
      <x:c r="R136" s="4" t="str"/>
      <x:c r="S136" s="4" t="str"/>
      <x:c r="T136" s="4" t="str"/>
      <x:c r="U136" s="4" t="str"/>
      <x:c r="V136" s="4" t="str">
        <x:v>NO</x:v>
      </x:c>
      <x:c r="W136" s="17" t="str">
        <x:v>按原子提交回退；迁移仅向前修复</x:v>
      </x:c>
      <x:c r="X136" s="4" t="str"/>
      <x:c r="Y136" s="17" t="str"/>
    </x:row>
    <x:row r="137" ht="23" customHeight="1">
      <x:c r="A137" s="4" t="str">
        <x:v>M5-P060</x:v>
      </x:c>
      <x:c r="B137" s="4" t="str">
        <x:v>136</x:v>
      </x:c>
      <x:c r="C137" s="4" t="str">
        <x:v>M5</x:v>
      </x:c>
      <x:c r="D137" s="4" t="str">
        <x:v>FINANCE_TRANSACTION</x:v>
      </x:c>
      <x:c r="E137" s="4" t="str">
        <x:v>P0</x:v>
      </x:c>
      <x:c r="F137" s="17" t="str">
        <x:v>供应商结算隔离与合规门槛</x:v>
      </x:c>
      <x:c r="G137" s="17" t="str">
        <x:v>§11售后、§12对账结算</x:v>
      </x:c>
      <x:c r="H137" s="4" t="str">
        <x:v>P0-060</x:v>
      </x:c>
      <x:c r="I137" s="4"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4" t="str">
        <x:v>NOT_STARTED</x:v>
      </x:c>
      <x:c r="N137" s="4" t="str">
        <x:v>NOT_EXECUTED</x:v>
      </x:c>
      <x:c r="O137" s="4" t="str">
        <x:v>UNASSIGNED</x:v>
      </x:c>
      <x:c r="P137" s="4" t="str"/>
      <x:c r="Q137" s="17" t="str">
        <x:v>codex/m5-m5-p060</x:v>
      </x:c>
      <x:c r="R137" s="4" t="str"/>
      <x:c r="S137" s="4" t="str"/>
      <x:c r="T137" s="4" t="str"/>
      <x:c r="U137" s="4" t="str"/>
      <x:c r="V137" s="4" t="str">
        <x:v>NO</x:v>
      </x:c>
      <x:c r="W137" s="17" t="str">
        <x:v>按原子提交回退；迁移仅向前修复</x:v>
      </x:c>
      <x:c r="X137" s="4" t="str"/>
      <x:c r="Y137" s="17" t="str"/>
    </x:row>
    <x:row r="138" ht="23" customHeight="1">
      <x:c r="A138" s="4" t="str">
        <x:v>M5-P065</x:v>
      </x:c>
      <x:c r="B138" s="4" t="str">
        <x:v>137</x:v>
      </x:c>
      <x:c r="C138" s="4" t="str">
        <x:v>M5</x:v>
      </x:c>
      <x:c r="D138" s="4" t="str">
        <x:v>FINANCE_TRANSACTION</x:v>
      </x:c>
      <x:c r="E138" s="4" t="str">
        <x:v>P0</x:v>
      </x:c>
      <x:c r="F138" s="17" t="str">
        <x:v>多供应商分别对账</x:v>
      </x:c>
      <x:c r="G138" s="17" t="str">
        <x:v>§11售后、§12对账结算</x:v>
      </x:c>
      <x:c r="H138" s="4" t="str">
        <x:v>P0-065</x:v>
      </x:c>
      <x:c r="I138" s="4"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4" t="str">
        <x:v>NOT_STARTED</x:v>
      </x:c>
      <x:c r="N138" s="4" t="str">
        <x:v>NOT_EXECUTED</x:v>
      </x:c>
      <x:c r="O138" s="4" t="str">
        <x:v>UNASSIGNED</x:v>
      </x:c>
      <x:c r="P138" s="4" t="str"/>
      <x:c r="Q138" s="17" t="str">
        <x:v>codex/m5-m5-p065</x:v>
      </x:c>
      <x:c r="R138" s="4" t="str"/>
      <x:c r="S138" s="4" t="str"/>
      <x:c r="T138" s="4" t="str"/>
      <x:c r="U138" s="4" t="str"/>
      <x:c r="V138" s="4" t="str">
        <x:v>NO</x:v>
      </x:c>
      <x:c r="W138" s="17" t="str">
        <x:v>按原子提交回退；迁移仅向前修复</x:v>
      </x:c>
      <x:c r="X138" s="4" t="str"/>
      <x:c r="Y138" s="17" t="str"/>
    </x:row>
    <x:row r="139" ht="23" customHeight="1">
      <x:c r="A139" s="4" t="str">
        <x:v>M5-P082</x:v>
      </x:c>
      <x:c r="B139" s="4" t="str">
        <x:v>138</x:v>
      </x:c>
      <x:c r="C139" s="4" t="str">
        <x:v>M5</x:v>
      </x:c>
      <x:c r="D139" s="4" t="str">
        <x:v>SECURITY</x:v>
      </x:c>
      <x:c r="E139" s="4" t="str">
        <x:v>P0</x:v>
      </x:c>
      <x:c r="F139" s="17" t="str">
        <x:v>门户内容、SEO 与安全</x:v>
      </x:c>
      <x:c r="G139" s="17" t="str">
        <x:v>§8企业门户网站</x:v>
      </x:c>
      <x:c r="H139" s="4" t="str">
        <x:v>P0-082</x:v>
      </x:c>
      <x:c r="I139" s="4"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4" t="str">
        <x:v>NOT_STARTED</x:v>
      </x:c>
      <x:c r="N139" s="4" t="str">
        <x:v>NOT_EXECUTED</x:v>
      </x:c>
      <x:c r="O139" s="4" t="str">
        <x:v>UNASSIGNED</x:v>
      </x:c>
      <x:c r="P139" s="4" t="str"/>
      <x:c r="Q139" s="17" t="str">
        <x:v>codex/m5-seo</x:v>
      </x:c>
      <x:c r="R139" s="4" t="str"/>
      <x:c r="S139" s="4" t="str"/>
      <x:c r="T139" s="4" t="str"/>
      <x:c r="U139" s="4" t="str"/>
      <x:c r="V139" s="4" t="str">
        <x:v>YES</x:v>
      </x:c>
      <x:c r="W139" s="17" t="str">
        <x:v>按原子提交回退；迁移仅向前修复</x:v>
      </x:c>
      <x:c r="X139" s="4" t="str"/>
      <x:c r="Y139" s="17" t="str"/>
    </x:row>
    <x:row r="140" ht="23" customHeight="1">
      <x:c r="A140" s="4" t="str">
        <x:v>M5-GATE</x:v>
      </x:c>
      <x:c r="B140" s="4" t="str">
        <x:v>139</x:v>
      </x:c>
      <x:c r="C140" s="4" t="str">
        <x:v>M5</x:v>
      </x:c>
      <x:c r="D140" s="4" t="str">
        <x:v>STAGE_GATE</x:v>
      </x:c>
      <x:c r="E140" s="4" t="str">
        <x:v>P0</x:v>
      </x:c>
      <x:c r="F140" s="17" t="str">
        <x:v>M5阶段门禁验收</x:v>
      </x:c>
      <x:c r="G140" s="17" t="str">
        <x:v>执行包§02</x:v>
      </x:c>
      <x:c r="H140" s="4" t="str"/>
      <x:c r="I140" s="4"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4" t="str">
        <x:v>NOT_STARTED</x:v>
      </x:c>
      <x:c r="N140" s="4" t="str">
        <x:v>NOT_EXECUTED</x:v>
      </x:c>
      <x:c r="O140" s="4" t="str">
        <x:v>UNASSIGNED</x:v>
      </x:c>
      <x:c r="P140" s="4" t="str"/>
      <x:c r="Q140" s="17" t="str">
        <x:v>codex/m5-m5</x:v>
      </x:c>
      <x:c r="R140" s="4" t="str"/>
      <x:c r="S140" s="4" t="str"/>
      <x:c r="T140" s="4" t="str"/>
      <x:c r="U140" s="4" t="str"/>
      <x:c r="V140" s="4" t="str">
        <x:v>YES</x:v>
      </x:c>
      <x:c r="W140" s="17" t="str">
        <x:v>按原子提交回退；迁移仅向前修复</x:v>
      </x:c>
      <x:c r="X140" s="4" t="str"/>
      <x:c r="Y140" s="17" t="str"/>
    </x:row>
    <x:row r="141" ht="23" customHeight="1">
      <x:c r="A141" s="4" t="str">
        <x:v>M6-000</x:v>
      </x:c>
      <x:c r="B141" s="4" t="str">
        <x:v>140</x:v>
      </x:c>
      <x:c r="C141" s="4" t="str">
        <x:v>M6</x:v>
      </x:c>
      <x:c r="D141" s="4" t="str">
        <x:v>CONTRACT_SLICE_PLAN</x:v>
      </x:c>
      <x:c r="E141" s="4" t="str">
        <x:v>P0</x:v>
      </x:c>
      <x:c r="F141" s="17" t="str">
        <x:v>冻结M6字段、状态机、权限与契约切片</x:v>
      </x:c>
      <x:c r="G141" s="17" t="str">
        <x:v>执行包字段/状态机/权限/API台账</x:v>
      </x:c>
      <x:c r="H141" s="4" t="str"/>
      <x:c r="I141" s="4"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4" t="str">
        <x:v>NOT_STARTED</x:v>
      </x:c>
      <x:c r="N141" s="4" t="str">
        <x:v>NOT_EXECUTED</x:v>
      </x:c>
      <x:c r="O141" s="4" t="str">
        <x:v>UNASSIGNED</x:v>
      </x:c>
      <x:c r="P141" s="4" t="str"/>
      <x:c r="Q141" s="17" t="str">
        <x:v>codex/m6-m6</x:v>
      </x:c>
      <x:c r="R141" s="4" t="str"/>
      <x:c r="S141" s="4" t="str"/>
      <x:c r="T141" s="4" t="str"/>
      <x:c r="U141" s="4" t="str"/>
      <x:c r="V141" s="4" t="str">
        <x:v>NO</x:v>
      </x:c>
      <x:c r="W141" s="17" t="str">
        <x:v>按原子提交回退；迁移仅向前修复</x:v>
      </x:c>
      <x:c r="X141" s="4" t="str"/>
      <x:c r="Y141" s="17" t="str"/>
    </x:row>
    <x:row r="142" ht="23" customHeight="1">
      <x:c r="A142" s="4" t="str">
        <x:v>M6-P048</x:v>
      </x:c>
      <x:c r="B142" s="4" t="str">
        <x:v>141</x:v>
      </x:c>
      <x:c r="C142" s="4" t="str">
        <x:v>M6</x:v>
      </x:c>
      <x:c r="D142" s="4" t="str">
        <x:v>BUSINESS_VERTICAL_SLICE</x:v>
      </x:c>
      <x:c r="E142" s="4" t="str">
        <x:v>P0</x:v>
      </x:c>
      <x:c r="F142" s="17" t="str">
        <x:v>迁移与构建</x:v>
      </x:c>
      <x:c r="G142" s="17" t="str">
        <x:v>§15工程与§16-P0验收矩阵</x:v>
      </x:c>
      <x:c r="H142" s="4" t="str">
        <x:v>P0-048</x:v>
      </x:c>
      <x:c r="I142" s="4"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4" t="str">
        <x:v>NOT_STARTED</x:v>
      </x:c>
      <x:c r="N142" s="4" t="str">
        <x:v>NOT_EXECUTED</x:v>
      </x:c>
      <x:c r="O142" s="4" t="str">
        <x:v>UNASSIGNED</x:v>
      </x:c>
      <x:c r="P142" s="4" t="str"/>
      <x:c r="Q142" s="17" t="str">
        <x:v>codex/m6-m6-p048</x:v>
      </x:c>
      <x:c r="R142" s="4" t="str"/>
      <x:c r="S142" s="4" t="str"/>
      <x:c r="T142" s="4" t="str"/>
      <x:c r="U142" s="4" t="str"/>
      <x:c r="V142" s="4" t="str">
        <x:v>NO</x:v>
      </x:c>
      <x:c r="W142" s="17" t="str">
        <x:v>按原子提交回退；迁移仅向前修复</x:v>
      </x:c>
      <x:c r="X142" s="4" t="str"/>
      <x:c r="Y142" s="17" t="str"/>
    </x:row>
    <x:row r="143" ht="23" customHeight="1">
      <x:c r="A143" s="4" t="str">
        <x:v>M6-P049</x:v>
      </x:c>
      <x:c r="B143" s="4" t="str">
        <x:v>142</x:v>
      </x:c>
      <x:c r="C143" s="4" t="str">
        <x:v>M6</x:v>
      </x:c>
      <x:c r="D143" s="4" t="str">
        <x:v>BUSINESS_VERTICAL_SLICE</x:v>
      </x:c>
      <x:c r="E143" s="4" t="str">
        <x:v>P0</x:v>
      </x:c>
      <x:c r="F143" s="17" t="str">
        <x:v>异常页面状态</x:v>
      </x:c>
      <x:c r="G143" s="17" t="str">
        <x:v>§15工程与§16-P0验收矩阵</x:v>
      </x:c>
      <x:c r="H143" s="4" t="str">
        <x:v>P0-049</x:v>
      </x:c>
      <x:c r="I143" s="4"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4" t="str">
        <x:v>NOT_STARTED</x:v>
      </x:c>
      <x:c r="N143" s="4" t="str">
        <x:v>NOT_EXECUTED</x:v>
      </x:c>
      <x:c r="O143" s="4" t="str">
        <x:v>UNASSIGNED</x:v>
      </x:c>
      <x:c r="P143" s="4" t="str"/>
      <x:c r="Q143" s="17" t="str">
        <x:v>codex/m6-m6-p049</x:v>
      </x:c>
      <x:c r="R143" s="4" t="str"/>
      <x:c r="S143" s="4" t="str"/>
      <x:c r="T143" s="4" t="str"/>
      <x:c r="U143" s="4" t="str"/>
      <x:c r="V143" s="4" t="str">
        <x:v>NO</x:v>
      </x:c>
      <x:c r="W143" s="17" t="str">
        <x:v>按原子提交回退；迁移仅向前修复</x:v>
      </x:c>
      <x:c r="X143" s="4" t="str"/>
      <x:c r="Y143" s="17" t="str"/>
    </x:row>
    <x:row r="144" ht="23" customHeight="1">
      <x:c r="A144" s="4" t="str">
        <x:v>M6-P050</x:v>
      </x:c>
      <x:c r="B144" s="4" t="str">
        <x:v>143</x:v>
      </x:c>
      <x:c r="C144" s="4" t="str">
        <x:v>M6</x:v>
      </x:c>
      <x:c r="D144" s="4" t="str">
        <x:v>BUSINESS_VERTICAL_SLICE</x:v>
      </x:c>
      <x:c r="E144" s="4" t="str">
        <x:v>P0</x:v>
      </x:c>
      <x:c r="F144" s="17" t="str">
        <x:v>综合闭环</x:v>
      </x:c>
      <x:c r="G144" s="17" t="str">
        <x:v>§15工程与§16-P0验收矩阵</x:v>
      </x:c>
      <x:c r="H144" s="4" t="str">
        <x:v>P0-050</x:v>
      </x:c>
      <x:c r="I144" s="4"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4" t="str">
        <x:v>NOT_STARTED</x:v>
      </x:c>
      <x:c r="N144" s="4" t="str">
        <x:v>NOT_EXECUTED</x:v>
      </x:c>
      <x:c r="O144" s="4" t="str">
        <x:v>UNASSIGNED</x:v>
      </x:c>
      <x:c r="P144" s="4" t="str"/>
      <x:c r="Q144" s="17" t="str">
        <x:v>codex/m6-m6-p050</x:v>
      </x:c>
      <x:c r="R144" s="4" t="str"/>
      <x:c r="S144" s="4" t="str"/>
      <x:c r="T144" s="4" t="str"/>
      <x:c r="U144" s="4" t="str"/>
      <x:c r="V144" s="4" t="str">
        <x:v>NO</x:v>
      </x:c>
      <x:c r="W144" s="17" t="str">
        <x:v>按原子提交回退；迁移仅向前修复</x:v>
      </x:c>
      <x:c r="X144" s="4" t="str"/>
      <x:c r="Y144" s="17" t="str"/>
    </x:row>
    <x:row r="145" ht="23" customHeight="1">
      <x:c r="A145" s="4" t="str">
        <x:v>M6-900</x:v>
      </x:c>
      <x:c r="B145" s="4" t="str">
        <x:v>144</x:v>
      </x:c>
      <x:c r="C145" s="4" t="str">
        <x:v>M6</x:v>
      </x:c>
      <x:c r="D145" s="4" t="str">
        <x:v>RELEASE_READINESS</x:v>
      </x:c>
      <x:c r="E145" s="4" t="str">
        <x:v>P0</x:v>
      </x:c>
      <x:c r="F145" s="17" t="str">
        <x:v>全量安全与隐私复核</x:v>
      </x:c>
      <x:c r="G145" s="17" t="str">
        <x:v>§14-§17</x:v>
      </x:c>
      <x:c r="H145" s="4" t="str"/>
      <x:c r="I145" s="4"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4" t="str">
        <x:v>NOT_STARTED</x:v>
      </x:c>
      <x:c r="N145" s="4" t="str">
        <x:v>NOT_EXECUTED</x:v>
      </x:c>
      <x:c r="O145" s="4" t="str">
        <x:v>UNASSIGNED</x:v>
      </x:c>
      <x:c r="P145" s="4" t="str"/>
      <x:c r="Q145" s="17" t="str">
        <x:v>codex/m6-m6-900</x:v>
      </x:c>
      <x:c r="R145" s="4" t="str"/>
      <x:c r="S145" s="4" t="str"/>
      <x:c r="T145" s="4" t="str"/>
      <x:c r="U145" s="4" t="str"/>
      <x:c r="V145" s="4" t="str">
        <x:v>YES</x:v>
      </x:c>
      <x:c r="W145" s="17" t="str">
        <x:v>按原子提交回退；迁移仅向前修复</x:v>
      </x:c>
      <x:c r="X145" s="4" t="str"/>
      <x:c r="Y145" s="17" t="str"/>
    </x:row>
    <x:row r="146" ht="23" customHeight="1">
      <x:c r="A146" s="4" t="str">
        <x:v>M6-901</x:v>
      </x:c>
      <x:c r="B146" s="4" t="str">
        <x:v>145</x:v>
      </x:c>
      <x:c r="C146" s="4" t="str">
        <x:v>M6</x:v>
      </x:c>
      <x:c r="D146" s="4" t="str">
        <x:v>RELEASE_READINESS</x:v>
      </x:c>
      <x:c r="E146" s="4" t="str">
        <x:v>P0</x:v>
      </x:c>
      <x:c r="F146" s="17" t="str">
        <x:v>性能容量与并发压测</x:v>
      </x:c>
      <x:c r="G146" s="17" t="str">
        <x:v>§14-§17</x:v>
      </x:c>
      <x:c r="H146" s="4" t="str"/>
      <x:c r="I146" s="4"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4" t="str">
        <x:v>NOT_STARTED</x:v>
      </x:c>
      <x:c r="N146" s="4" t="str">
        <x:v>NOT_EXECUTED</x:v>
      </x:c>
      <x:c r="O146" s="4" t="str">
        <x:v>UNASSIGNED</x:v>
      </x:c>
      <x:c r="P146" s="4" t="str"/>
      <x:c r="Q146" s="17" t="str">
        <x:v>codex/m6-m6-901</x:v>
      </x:c>
      <x:c r="R146" s="4" t="str"/>
      <x:c r="S146" s="4" t="str"/>
      <x:c r="T146" s="4" t="str"/>
      <x:c r="U146" s="4" t="str"/>
      <x:c r="V146" s="4" t="str">
        <x:v>YES</x:v>
      </x:c>
      <x:c r="W146" s="17" t="str">
        <x:v>按原子提交回退；迁移仅向前修复</x:v>
      </x:c>
      <x:c r="X146" s="4" t="str"/>
      <x:c r="Y146" s="17" t="str"/>
    </x:row>
    <x:row r="147" ht="23" customHeight="1">
      <x:c r="A147" s="4" t="str">
        <x:v>M6-902</x:v>
      </x:c>
      <x:c r="B147" s="4" t="str">
        <x:v>146</x:v>
      </x:c>
      <x:c r="C147" s="4" t="str">
        <x:v>M6</x:v>
      </x:c>
      <x:c r="D147" s="4" t="str">
        <x:v>RELEASE_READINESS</x:v>
      </x:c>
      <x:c r="E147" s="4" t="str">
        <x:v>P0</x:v>
      </x:c>
      <x:c r="F147" s="17" t="str">
        <x:v>预发布迁移与备份恢复演练</x:v>
      </x:c>
      <x:c r="G147" s="17" t="str">
        <x:v>§14-§17</x:v>
      </x:c>
      <x:c r="H147" s="4" t="str"/>
      <x:c r="I147" s="4"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4" t="str">
        <x:v>NOT_STARTED</x:v>
      </x:c>
      <x:c r="N147" s="4" t="str">
        <x:v>NOT_EXECUTED</x:v>
      </x:c>
      <x:c r="O147" s="4" t="str">
        <x:v>UNASSIGNED</x:v>
      </x:c>
      <x:c r="P147" s="4" t="str"/>
      <x:c r="Q147" s="17" t="str">
        <x:v>codex/m6-m6-902</x:v>
      </x:c>
      <x:c r="R147" s="4" t="str"/>
      <x:c r="S147" s="4" t="str"/>
      <x:c r="T147" s="4" t="str"/>
      <x:c r="U147" s="4" t="str"/>
      <x:c r="V147" s="4" t="str">
        <x:v>YES</x:v>
      </x:c>
      <x:c r="W147" s="17" t="str">
        <x:v>按原子提交回退；迁移仅向前修复</x:v>
      </x:c>
      <x:c r="X147" s="4" t="str"/>
      <x:c r="Y147" s="17" t="str"/>
    </x:row>
    <x:row r="148" ht="23" customHeight="1">
      <x:c r="A148" s="4" t="str">
        <x:v>M6-903</x:v>
      </x:c>
      <x:c r="B148" s="4" t="str">
        <x:v>147</x:v>
      </x:c>
      <x:c r="C148" s="4" t="str">
        <x:v>M6</x:v>
      </x:c>
      <x:c r="D148" s="4" t="str">
        <x:v>RELEASE_READINESS</x:v>
      </x:c>
      <x:c r="E148" s="4" t="str">
        <x:v>P0</x:v>
      </x:c>
      <x:c r="F148" s="17" t="str">
        <x:v>五端与微信真机全链验收</x:v>
      </x:c>
      <x:c r="G148" s="17" t="str">
        <x:v>§14-§17</x:v>
      </x:c>
      <x:c r="H148" s="4" t="str"/>
      <x:c r="I148" s="4"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4" t="str">
        <x:v>NOT_STARTED</x:v>
      </x:c>
      <x:c r="N148" s="4" t="str">
        <x:v>NOT_EXECUTED</x:v>
      </x:c>
      <x:c r="O148" s="4" t="str">
        <x:v>UNASSIGNED</x:v>
      </x:c>
      <x:c r="P148" s="4" t="str"/>
      <x:c r="Q148" s="17" t="str">
        <x:v>codex/m6-m6-903</x:v>
      </x:c>
      <x:c r="R148" s="4" t="str"/>
      <x:c r="S148" s="4" t="str"/>
      <x:c r="T148" s="4" t="str"/>
      <x:c r="U148" s="4" t="str"/>
      <x:c r="V148" s="4" t="str">
        <x:v>YES</x:v>
      </x:c>
      <x:c r="W148" s="17" t="str">
        <x:v>按原子提交回退；迁移仅向前修复</x:v>
      </x:c>
      <x:c r="X148" s="4" t="str"/>
      <x:c r="Y148" s="17" t="str"/>
    </x:row>
    <x:row r="149" ht="23" customHeight="1">
      <x:c r="A149" s="4" t="str">
        <x:v>M6-904</x:v>
      </x:c>
      <x:c r="B149" s="4" t="str">
        <x:v>148</x:v>
      </x:c>
      <x:c r="C149" s="4" t="str">
        <x:v>M6</x:v>
      </x:c>
      <x:c r="D149" s="4" t="str">
        <x:v>RELEASE_READINESS</x:v>
      </x:c>
      <x:c r="E149" s="4" t="str">
        <x:v>P0</x:v>
      </x:c>
      <x:c r="F149" s="17" t="str">
        <x:v>形成Go/No-Go决策包</x:v>
      </x:c>
      <x:c r="G149" s="17" t="str">
        <x:v>§14-§17</x:v>
      </x:c>
      <x:c r="H149" s="4" t="str"/>
      <x:c r="I149" s="4"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4" t="str">
        <x:v>NOT_STARTED</x:v>
      </x:c>
      <x:c r="N149" s="4" t="str">
        <x:v>NOT_EXECUTED</x:v>
      </x:c>
      <x:c r="O149" s="4" t="str">
        <x:v>UNASSIGNED</x:v>
      </x:c>
      <x:c r="P149" s="4" t="str"/>
      <x:c r="Q149" s="17" t="str">
        <x:v>codex/m6-go-no-go</x:v>
      </x:c>
      <x:c r="R149" s="4" t="str"/>
      <x:c r="S149" s="4" t="str"/>
      <x:c r="T149" s="4" t="str"/>
      <x:c r="U149" s="4" t="str"/>
      <x:c r="V149" s="4" t="str">
        <x:v>YES</x:v>
      </x:c>
      <x:c r="W149" s="17" t="str">
        <x:v>按原子提交回退；迁移仅向前修复</x:v>
      </x:c>
      <x:c r="X149" s="4" t="str"/>
      <x:c r="Y149" s="17" t="str"/>
    </x:row>
    <x:row r="150" ht="23" customHeight="1">
      <x:c r="A150" s="5" t="str">
        <x:v>M6-GATE</x:v>
      </x:c>
      <x:c r="B150" s="5" t="str">
        <x:v>149</x:v>
      </x:c>
      <x:c r="C150" s="5" t="str">
        <x:v>M6</x:v>
      </x:c>
      <x:c r="D150" s="5" t="str">
        <x:v>STAGE_GATE</x:v>
      </x:c>
      <x:c r="E150" s="5" t="str">
        <x:v>P0</x:v>
      </x:c>
      <x:c r="F150" s="18" t="str">
        <x:v>M6阶段门禁验收</x:v>
      </x:c>
      <x:c r="G150" s="18" t="str">
        <x:v>执行包§02</x:v>
      </x:c>
      <x:c r="H150" s="5" t="str"/>
      <x:c r="I150" s="5"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5" t="str">
        <x:v>NOT_STARTED</x:v>
      </x:c>
      <x:c r="N150" s="5" t="str">
        <x:v>NOT_EXECUTED</x:v>
      </x:c>
      <x:c r="O150" s="5" t="str">
        <x:v>UNASSIGNED</x:v>
      </x:c>
      <x:c r="P150" s="5" t="str"/>
      <x:c r="Q150" s="18" t="str">
        <x:v>codex/m6-m6</x:v>
      </x:c>
      <x:c r="R150" s="5" t="str"/>
      <x:c r="S150" s="5" t="str"/>
      <x:c r="T150" s="5" t="str"/>
      <x:c r="U150" s="5" t="str"/>
      <x:c r="V150" s="5" t="str">
        <x:v>YES</x:v>
      </x:c>
      <x:c r="W150" s="18" t="str">
        <x:v>按原子提交回退；迁移仅向前修复</x:v>
      </x:c>
      <x:c r="X150" s="5"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99c7862940d54f3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4" t="str">
        <x:v>P0-001</x:v>
      </x:c>
      <x:c r="B2" s="4" t="str">
        <x:v>1</x:v>
      </x:c>
      <x:c r="C2" s="4" t="str">
        <x:v>M1</x:v>
      </x:c>
      <x:c r="D2" s="4" t="str">
        <x:v>单商户主体</x:v>
      </x:c>
      <x:c r="E2" s="17" t="str">
        <x:v>前台销售主体、订单收款主体、退款主体均为江苏福礼团供应链科技有限公司。</x:v>
      </x:c>
      <x:c r="F2" s="17" t="str">
        <x:v>§3角色权限、§4供应商后台、§14安全审计</x:v>
      </x:c>
      <x:c r="G2" s="4" t="str">
        <x:v>M1-P001</x:v>
      </x:c>
      <x:c r="H2" s="4" t="str">
        <x:v>CI_PASS</x:v>
      </x:c>
      <x:c r="I2" s="4" t="str">
        <x:v>NOT_EXECUTED</x:v>
      </x:c>
      <x:c r="J2" s="4" t="str">
        <x:v>TO_BE_CREATED</x:v>
      </x:c>
      <x:c r="K2" s="4" t="str">
        <x:v>N/A</x:v>
      </x:c>
      <x:c r="L2" s="17" t="str">
        <x:v>越权；重复请求；非法状态；敏感字段泄露；失败恢复（按适用性执行）</x:v>
      </x:c>
      <x:c r="M2" s="4" t="str"/>
      <x:c r="N2" s="4" t="str"/>
      <x:c r="O2" s="4" t="str"/>
      <x:c r="P2" s="4" t="str"/>
      <x:c r="Q2" s="4" t="str"/>
    </x:row>
    <x:row r="3" ht="23" customHeight="1">
      <x:c r="A3" s="4" t="str">
        <x:v>P0-002</x:v>
      </x:c>
      <x:c r="B3" s="4" t="str">
        <x:v>2</x:v>
      </x:c>
      <x:c r="C3" s="4" t="str">
        <x:v>M1</x:v>
      </x:c>
      <x:c r="D3" s="4" t="str">
        <x:v>无加盟商</x:v>
      </x:c>
      <x:c r="E3" s="17" t="str">
        <x:v>系统无加盟商注册、区域分账、加盟合同和加盟商后台入口。</x:v>
      </x:c>
      <x:c r="F3" s="17" t="str">
        <x:v>§3角色权限、§4供应商后台、§14安全审计</x:v>
      </x:c>
      <x:c r="G3" s="4" t="str">
        <x:v>M1-P002</x:v>
      </x:c>
      <x:c r="H3" s="4" t="str">
        <x:v>CI_PASS</x:v>
      </x:c>
      <x:c r="I3" s="4" t="str">
        <x:v>NOT_EXECUTED</x:v>
      </x:c>
      <x:c r="J3" s="4" t="str">
        <x:v>TO_BE_CREATED</x:v>
      </x:c>
      <x:c r="K3" s="4" t="str">
        <x:v>N/A</x:v>
      </x:c>
      <x:c r="L3" s="17" t="str">
        <x:v>越权；重复请求；非法状态；敏感字段泄露；失败恢复（按适用性执行）</x:v>
      </x:c>
      <x:c r="M3" s="4" t="str"/>
      <x:c r="N3" s="4" t="str"/>
      <x:c r="O3" s="4" t="str"/>
      <x:c r="P3" s="4" t="str"/>
      <x:c r="Q3" s="4" t="str"/>
    </x:row>
    <x:row r="4" ht="23" customHeight="1">
      <x:c r="A4" s="4" t="str">
        <x:v>P0-003</x:v>
      </x:c>
      <x:c r="B4" s="4" t="str">
        <x:v>3</x:v>
      </x:c>
      <x:c r="C4" s="4" t="str">
        <x:v>M1</x:v>
      </x:c>
      <x:c r="D4" s="4" t="str">
        <x:v>供应商注册</x:v>
      </x:c>
      <x:c r="E4" s="17" t="str">
        <x:v>供应商可注册、补资料、提交审核，并看到草稿、待审、补正、启用等状态。</x:v>
      </x:c>
      <x:c r="F4" s="17" t="str">
        <x:v>§3角色权限、§4供应商后台、§14安全审计</x:v>
      </x:c>
      <x:c r="G4" s="4" t="str">
        <x:v>M1-P003</x:v>
      </x:c>
      <x:c r="H4" s="4" t="str">
        <x:v>CI_PASS</x:v>
      </x:c>
      <x:c r="I4" s="4" t="str">
        <x:v>NOT_EXECUTED</x:v>
      </x:c>
      <x:c r="J4" s="4" t="str">
        <x:v>TO_BE_CREATED</x:v>
      </x:c>
      <x:c r="K4" s="4" t="str">
        <x:v>N/A</x:v>
      </x:c>
      <x:c r="L4" s="17" t="str">
        <x:v>越权；重复请求；非法状态；敏感字段泄露；失败恢复（按适用性执行）</x:v>
      </x:c>
      <x:c r="M4" s="4" t="str"/>
      <x:c r="N4" s="4" t="str"/>
      <x:c r="O4" s="4" t="str"/>
      <x:c r="P4" s="4" t="str"/>
      <x:c r="Q4" s="4" t="str"/>
    </x:row>
    <x:row r="5" ht="23" customHeight="1">
      <x:c r="A5" s="4" t="str">
        <x:v>P0-004</x:v>
      </x:c>
      <x:c r="B5" s="4" t="str">
        <x:v>4</x:v>
      </x:c>
      <x:c r="C5" s="4" t="str">
        <x:v>M1</x:v>
      </x:c>
      <x:c r="D5" s="4" t="str">
        <x:v>供应商隔离</x:v>
      </x:c>
      <x:c r="E5" s="17" t="str">
        <x:v>供应商不能访问其他供应商的商品、订单、库存、对账和账号。</x:v>
      </x:c>
      <x:c r="F5" s="17" t="str">
        <x:v>§3角色权限、§4供应商后台、§14安全审计</x:v>
      </x:c>
      <x:c r="G5" s="4" t="str">
        <x:v>M1-P004</x:v>
      </x:c>
      <x:c r="H5" s="4" t="str">
        <x:v>CI_PASS</x:v>
      </x:c>
      <x:c r="I5" s="4" t="str">
        <x:v>NOT_EXECUTED</x:v>
      </x:c>
      <x:c r="J5" s="4" t="str">
        <x:v>TO_BE_CREATED</x:v>
      </x:c>
      <x:c r="K5" s="4" t="str">
        <x:v>N/A</x:v>
      </x:c>
      <x:c r="L5" s="17" t="str">
        <x:v>越权；重复请求；非法状态；敏感字段泄露；失败恢复（按适用性执行）</x:v>
      </x:c>
      <x:c r="M5" s="4" t="str"/>
      <x:c r="N5" s="4" t="str"/>
      <x:c r="O5" s="4" t="str"/>
      <x:c r="P5" s="4" t="str"/>
      <x:c r="Q5" s="4" t="str"/>
    </x:row>
    <x:row r="6" ht="23" customHeight="1">
      <x:c r="A6" s="4" t="str">
        <x:v>P0-005</x:v>
      </x:c>
      <x:c r="B6" s="4" t="str">
        <x:v>5</x:v>
      </x:c>
      <x:c r="C6" s="4" t="str">
        <x:v>M1</x:v>
      </x:c>
      <x:c r="D6" s="4" t="str">
        <x:v>供应商职能账号</x:v>
      </x:c>
      <x:c r="E6" s="17" t="str">
        <x:v>主体、商品、价格、库存、履约、售后、财务和审计分别使用独立职能账号与固定页面，敏感账户变更需二次验证。</x:v>
      </x:c>
      <x:c r="F6" s="17" t="str">
        <x:v>§3角色权限、§4供应商后台、§14安全审计</x:v>
      </x:c>
      <x:c r="G6" s="4" t="str">
        <x:v>M1-P005</x:v>
      </x:c>
      <x:c r="H6" s="4" t="str">
        <x:v>CI_PASS</x:v>
      </x:c>
      <x:c r="I6" s="4" t="str">
        <x:v>NOT_EXECUTED</x:v>
      </x:c>
      <x:c r="J6" s="4" t="str">
        <x:v>TO_BE_CREATED</x:v>
      </x:c>
      <x:c r="K6" s="4" t="str">
        <x:v>N/A</x:v>
      </x:c>
      <x:c r="L6" s="17" t="str">
        <x:v>越权；重复请求；非法状态；敏感字段泄露；失败恢复（按适用性执行）</x:v>
      </x:c>
      <x:c r="M6" s="4" t="str"/>
      <x:c r="N6" s="4" t="str"/>
      <x:c r="O6" s="4" t="str"/>
      <x:c r="P6" s="4" t="str"/>
      <x:c r="Q6" s="4" t="str"/>
    </x:row>
    <x:row r="7" ht="23" customHeight="1">
      <x:c r="A7" s="4" t="str">
        <x:v>P0-006</x:v>
      </x:c>
      <x:c r="B7" s="4" t="str">
        <x:v>6</x:v>
      </x:c>
      <x:c r="C7" s="4" t="str">
        <x:v>M2</x:v>
      </x:c>
      <x:c r="D7" s="4" t="str">
        <x:v>商品两层模型</x:v>
      </x:c>
      <x:c r="E7" s="17" t="str">
        <x:v>供应商提交 SupplierProduct，公司审核后才产生/更新可售 Product/Sku。</x:v>
      </x:c>
      <x:c r="F7" s="17" t="str">
        <x:v>§5分类模板、§6商品价格库存</x:v>
      </x:c>
      <x:c r="G7" s="4" t="str">
        <x:v>M2-P006</x:v>
      </x:c>
      <x:c r="H7" s="4" t="str">
        <x:v>CI_PASS</x:v>
      </x:c>
      <x:c r="I7" s="4" t="str">
        <x:v>NOT_EXECUTED</x:v>
      </x:c>
      <x:c r="J7" s="4" t="str">
        <x:v>TO_BE_CREATED</x:v>
      </x:c>
      <x:c r="K7" s="4" t="str">
        <x:v>N/A</x:v>
      </x:c>
      <x:c r="L7" s="17" t="str">
        <x:v>越权；重复请求；非法状态；敏感字段泄露；失败恢复（按适用性执行）</x:v>
      </x:c>
      <x:c r="M7" s="4" t="str"/>
      <x:c r="N7" s="4" t="str"/>
      <x:c r="O7" s="4" t="str"/>
      <x:c r="P7" s="4" t="str"/>
      <x:c r="Q7" s="4" t="str"/>
    </x:row>
    <x:row r="8" ht="23" customHeight="1">
      <x:c r="A8" s="4" t="str">
        <x:v>P0-007</x:v>
      </x:c>
      <x:c r="B8" s="4" t="str">
        <x:v>7</x:v>
      </x:c>
      <x:c r="C8" s="4" t="str">
        <x:v>M2</x:v>
      </x:c>
      <x:c r="D8" s="4"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4" t="str">
        <x:v>M2-P007</x:v>
      </x:c>
      <x:c r="H8" s="4" t="str">
        <x:v>CI_PASS</x:v>
      </x:c>
      <x:c r="I8" s="4" t="str">
        <x:v>NOT_EXECUTED</x:v>
      </x:c>
      <x:c r="J8" s="4" t="str">
        <x:v>TO_BE_CREATED</x:v>
      </x:c>
      <x:c r="K8" s="4" t="str">
        <x:v>N/A</x:v>
      </x:c>
      <x:c r="L8" s="17" t="str">
        <x:v>越权；重复请求；非法状态；敏感字段泄露；失败恢复（按适用性执行）</x:v>
      </x:c>
      <x:c r="M8" s="4" t="str"/>
      <x:c r="N8" s="4" t="str"/>
      <x:c r="O8" s="4" t="str"/>
      <x:c r="P8" s="4" t="str"/>
      <x:c r="Q8" s="4" t="str"/>
    </x:row>
    <x:row r="9" ht="23" customHeight="1">
      <x:c r="A9" s="4" t="str">
        <x:v>P0-008</x:v>
      </x:c>
      <x:c r="B9" s="4" t="str">
        <x:v>8</x:v>
      </x:c>
      <x:c r="C9" s="4" t="str">
        <x:v>M2</x:v>
      </x:c>
      <x:c r="D9" s="4"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4" t="str">
        <x:v>M2-P008</x:v>
      </x:c>
      <x:c r="H9" s="4" t="str">
        <x:v>CI_PASS</x:v>
      </x:c>
      <x:c r="I9" s="4" t="str">
        <x:v>NOT_EXECUTED</x:v>
      </x:c>
      <x:c r="J9" s="4" t="str">
        <x:v>TO_BE_CREATED</x:v>
      </x:c>
      <x:c r="K9" s="4" t="str">
        <x:v>N/A</x:v>
      </x:c>
      <x:c r="L9" s="17" t="str">
        <x:v>越权；重复请求；非法状态；敏感字段泄露；失败恢复（按适用性执行）</x:v>
      </x:c>
      <x:c r="M9" s="4" t="str"/>
      <x:c r="N9" s="4" t="str"/>
      <x:c r="O9" s="4" t="str"/>
      <x:c r="P9" s="4" t="str"/>
      <x:c r="Q9" s="4" t="str"/>
    </x:row>
    <x:row r="10" ht="23" customHeight="1">
      <x:c r="A10" s="4" t="str">
        <x:v>P0-009</x:v>
      </x:c>
      <x:c r="B10" s="4" t="str">
        <x:v>9</x:v>
      </x:c>
      <x:c r="C10" s="4" t="str">
        <x:v>M2</x:v>
      </x:c>
      <x:c r="D10" s="4" t="str">
        <x:v>无供应商店铺</x:v>
      </x:c>
      <x:c r="E10" s="17" t="str">
        <x:v>不存在供应商装修页、独立结算、店铺优惠券和供应商收款入口。</x:v>
      </x:c>
      <x:c r="F10" s="17" t="str">
        <x:v>§5分类模板、§6商品价格库存</x:v>
      </x:c>
      <x:c r="G10" s="4" t="str">
        <x:v>M2-P009</x:v>
      </x:c>
      <x:c r="H10" s="4" t="str">
        <x:v>CI_PASS</x:v>
      </x:c>
      <x:c r="I10" s="4" t="str">
        <x:v>NOT_EXECUTED</x:v>
      </x:c>
      <x:c r="J10" s="4" t="str">
        <x:v>TO_BE_CREATED</x:v>
      </x:c>
      <x:c r="K10" s="4" t="str">
        <x:v>N/A</x:v>
      </x:c>
      <x:c r="L10" s="17" t="str">
        <x:v>越权；重复请求；非法状态；敏感字段泄露；失败恢复（按适用性执行）</x:v>
      </x:c>
      <x:c r="M10" s="4" t="str"/>
      <x:c r="N10" s="4" t="str"/>
      <x:c r="O10" s="4" t="str"/>
      <x:c r="P10" s="4" t="str"/>
      <x:c r="Q10" s="4" t="str"/>
    </x:row>
    <x:row r="11" ht="23" customHeight="1">
      <x:c r="A11" s="4" t="str">
        <x:v>P0-010</x:v>
      </x:c>
      <x:c r="B11" s="4" t="str">
        <x:v>10</x:v>
      </x:c>
      <x:c r="C11" s="4" t="str">
        <x:v>M2</x:v>
      </x:c>
      <x:c r="D11" s="4" t="str">
        <x:v>看他还卖什么</x:v>
      </x:c>
      <x:c r="E11" s="17" t="str">
        <x:v>按 supplierId 筛选公司已上架商品，销售主体和统一货架不改变。</x:v>
      </x:c>
      <x:c r="F11" s="17" t="str">
        <x:v>§5分类模板、§6商品价格库存</x:v>
      </x:c>
      <x:c r="G11" s="4" t="str">
        <x:v>M2-P010</x:v>
      </x:c>
      <x:c r="H11" s="4" t="str">
        <x:v>CI_PASS</x:v>
      </x:c>
      <x:c r="I11" s="4" t="str">
        <x:v>NOT_EXECUTED</x:v>
      </x:c>
      <x:c r="J11" s="4" t="str">
        <x:v>TO_BE_CREATED</x:v>
      </x:c>
      <x:c r="K11" s="4" t="str">
        <x:v>N/A</x:v>
      </x:c>
      <x:c r="L11" s="17" t="str">
        <x:v>越权；重复请求；非法状态；敏感字段泄露；失败恢复（按适用性执行）</x:v>
      </x:c>
      <x:c r="M11" s="4" t="str"/>
      <x:c r="N11" s="4" t="str"/>
      <x:c r="O11" s="4" t="str"/>
      <x:c r="P11" s="4" t="str"/>
      <x:c r="Q11" s="4" t="str"/>
    </x:row>
    <x:row r="12" ht="23" customHeight="1">
      <x:c r="A12" s="4" t="str">
        <x:v>P0-011</x:v>
      </x:c>
      <x:c r="B12" s="4" t="str">
        <x:v>11</x:v>
      </x:c>
      <x:c r="C12" s="4" t="str">
        <x:v>M2</x:v>
      </x:c>
      <x:c r="D12" s="4" t="str">
        <x:v>分类树</x:v>
      </x:c>
      <x:c r="E12" s="17" t="str">
        <x:v>商品必须绑定启用的末级分类，分类支持排序、停用和历史引用保护。</x:v>
      </x:c>
      <x:c r="F12" s="17" t="str">
        <x:v>§5分类模板、§6商品价格库存</x:v>
      </x:c>
      <x:c r="G12" s="4" t="str">
        <x:v>M2-P011</x:v>
      </x:c>
      <x:c r="H12" s="4" t="str">
        <x:v>CI_PASS</x:v>
      </x:c>
      <x:c r="I12" s="4" t="str">
        <x:v>NOT_EXECUTED</x:v>
      </x:c>
      <x:c r="J12" s="4" t="str">
        <x:v>TO_BE_CREATED</x:v>
      </x:c>
      <x:c r="K12" s="4" t="str">
        <x:v>N/A</x:v>
      </x:c>
      <x:c r="L12" s="17" t="str">
        <x:v>越权；重复请求；非法状态；敏感字段泄露；失败恢复（按适用性执行）</x:v>
      </x:c>
      <x:c r="M12" s="4" t="str"/>
      <x:c r="N12" s="4" t="str"/>
      <x:c r="O12" s="4" t="str"/>
      <x:c r="P12" s="4" t="str"/>
      <x:c r="Q12" s="4" t="str"/>
    </x:row>
    <x:row r="13" ht="23" customHeight="1">
      <x:c r="A13" s="4" t="str">
        <x:v>P0-012</x:v>
      </x:c>
      <x:c r="B13" s="4" t="str">
        <x:v>12</x:v>
      </x:c>
      <x:c r="C13" s="4" t="str">
        <x:v>M2</x:v>
      </x:c>
      <x:c r="D13" s="4" t="str">
        <x:v>分类模板</x:v>
      </x:c>
      <x:c r="E13" s="17" t="str">
        <x:v>末级分类绑定模板版本，决定必填字段、SKU、资质和详情模块。</x:v>
      </x:c>
      <x:c r="F13" s="17" t="str">
        <x:v>§5分类模板、§6商品价格库存</x:v>
      </x:c>
      <x:c r="G13" s="4" t="str">
        <x:v>M2-P012</x:v>
      </x:c>
      <x:c r="H13" s="4" t="str">
        <x:v>CI_PASS</x:v>
      </x:c>
      <x:c r="I13" s="4" t="str">
        <x:v>NOT_EXECUTED</x:v>
      </x:c>
      <x:c r="J13" s="4" t="str">
        <x:v>TO_BE_CREATED</x:v>
      </x:c>
      <x:c r="K13" s="4" t="str">
        <x:v>N/A</x:v>
      </x:c>
      <x:c r="L13" s="17" t="str">
        <x:v>越权；重复请求；非法状态；敏感字段泄露；失败恢复（按适用性执行）</x:v>
      </x:c>
      <x:c r="M13" s="4" t="str"/>
      <x:c r="N13" s="4" t="str"/>
      <x:c r="O13" s="4" t="str"/>
      <x:c r="P13" s="4" t="str"/>
      <x:c r="Q13" s="4" t="str"/>
    </x:row>
    <x:row r="14" ht="23" customHeight="1">
      <x:c r="A14" s="4" t="str">
        <x:v>P0-013</x:v>
      </x:c>
      <x:c r="B14" s="4" t="str">
        <x:v>13</x:v>
      </x:c>
      <x:c r="C14" s="4" t="str">
        <x:v>M2</x:v>
      </x:c>
      <x:c r="D14" s="4" t="str">
        <x:v>食品详情</x:v>
      </x:c>
      <x:c r="E14" s="17" t="str">
        <x:v>配料、营养、许可、保质期、储存和过敏原按模板展示。</x:v>
      </x:c>
      <x:c r="F14" s="17" t="str">
        <x:v>§5分类模板、§6商品价格库存</x:v>
      </x:c>
      <x:c r="G14" s="4" t="str">
        <x:v>M2-P013</x:v>
      </x:c>
      <x:c r="H14" s="4" t="str">
        <x:v>CI_PASS</x:v>
      </x:c>
      <x:c r="I14" s="4" t="str">
        <x:v>NOT_EXECUTED</x:v>
      </x:c>
      <x:c r="J14" s="4" t="str">
        <x:v>TO_BE_CREATED</x:v>
      </x:c>
      <x:c r="K14" s="4" t="str">
        <x:v>N/A</x:v>
      </x:c>
      <x:c r="L14" s="17" t="str">
        <x:v>越权；重复请求；非法状态；敏感字段泄露；失败恢复（按适用性执行）</x:v>
      </x:c>
      <x:c r="M14" s="4" t="str"/>
      <x:c r="N14" s="4" t="str"/>
      <x:c r="O14" s="4" t="str"/>
      <x:c r="P14" s="4" t="str"/>
      <x:c r="Q14" s="4" t="str"/>
    </x:row>
    <x:row r="15" ht="23" customHeight="1">
      <x:c r="A15" s="4" t="str">
        <x:v>P0-014</x:v>
      </x:c>
      <x:c r="B15" s="4" t="str">
        <x:v>14</x:v>
      </x:c>
      <x:c r="C15" s="4" t="str">
        <x:v>M2</x:v>
      </x:c>
      <x:c r="D15" s="4" t="str">
        <x:v>生鲜详情</x:v>
      </x:c>
      <x:c r="E15" s="17" t="str">
        <x:v>产地、等级、保鲜、温区、称重和售后规则按模板展示。</x:v>
      </x:c>
      <x:c r="F15" s="17" t="str">
        <x:v>§5分类模板、§6商品价格库存</x:v>
      </x:c>
      <x:c r="G15" s="4" t="str">
        <x:v>M2-P014</x:v>
      </x:c>
      <x:c r="H15" s="4" t="str">
        <x:v>CI_PASS</x:v>
      </x:c>
      <x:c r="I15" s="4" t="str">
        <x:v>NOT_EXECUTED</x:v>
      </x:c>
      <x:c r="J15" s="4" t="str">
        <x:v>TO_BE_CREATED</x:v>
      </x:c>
      <x:c r="K15" s="4" t="str">
        <x:v>N/A</x:v>
      </x:c>
      <x:c r="L15" s="17" t="str">
        <x:v>越权；重复请求；非法状态；敏感字段泄露；失败恢复（按适用性执行）</x:v>
      </x:c>
      <x:c r="M15" s="4" t="str"/>
      <x:c r="N15" s="4" t="str"/>
      <x:c r="O15" s="4" t="str"/>
      <x:c r="P15" s="4" t="str"/>
      <x:c r="Q15" s="4" t="str"/>
    </x:row>
    <x:row r="16" ht="23" customHeight="1">
      <x:c r="A16" s="4" t="str">
        <x:v>P0-015</x:v>
      </x:c>
      <x:c r="B16" s="4" t="str">
        <x:v>15</x:v>
      </x:c>
      <x:c r="C16" s="4" t="str">
        <x:v>M2</x:v>
      </x:c>
      <x:c r="D16" s="4" t="str">
        <x:v>服饰详情</x:v>
      </x:c>
      <x:c r="E16" s="17" t="str">
        <x:v>颜色尺码 SKU、材质、尺码表和洗护说明完整。</x:v>
      </x:c>
      <x:c r="F16" s="17" t="str">
        <x:v>§5分类模板、§6商品价格库存</x:v>
      </x:c>
      <x:c r="G16" s="4" t="str">
        <x:v>M2-P015</x:v>
      </x:c>
      <x:c r="H16" s="4" t="str">
        <x:v>CI_PASS</x:v>
      </x:c>
      <x:c r="I16" s="4" t="str">
        <x:v>NOT_EXECUTED</x:v>
      </x:c>
      <x:c r="J16" s="4" t="str">
        <x:v>TO_BE_CREATED</x:v>
      </x:c>
      <x:c r="K16" s="4" t="str">
        <x:v>N/A</x:v>
      </x:c>
      <x:c r="L16" s="17" t="str">
        <x:v>越权；重复请求；非法状态；敏感字段泄露；失败恢复（按适用性执行）</x:v>
      </x:c>
      <x:c r="M16" s="4" t="str"/>
      <x:c r="N16" s="4" t="str"/>
      <x:c r="O16" s="4" t="str"/>
      <x:c r="P16" s="4" t="str"/>
      <x:c r="Q16" s="4" t="str"/>
    </x:row>
    <x:row r="17" ht="23" customHeight="1">
      <x:c r="A17" s="4" t="str">
        <x:v>P0-016</x:v>
      </x:c>
      <x:c r="B17" s="4" t="str">
        <x:v>16</x:v>
      </x:c>
      <x:c r="C17" s="4" t="str">
        <x:v>M2</x:v>
      </x:c>
      <x:c r="D17" s="4" t="str">
        <x:v>数码详情</x:v>
      </x:c>
      <x:c r="E17" s="17" t="str">
        <x:v>型号、参数、能效、包装清单和保修信息完整。</x:v>
      </x:c>
      <x:c r="F17" s="17" t="str">
        <x:v>§5分类模板、§6商品价格库存</x:v>
      </x:c>
      <x:c r="G17" s="4" t="str">
        <x:v>M2-P016</x:v>
      </x:c>
      <x:c r="H17" s="4" t="str">
        <x:v>CI_PASS</x:v>
      </x:c>
      <x:c r="I17" s="4" t="str">
        <x:v>NOT_EXECUTED</x:v>
      </x:c>
      <x:c r="J17" s="4" t="str">
        <x:v>TO_BE_CREATED</x:v>
      </x:c>
      <x:c r="K17" s="4" t="str">
        <x:v>N/A</x:v>
      </x:c>
      <x:c r="L17" s="17" t="str">
        <x:v>越权；重复请求；非法状态；敏感字段泄露；失败恢复（按适用性执行）</x:v>
      </x:c>
      <x:c r="M17" s="4" t="str"/>
      <x:c r="N17" s="4" t="str"/>
      <x:c r="O17" s="4" t="str"/>
      <x:c r="P17" s="4" t="str"/>
      <x:c r="Q17" s="4" t="str"/>
    </x:row>
    <x:row r="18" ht="23" customHeight="1">
      <x:c r="A18" s="4" t="str">
        <x:v>P0-017</x:v>
      </x:c>
      <x:c r="B18" s="4" t="str">
        <x:v>17</x:v>
      </x:c>
      <x:c r="C18" s="4" t="str">
        <x:v>M2</x:v>
      </x:c>
      <x:c r="D18" s="4" t="str">
        <x:v>礼盒组合</x:v>
      </x:c>
      <x:c r="E18" s="17" t="str">
        <x:v>组合商品明确展示子项、数量、规格和有效期下限。</x:v>
      </x:c>
      <x:c r="F18" s="17" t="str">
        <x:v>§5分类模板、§6商品价格库存</x:v>
      </x:c>
      <x:c r="G18" s="4" t="str">
        <x:v>M2-P017</x:v>
      </x:c>
      <x:c r="H18" s="4" t="str">
        <x:v>CI_PASS</x:v>
      </x:c>
      <x:c r="I18" s="4" t="str">
        <x:v>NOT_EXECUTED</x:v>
      </x:c>
      <x:c r="J18" s="4" t="str">
        <x:v>TO_BE_CREATED</x:v>
      </x:c>
      <x:c r="K18" s="4" t="str">
        <x:v>N/A</x:v>
      </x:c>
      <x:c r="L18" s="17" t="str">
        <x:v>越权；重复请求；非法状态；敏感字段泄露；失败恢复（按适用性执行）</x:v>
      </x:c>
      <x:c r="M18" s="4" t="str"/>
      <x:c r="N18" s="4" t="str"/>
      <x:c r="O18" s="4" t="str"/>
      <x:c r="P18" s="4" t="str"/>
      <x:c r="Q18" s="4" t="str"/>
    </x:row>
    <x:row r="19" ht="23" customHeight="1">
      <x:c r="A19" s="4" t="str">
        <x:v>P0-018</x:v>
      </x:c>
      <x:c r="B19" s="4" t="str">
        <x:v>18</x:v>
      </x:c>
      <x:c r="C19" s="4" t="str">
        <x:v>M2</x:v>
      </x:c>
      <x:c r="D19" s="4" t="str">
        <x:v>强监管默认关闭</x:v>
      </x:c>
      <x:c r="E19" s="17" t="str">
        <x:v>未配置公司资质、模板和人工开关的高风险品类不能交易。</x:v>
      </x:c>
      <x:c r="F19" s="17" t="str">
        <x:v>§5分类模板、§6商品价格库存</x:v>
      </x:c>
      <x:c r="G19" s="4" t="str">
        <x:v>M2-P018</x:v>
      </x:c>
      <x:c r="H19" s="4" t="str">
        <x:v>CI_PASS</x:v>
      </x:c>
      <x:c r="I19" s="4" t="str">
        <x:v>NOT_EXECUTED</x:v>
      </x:c>
      <x:c r="J19" s="4" t="str">
        <x:v>TO_BE_CREATED</x:v>
      </x:c>
      <x:c r="K19" s="4" t="str">
        <x:v>N/A</x:v>
      </x:c>
      <x:c r="L19" s="17" t="str">
        <x:v>越权；重复请求；非法状态；敏感字段泄露；失败恢复（按适用性执行）</x:v>
      </x:c>
      <x:c r="M19" s="4" t="str"/>
      <x:c r="N19" s="4" t="str"/>
      <x:c r="O19" s="4" t="str"/>
      <x:c r="P19" s="4" t="str"/>
      <x:c r="Q19" s="4" t="str"/>
    </x:row>
    <x:row r="20" ht="23" customHeight="1">
      <x:c r="A20" s="4" t="str">
        <x:v>P0-019</x:v>
      </x:c>
      <x:c r="B20" s="4" t="str">
        <x:v>19</x:v>
      </x:c>
      <x:c r="C20" s="4" t="str">
        <x:v>M2</x:v>
      </x:c>
      <x:c r="D20" s="4"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4" t="str">
        <x:v>M2-P019</x:v>
      </x:c>
      <x:c r="H20" s="4" t="str">
        <x:v>CI_PASS</x:v>
      </x:c>
      <x:c r="I20" s="4" t="str">
        <x:v>NOT_EXECUTED</x:v>
      </x:c>
      <x:c r="J20" s="4" t="str">
        <x:v>TO_BE_CREATED</x:v>
      </x:c>
      <x:c r="K20" s="4" t="str">
        <x:v>N/A</x:v>
      </x:c>
      <x:c r="L20" s="17" t="str">
        <x:v>越权；重复请求；非法状态；敏感字段泄露；失败恢复（按适用性执行）</x:v>
      </x:c>
      <x:c r="M20" s="4" t="str"/>
      <x:c r="N20" s="4" t="str"/>
      <x:c r="O20" s="4" t="str"/>
      <x:c r="P20" s="4" t="str"/>
      <x:c r="Q20" s="4" t="str"/>
    </x:row>
    <x:row r="21" ht="23" customHeight="1">
      <x:c r="A21" s="4" t="str">
        <x:v>P0-020</x:v>
      </x:c>
      <x:c r="B21" s="4" t="str">
        <x:v>20</x:v>
      </x:c>
      <x:c r="C21" s="4" t="str">
        <x:v>M3</x:v>
      </x:c>
      <x:c r="D21" s="4" t="str">
        <x:v>用户首页</x:v>
      </x:c>
      <x:c r="E21" s="17" t="str">
        <x:v>搜索、分类、活动、福利卡、配送区域和个人订单入口完整；不混入企业采购入口。</x:v>
      </x:c>
      <x:c r="F21" s="17" t="str">
        <x:v>§7用户小程序</x:v>
      </x:c>
      <x:c r="G21" s="4" t="str">
        <x:v>M3-P020</x:v>
      </x:c>
      <x:c r="H21" s="4" t="str">
        <x:v>CI_PASS</x:v>
      </x:c>
      <x:c r="I21" s="4" t="str">
        <x:v>NOT_EXECUTED</x:v>
      </x:c>
      <x:c r="J21" s="4" t="str">
        <x:v>TO_BE_CREATED</x:v>
      </x:c>
      <x:c r="K21" s="4" t="str">
        <x:v>N/A</x:v>
      </x:c>
      <x:c r="L21" s="17" t="str">
        <x:v>越权；重复请求；非法状态；敏感字段泄露；失败恢复（按适用性执行）</x:v>
      </x:c>
      <x:c r="M21" s="4" t="str"/>
      <x:c r="N21" s="4" t="str"/>
      <x:c r="O21" s="4" t="str"/>
      <x:c r="P21" s="4" t="str"/>
      <x:c r="Q21" s="4" t="str"/>
    </x:row>
    <x:row r="22" ht="23" customHeight="1">
      <x:c r="A22" s="4" t="str">
        <x:v>P0-021</x:v>
      </x:c>
      <x:c r="B22" s="4" t="str">
        <x:v>21</x:v>
      </x:c>
      <x:c r="C22" s="4" t="str">
        <x:v>M2</x:v>
      </x:c>
      <x:c r="D22" s="4"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4" t="str">
        <x:v>M2-P021</x:v>
      </x:c>
      <x:c r="H22" s="4" t="str">
        <x:v>CI_PASS</x:v>
      </x:c>
      <x:c r="I22" s="4" t="str">
        <x:v>NOT_EXECUTED</x:v>
      </x:c>
      <x:c r="J22" s="4" t="str">
        <x:v>TO_BE_CREATED</x:v>
      </x:c>
      <x:c r="K22" s="4" t="str">
        <x:v>N/A</x:v>
      </x:c>
      <x:c r="L22" s="17" t="str">
        <x:v>越权；重复请求；非法状态；敏感字段泄露；失败恢复（按适用性执行）</x:v>
      </x:c>
      <x:c r="M22" s="4" t="str"/>
      <x:c r="N22" s="4" t="str"/>
      <x:c r="O22" s="4" t="str"/>
      <x:c r="P22" s="4" t="str"/>
      <x:c r="Q22" s="4" t="str"/>
    </x:row>
    <x:row r="23" ht="23" customHeight="1">
      <x:c r="A23" s="4" t="str">
        <x:v>P0-022</x:v>
      </x:c>
      <x:c r="B23" s="4" t="str">
        <x:v>22</x:v>
      </x:c>
      <x:c r="C23" s="4" t="str">
        <x:v>M3</x:v>
      </x:c>
      <x:c r="D23" s="4"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4" t="str">
        <x:v>M3-P022</x:v>
      </x:c>
      <x:c r="H23" s="4" t="str">
        <x:v>CI_PASS</x:v>
      </x:c>
      <x:c r="I23" s="4" t="str">
        <x:v>NOT_EXECUTED</x:v>
      </x:c>
      <x:c r="J23" s="4" t="str">
        <x:v>TO_BE_CREATED</x:v>
      </x:c>
      <x:c r="K23" s="4" t="str">
        <x:v>N/A</x:v>
      </x:c>
      <x:c r="L23" s="17" t="str">
        <x:v>越权；重复请求；非法状态；敏感字段泄露；失败恢复（按适用性执行）</x:v>
      </x:c>
      <x:c r="M23" s="4" t="str"/>
      <x:c r="N23" s="4" t="str"/>
      <x:c r="O23" s="4" t="str"/>
      <x:c r="P23" s="4" t="str"/>
      <x:c r="Q23" s="4" t="str"/>
    </x:row>
    <x:row r="24" ht="23" customHeight="1">
      <x:c r="A24" s="4" t="str">
        <x:v>P0-023</x:v>
      </x:c>
      <x:c r="B24" s="4" t="str">
        <x:v>23</x:v>
      </x:c>
      <x:c r="C24" s="4" t="str">
        <x:v>M3</x:v>
      </x:c>
      <x:c r="D24" s="4" t="str">
        <x:v>库存预扣</x:v>
      </x:c>
      <x:c r="E24" s="17" t="str">
        <x:v>提交订单预扣库存，支付取消、失败或超时时库存与福利卡冻结均准确释放。</x:v>
      </x:c>
      <x:c r="F24" s="17" t="str">
        <x:v>§8企业采购、§9订单福利卡支付</x:v>
      </x:c>
      <x:c r="G24" s="4" t="str">
        <x:v>M3-P023</x:v>
      </x:c>
      <x:c r="H24" s="4" t="str">
        <x:v>CI_PASS</x:v>
      </x:c>
      <x:c r="I24" s="4" t="str">
        <x:v>NOT_EXECUTED</x:v>
      </x:c>
      <x:c r="J24" s="4" t="str">
        <x:v>TO_BE_CREATED</x:v>
      </x:c>
      <x:c r="K24" s="4" t="str">
        <x:v>N/A</x:v>
      </x:c>
      <x:c r="L24" s="17" t="str">
        <x:v>越权；重复请求；非法状态；敏感字段泄露；失败恢复（按适用性执行）</x:v>
      </x:c>
      <x:c r="M24" s="4" t="str"/>
      <x:c r="N24" s="4" t="str"/>
      <x:c r="O24" s="4" t="str"/>
      <x:c r="P24" s="4" t="str"/>
      <x:c r="Q24" s="4" t="str"/>
    </x:row>
    <x:row r="25" ht="23" customHeight="1">
      <x:c r="A25" s="4" t="str">
        <x:v>P0-024</x:v>
      </x:c>
      <x:c r="B25" s="4" t="str">
        <x:v>24</x:v>
      </x:c>
      <x:c r="C25" s="4" t="str">
        <x:v>M3</x:v>
      </x:c>
      <x:c r="D25" s="4" t="str">
        <x:v>支付幂等</x:v>
      </x:c>
      <x:c r="E25" s="17" t="str">
        <x:v>重复微信支付回调不重复扣福利卡、微信支付金额或共用库存，不重复生成个人跑腿任务、企业配送单或改变订单金额。</x:v>
      </x:c>
      <x:c r="F25" s="17" t="str">
        <x:v>§8企业采购、§9订单福利卡支付</x:v>
      </x:c>
      <x:c r="G25" s="4" t="str">
        <x:v>M3-P024</x:v>
      </x:c>
      <x:c r="H25" s="4" t="str">
        <x:v>STAGING_PASS</x:v>
      </x:c>
      <x:c r="I25" s="4" t="str">
        <x:v>NOT_EXECUTED</x:v>
      </x:c>
      <x:c r="J25" s="4" t="str">
        <x:v>TO_BE_CREATED</x:v>
      </x:c>
      <x:c r="K25" s="4" t="str">
        <x:v>MANUAL-024</x:v>
      </x:c>
      <x:c r="L25" s="17" t="str">
        <x:v>越权；重复请求；非法状态；敏感字段泄露；失败恢复（按适用性执行）</x:v>
      </x:c>
      <x:c r="M25" s="4" t="str"/>
      <x:c r="N25" s="4" t="str"/>
      <x:c r="O25" s="4" t="str"/>
      <x:c r="P25" s="4" t="str"/>
      <x:c r="Q25" s="4" t="str"/>
    </x:row>
    <x:row r="26" ht="23" customHeight="1">
      <x:c r="A26" s="4" t="str">
        <x:v>P0-025</x:v>
      </x:c>
      <x:c r="B26" s="4" t="str">
        <x:v>25</x:v>
      </x:c>
      <x:c r="C26" s="4" t="str">
        <x:v>M3</x:v>
      </x:c>
      <x:c r="D26" s="4"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4" t="str">
        <x:v>M3-P025</x:v>
      </x:c>
      <x:c r="H26" s="4" t="str">
        <x:v>CI_PASS</x:v>
      </x:c>
      <x:c r="I26" s="4" t="str">
        <x:v>NOT_EXECUTED</x:v>
      </x:c>
      <x:c r="J26" s="4" t="str">
        <x:v>TO_BE_CREATED</x:v>
      </x:c>
      <x:c r="K26" s="4" t="str">
        <x:v>N/A</x:v>
      </x:c>
      <x:c r="L26" s="17" t="str">
        <x:v>越权；重复请求；非法状态；敏感字段泄露；失败恢复（按适用性执行）</x:v>
      </x:c>
      <x:c r="M26" s="4" t="str"/>
      <x:c r="N26" s="4" t="str"/>
      <x:c r="O26" s="4" t="str"/>
      <x:c r="P26" s="4" t="str"/>
      <x:c r="Q26" s="4" t="str"/>
    </x:row>
    <x:row r="27" ht="23" customHeight="1">
      <x:c r="A27" s="4" t="str">
        <x:v>P0-026</x:v>
      </x:c>
      <x:c r="B27" s="4" t="str">
        <x:v>26</x:v>
      </x:c>
      <x:c r="C27" s="4" t="str">
        <x:v>M3</x:v>
      </x:c>
      <x:c r="D27" s="4" t="str">
        <x:v>按原支付结构退款</x:v>
      </x:c>
      <x:c r="E27" s="17" t="str">
        <x:v>公司发起退款，福利卡部分退原账户、微信支付部分退原微信支付交易，并生成资金、库存和对账影响记录。</x:v>
      </x:c>
      <x:c r="F27" s="17" t="str">
        <x:v>§8企业采购、§9订单福利卡支付</x:v>
      </x:c>
      <x:c r="G27" s="4" t="str">
        <x:v>M3-P026</x:v>
      </x:c>
      <x:c r="H27" s="4" t="str">
        <x:v>STAGING_PASS</x:v>
      </x:c>
      <x:c r="I27" s="4" t="str">
        <x:v>NOT_EXECUTED</x:v>
      </x:c>
      <x:c r="J27" s="4" t="str">
        <x:v>TO_BE_CREATED</x:v>
      </x:c>
      <x:c r="K27" s="4" t="str">
        <x:v>MANUAL-026</x:v>
      </x:c>
      <x:c r="L27" s="17" t="str">
        <x:v>越权；重复请求；非法状态；敏感字段泄露；失败恢复（按适用性执行）</x:v>
      </x:c>
      <x:c r="M27" s="4" t="str"/>
      <x:c r="N27" s="4" t="str"/>
      <x:c r="O27" s="4" t="str"/>
      <x:c r="P27" s="4" t="str"/>
      <x:c r="Q27" s="4" t="str"/>
    </x:row>
    <x:row r="28" ht="23" customHeight="1">
      <x:c r="A28" s="4" t="str">
        <x:v>P0-027</x:v>
      </x:c>
      <x:c r="B28" s="4" t="str">
        <x:v>27</x:v>
      </x:c>
      <x:c r="C28" s="4" t="str">
        <x:v>M3</x:v>
      </x:c>
      <x:c r="D28" s="4" t="str">
        <x:v>门户宣传</x:v>
      </x:c>
      <x:c r="E28" s="17" t="str">
        <x:v>公司介绍、供应链能力、案例、供应商合作、新闻和联系页面完整并支持 SEO。</x:v>
      </x:c>
      <x:c r="F28" s="17" t="str">
        <x:v>§8企业采购、§9订单福利卡支付</x:v>
      </x:c>
      <x:c r="G28" s="4" t="str">
        <x:v>M3-P027</x:v>
      </x:c>
      <x:c r="H28" s="4" t="str">
        <x:v>CI_PASS</x:v>
      </x:c>
      <x:c r="I28" s="4" t="str">
        <x:v>NOT_EXECUTED</x:v>
      </x:c>
      <x:c r="J28" s="4" t="str">
        <x:v>TO_BE_CREATED</x:v>
      </x:c>
      <x:c r="K28" s="4" t="str">
        <x:v>N/A</x:v>
      </x:c>
      <x:c r="L28" s="17" t="str">
        <x:v>越权；重复请求；非法状态；敏感字段泄露；失败恢复（按适用性执行）</x:v>
      </x:c>
      <x:c r="M28" s="4" t="str"/>
      <x:c r="N28" s="4" t="str"/>
      <x:c r="O28" s="4" t="str"/>
      <x:c r="P28" s="4" t="str"/>
      <x:c r="Q28" s="4" t="str"/>
    </x:row>
    <x:row r="29" ht="23" customHeight="1">
      <x:c r="A29" s="4" t="str">
        <x:v>P0-028</x:v>
      </x:c>
      <x:c r="B29" s="4" t="str">
        <x:v>28</x:v>
      </x:c>
      <x:c r="C29" s="4" t="str">
        <x:v>M3</x:v>
      </x:c>
      <x:c r="D29" s="4" t="str">
        <x:v>企业注册认证</x:v>
      </x:c>
      <x:c r="E29" s="17" t="str">
        <x:v>正常企业可从门户“社区集采”入口注册，提交营业执照、联系人、开票和收货资料，并完成审核补正和认证。</x:v>
      </x:c>
      <x:c r="F29" s="17" t="str">
        <x:v>§8企业采购、§9订单福利卡支付</x:v>
      </x:c>
      <x:c r="G29" s="4" t="str">
        <x:v>M3-P028</x:v>
      </x:c>
      <x:c r="H29" s="4" t="str">
        <x:v>CI_PASS</x:v>
      </x:c>
      <x:c r="I29" s="4" t="str">
        <x:v>NOT_EXECUTED</x:v>
      </x:c>
      <x:c r="J29" s="4" t="str">
        <x:v>TO_BE_CREATED</x:v>
      </x:c>
      <x:c r="K29" s="4" t="str">
        <x:v>MANUAL-028</x:v>
      </x:c>
      <x:c r="L29" s="17" t="str">
        <x:v>越权；重复请求；非法状态；敏感字段泄露；失败恢复（按适用性执行）</x:v>
      </x:c>
      <x:c r="M29" s="4" t="str"/>
      <x:c r="N29" s="4" t="str"/>
      <x:c r="O29" s="4" t="str"/>
      <x:c r="P29" s="4" t="str"/>
      <x:c r="Q29" s="4" t="str"/>
    </x:row>
    <x:row r="30" ht="23" customHeight="1">
      <x:c r="A30" s="4" t="str">
        <x:v>P0-029</x:v>
      </x:c>
      <x:c r="B30" s="4" t="str">
        <x:v>29</x:v>
      </x:c>
      <x:c r="C30" s="4" t="str">
        <x:v>M3</x:v>
      </x:c>
      <x:c r="D30" s="4" t="str">
        <x:v>统一企业采购</x:v>
      </x:c>
      <x:c r="E30" s="17" t="str">
        <x:v>认证企业可跨供应商选择带集采标识的共用商品，提交一个企业主订单并完成付款、统一配送、收货、售后和发票。</x:v>
      </x:c>
      <x:c r="F30" s="17" t="str">
        <x:v>§8企业采购、§9订单福利卡支付</x:v>
      </x:c>
      <x:c r="G30" s="4" t="str">
        <x:v>M3-P029</x:v>
      </x:c>
      <x:c r="H30" s="4" t="str">
        <x:v>CI_PASS</x:v>
      </x:c>
      <x:c r="I30" s="4" t="str">
        <x:v>NOT_EXECUTED</x:v>
      </x:c>
      <x:c r="J30" s="4" t="str">
        <x:v>TO_BE_CREATED</x:v>
      </x:c>
      <x:c r="K30" s="4" t="str">
        <x:v>N/A</x:v>
      </x:c>
      <x:c r="L30" s="17" t="str">
        <x:v>越权；重复请求；非法状态；敏感字段泄露；失败恢复（按适用性执行）</x:v>
      </x:c>
      <x:c r="M30" s="4" t="str"/>
      <x:c r="N30" s="4" t="str"/>
      <x:c r="O30" s="4" t="str"/>
      <x:c r="P30" s="4" t="str"/>
      <x:c r="Q30" s="4" t="str"/>
    </x:row>
    <x:row r="31" ht="23" customHeight="1">
      <x:c r="A31" s="4" t="str">
        <x:v>P0-030</x:v>
      </x:c>
      <x:c r="B31" s="4" t="str">
        <x:v>30</x:v>
      </x:c>
      <x:c r="C31" s="4" t="str">
        <x:v>M3</x:v>
      </x:c>
      <x:c r="D31" s="4" t="str">
        <x:v>社区集采边界</x:v>
      </x:c>
      <x:c r="E31" s="17" t="str">
        <x:v>“社区集采”不依赖指定社区、活动时间、成团门槛或团长；平台不实现企业内部 OA、预算和采购审批。</x:v>
      </x:c>
      <x:c r="F31" s="17" t="str">
        <x:v>§8企业采购、§9订单福利卡支付</x:v>
      </x:c>
      <x:c r="G31" s="4" t="str">
        <x:v>M3-P030</x:v>
      </x:c>
      <x:c r="H31" s="4" t="str">
        <x:v>CI_PASS</x:v>
      </x:c>
      <x:c r="I31" s="4" t="str">
        <x:v>NOT_EXECUTED</x:v>
      </x:c>
      <x:c r="J31" s="4" t="str">
        <x:v>TO_BE_CREATED</x:v>
      </x:c>
      <x:c r="K31" s="4" t="str">
        <x:v>N/A</x:v>
      </x:c>
      <x:c r="L31" s="17" t="str">
        <x:v>越权；重复请求；非法状态；敏感字段泄露；失败恢复（按适用性执行）</x:v>
      </x:c>
      <x:c r="M31" s="4" t="str"/>
      <x:c r="N31" s="4" t="str"/>
      <x:c r="O31" s="4" t="str"/>
      <x:c r="P31" s="4" t="str"/>
      <x:c r="Q31" s="4" t="str"/>
    </x:row>
    <x:row r="32" ht="23" customHeight="1">
      <x:c r="A32" s="4" t="str">
        <x:v>P0-031</x:v>
      </x:c>
      <x:c r="B32" s="4" t="str">
        <x:v>31</x:v>
      </x:c>
      <x:c r="C32" s="4" t="str">
        <x:v>M3</x:v>
      </x:c>
      <x:c r="D32" s="4"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4" t="str">
        <x:v>M3-P031</x:v>
      </x:c>
      <x:c r="H32" s="4" t="str">
        <x:v>CI_PASS</x:v>
      </x:c>
      <x:c r="I32" s="4" t="str">
        <x:v>NOT_EXECUTED</x:v>
      </x:c>
      <x:c r="J32" s="4" t="str">
        <x:v>TO_BE_CREATED</x:v>
      </x:c>
      <x:c r="K32" s="4" t="str">
        <x:v>N/A</x:v>
      </x:c>
      <x:c r="L32" s="17" t="str">
        <x:v>越权；重复请求；非法状态；敏感字段泄露；失败恢复（按适用性执行）</x:v>
      </x:c>
      <x:c r="M32" s="4" t="str"/>
      <x:c r="N32" s="4" t="str"/>
      <x:c r="O32" s="4" t="str"/>
      <x:c r="P32" s="4" t="str"/>
      <x:c r="Q32" s="4" t="str"/>
    </x:row>
    <x:row r="33" ht="23" customHeight="1">
      <x:c r="A33" s="4" t="str">
        <x:v>P0-032</x:v>
      </x:c>
      <x:c r="B33" s="4" t="str">
        <x:v>32</x:v>
      </x:c>
      <x:c r="C33" s="4" t="str">
        <x:v>M4</x:v>
      </x:c>
      <x:c r="D33" s="4"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4" t="str">
        <x:v>M4-P032</x:v>
      </x:c>
      <x:c r="H33" s="4" t="str">
        <x:v>CI_PASS</x:v>
      </x:c>
      <x:c r="I33" s="4" t="str">
        <x:v>NOT_EXECUTED</x:v>
      </x:c>
      <x:c r="J33" s="4" t="str">
        <x:v>TO_BE_CREATED</x:v>
      </x:c>
      <x:c r="K33" s="4" t="str">
        <x:v>N/A</x:v>
      </x:c>
      <x:c r="L33" s="17" t="str">
        <x:v>越权；重复请求；非法状态；敏感字段泄露；失败恢复（按适用性执行）</x:v>
      </x:c>
      <x:c r="M33" s="4" t="str"/>
      <x:c r="N33" s="4" t="str"/>
      <x:c r="O33" s="4" t="str"/>
      <x:c r="P33" s="4" t="str"/>
      <x:c r="Q33" s="4" t="str"/>
    </x:row>
    <x:row r="34" ht="23" customHeight="1">
      <x:c r="A34" s="4" t="str">
        <x:v>P0-033</x:v>
      </x:c>
      <x:c r="B34" s="4" t="str">
        <x:v>33</x:v>
      </x:c>
      <x:c r="C34" s="4" t="str">
        <x:v>M4</x:v>
      </x:c>
      <x:c r="D34" s="4" t="str">
        <x:v>个人物流节点</x:v>
      </x:c>
      <x:c r="E34" s="17" t="str">
        <x:v>跑腿员按顺序点击到店、取货、配送、到达和送达，不能越级。</x:v>
      </x:c>
      <x:c r="F34" s="17" t="str">
        <x:v>§10个人跑腿与企业统一配送</x:v>
      </x:c>
      <x:c r="G34" s="4" t="str">
        <x:v>M4-P033</x:v>
      </x:c>
      <x:c r="H34" s="4" t="str">
        <x:v>CI_PASS</x:v>
      </x:c>
      <x:c r="I34" s="4" t="str">
        <x:v>NOT_EXECUTED</x:v>
      </x:c>
      <x:c r="J34" s="4" t="str">
        <x:v>TO_BE_CREATED</x:v>
      </x:c>
      <x:c r="K34" s="4" t="str">
        <x:v>N/A</x:v>
      </x:c>
      <x:c r="L34" s="17" t="str">
        <x:v>越权；重复请求；非法状态；敏感字段泄露；失败恢复（按适用性执行）</x:v>
      </x:c>
      <x:c r="M34" s="4" t="str"/>
      <x:c r="N34" s="4" t="str"/>
      <x:c r="O34" s="4" t="str"/>
      <x:c r="P34" s="4" t="str"/>
      <x:c r="Q34" s="4" t="str"/>
    </x:row>
    <x:row r="35" ht="23" customHeight="1">
      <x:c r="A35" s="4" t="str">
        <x:v>P0-034</x:v>
      </x:c>
      <x:c r="B35" s="4" t="str">
        <x:v>34</x:v>
      </x:c>
      <x:c r="C35" s="4" t="str">
        <x:v>M4</x:v>
      </x:c>
      <x:c r="D35" s="4"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4" t="str">
        <x:v>M4-P034</x:v>
      </x:c>
      <x:c r="H35" s="4" t="str">
        <x:v>CI_PASS</x:v>
      </x:c>
      <x:c r="I35" s="4" t="str">
        <x:v>NOT_EXECUTED</x:v>
      </x:c>
      <x:c r="J35" s="4" t="str">
        <x:v>TO_BE_CREATED</x:v>
      </x:c>
      <x:c r="K35" s="4" t="str">
        <x:v>N/A</x:v>
      </x:c>
      <x:c r="L35" s="17" t="str">
        <x:v>越权；重复请求；非法状态；敏感字段泄露；失败恢复（按适用性执行）</x:v>
      </x:c>
      <x:c r="M35" s="4" t="str"/>
      <x:c r="N35" s="4" t="str"/>
      <x:c r="O35" s="4" t="str"/>
      <x:c r="P35" s="4" t="str"/>
      <x:c r="Q35" s="4" t="str"/>
    </x:row>
    <x:row r="36" ht="23" customHeight="1">
      <x:c r="A36" s="4" t="str">
        <x:v>P0-035</x:v>
      </x:c>
      <x:c r="B36" s="4" t="str">
        <x:v>35</x:v>
      </x:c>
      <x:c r="C36" s="4" t="str">
        <x:v>M4</x:v>
      </x:c>
      <x:c r="D36" s="4" t="str">
        <x:v>个人物流简化</x:v>
      </x:c>
      <x:c r="E36" s="17" t="str">
        <x:v>个人跑腿无智能调度、路线优化和按地图实际距离结算逻辑。</x:v>
      </x:c>
      <x:c r="F36" s="17" t="str">
        <x:v>§10个人跑腿与企业统一配送</x:v>
      </x:c>
      <x:c r="G36" s="4" t="str">
        <x:v>M4-P035</x:v>
      </x:c>
      <x:c r="H36" s="4" t="str">
        <x:v>CI_PASS</x:v>
      </x:c>
      <x:c r="I36" s="4" t="str">
        <x:v>NOT_EXECUTED</x:v>
      </x:c>
      <x:c r="J36" s="4" t="str">
        <x:v>TO_BE_CREATED</x:v>
      </x:c>
      <x:c r="K36" s="4" t="str">
        <x:v>N/A</x:v>
      </x:c>
      <x:c r="L36" s="17" t="str">
        <x:v>越权；重复请求；非法状态；敏感字段泄露；失败恢复（按适用性执行）</x:v>
      </x:c>
      <x:c r="M36" s="4" t="str"/>
      <x:c r="N36" s="4" t="str"/>
      <x:c r="O36" s="4" t="str"/>
      <x:c r="P36" s="4" t="str"/>
      <x:c r="Q36" s="4" t="str"/>
    </x:row>
    <x:row r="37" ht="23" customHeight="1">
      <x:c r="A37" s="4" t="str">
        <x:v>P0-036</x:v>
      </x:c>
      <x:c r="B37" s="4" t="str">
        <x:v>36</x:v>
      </x:c>
      <x:c r="C37" s="4" t="str">
        <x:v>M4</x:v>
      </x:c>
      <x:c r="D37" s="4" t="str">
        <x:v>异常物流</x:v>
      </x:c>
      <x:c r="E37" s="17" t="str">
        <x:v>个人跑腿异常和企业平台汇总/配送异常分别上报，均保留责任、数量、照片和处理结果。</x:v>
      </x:c>
      <x:c r="F37" s="17" t="str">
        <x:v>§10个人跑腿与企业统一配送</x:v>
      </x:c>
      <x:c r="G37" s="4" t="str">
        <x:v>M4-P036</x:v>
      </x:c>
      <x:c r="H37" s="4" t="str">
        <x:v>CI_PASS</x:v>
      </x:c>
      <x:c r="I37" s="4" t="str">
        <x:v>NOT_EXECUTED</x:v>
      </x:c>
      <x:c r="J37" s="4" t="str">
        <x:v>TO_BE_CREATED</x:v>
      </x:c>
      <x:c r="K37" s="4" t="str">
        <x:v>N/A</x:v>
      </x:c>
      <x:c r="L37" s="17" t="str">
        <x:v>越权；重复请求；非法状态；敏感字段泄露；失败恢复（按适用性执行）</x:v>
      </x:c>
      <x:c r="M37" s="4" t="str"/>
      <x:c r="N37" s="4" t="str"/>
      <x:c r="O37" s="4" t="str"/>
      <x:c r="P37" s="4" t="str"/>
      <x:c r="Q37" s="4" t="str"/>
    </x:row>
    <x:row r="38" ht="23" customHeight="1">
      <x:c r="A38" s="4" t="str">
        <x:v>P0-037</x:v>
      </x:c>
      <x:c r="B38" s="4" t="str">
        <x:v>37</x:v>
      </x:c>
      <x:c r="C38" s="4" t="str">
        <x:v>M4</x:v>
      </x:c>
      <x:c r="D38" s="4" t="str">
        <x:v>个人与企业收货</x:v>
      </x:c>
      <x:c r="E38" s="17" t="str">
        <x:v>个人用户或企业指定收货人可确认收货，不强制扫码；异常场景可要求照片或客服复核。</x:v>
      </x:c>
      <x:c r="F38" s="17" t="str">
        <x:v>§10个人跑腿与企业统一配送</x:v>
      </x:c>
      <x:c r="G38" s="4" t="str">
        <x:v>M4-P037</x:v>
      </x:c>
      <x:c r="H38" s="4" t="str">
        <x:v>CI_PASS</x:v>
      </x:c>
      <x:c r="I38" s="4" t="str">
        <x:v>NOT_EXECUTED</x:v>
      </x:c>
      <x:c r="J38" s="4" t="str">
        <x:v>TO_BE_CREATED</x:v>
      </x:c>
      <x:c r="K38" s="4" t="str">
        <x:v>N/A</x:v>
      </x:c>
      <x:c r="L38" s="17" t="str">
        <x:v>越权；重复请求；非法状态；敏感字段泄露；失败恢复（按适用性执行）</x:v>
      </x:c>
      <x:c r="M38" s="4" t="str"/>
      <x:c r="N38" s="4" t="str"/>
      <x:c r="O38" s="4" t="str"/>
      <x:c r="P38" s="4" t="str"/>
      <x:c r="Q38" s="4" t="str"/>
    </x:row>
    <x:row r="39" ht="23" customHeight="1">
      <x:c r="A39" s="4" t="str">
        <x:v>P0-038</x:v>
      </x:c>
      <x:c r="B39" s="4" t="str">
        <x:v>38</x:v>
      </x:c>
      <x:c r="C39" s="4" t="str">
        <x:v>M5</x:v>
      </x:c>
      <x:c r="D39" s="4" t="str">
        <x:v>售后统一受理</x:v>
      </x:c>
      <x:c r="E39" s="17" t="str">
        <x:v>用户向公司申请售后，供应商仅提交意见和凭证。</x:v>
      </x:c>
      <x:c r="F39" s="17" t="str">
        <x:v>§11售后、§12对账结算</x:v>
      </x:c>
      <x:c r="G39" s="4" t="str">
        <x:v>M5-P038</x:v>
      </x:c>
      <x:c r="H39" s="4" t="str">
        <x:v>CI_PASS</x:v>
      </x:c>
      <x:c r="I39" s="4" t="str">
        <x:v>NOT_EXECUTED</x:v>
      </x:c>
      <x:c r="J39" s="4" t="str">
        <x:v>TO_BE_CREATED</x:v>
      </x:c>
      <x:c r="K39" s="4" t="str">
        <x:v>N/A</x:v>
      </x:c>
      <x:c r="L39" s="17" t="str">
        <x:v>越权；重复请求；非法状态；敏感字段泄露；失败恢复（按适用性执行）</x:v>
      </x:c>
      <x:c r="M39" s="4" t="str"/>
      <x:c r="N39" s="4" t="str"/>
      <x:c r="O39" s="4" t="str"/>
      <x:c r="P39" s="4" t="str"/>
      <x:c r="Q39" s="4" t="str"/>
    </x:row>
    <x:row r="40" ht="23" customHeight="1">
      <x:c r="A40" s="4" t="str">
        <x:v>P0-039</x:v>
      </x:c>
      <x:c r="B40" s="4" t="str">
        <x:v>39</x:v>
      </x:c>
      <x:c r="C40" s="4" t="str">
        <x:v>M5</x:v>
      </x:c>
      <x:c r="D40" s="4" t="str">
        <x:v>责任归因</x:v>
      </x:c>
      <x:c r="E40" s="17" t="str">
        <x:v>用户/企业、供应商、个人跑腿、平台企业配送、公司和责任不清均有退款与对账处理规则。</x:v>
      </x:c>
      <x:c r="F40" s="17" t="str">
        <x:v>§11售后、§12对账结算</x:v>
      </x:c>
      <x:c r="G40" s="4" t="str">
        <x:v>M5-P039</x:v>
      </x:c>
      <x:c r="H40" s="4" t="str">
        <x:v>CI_PASS</x:v>
      </x:c>
      <x:c r="I40" s="4" t="str">
        <x:v>NOT_EXECUTED</x:v>
      </x:c>
      <x:c r="J40" s="4" t="str">
        <x:v>TO_BE_CREATED</x:v>
      </x:c>
      <x:c r="K40" s="4" t="str">
        <x:v>N/A</x:v>
      </x:c>
      <x:c r="L40" s="17" t="str">
        <x:v>越权；重复请求；非法状态；敏感字段泄露；失败恢复（按适用性执行）</x:v>
      </x:c>
      <x:c r="M40" s="4" t="str"/>
      <x:c r="N40" s="4" t="str"/>
      <x:c r="O40" s="4" t="str"/>
      <x:c r="P40" s="4" t="str"/>
      <x:c r="Q40" s="4" t="str"/>
    </x:row>
    <x:row r="41" ht="23" customHeight="1">
      <x:c r="A41" s="4" t="str">
        <x:v>P0-040</x:v>
      </x:c>
      <x:c r="B41" s="4" t="str">
        <x:v>40</x:v>
      </x:c>
      <x:c r="C41" s="4" t="str">
        <x:v>M5</x:v>
      </x:c>
      <x:c r="D41" s="4" t="str">
        <x:v>线上对账单</x:v>
      </x:c>
      <x:c r="E41" s="17" t="str">
        <x:v>供应商逐项查看订单、经审核生效的供应价快照、数量、退款、调整和本期应付。</x:v>
      </x:c>
      <x:c r="F41" s="17" t="str">
        <x:v>§11售后、§12对账结算</x:v>
      </x:c>
      <x:c r="G41" s="4" t="str">
        <x:v>M5-P040</x:v>
      </x:c>
      <x:c r="H41" s="4" t="str">
        <x:v>CI_PASS</x:v>
      </x:c>
      <x:c r="I41" s="4" t="str">
        <x:v>NOT_EXECUTED</x:v>
      </x:c>
      <x:c r="J41" s="4" t="str">
        <x:v>TO_BE_CREATED</x:v>
      </x:c>
      <x:c r="K41" s="4" t="str">
        <x:v>N/A</x:v>
      </x:c>
      <x:c r="L41" s="17" t="str">
        <x:v>越权；重复请求；非法状态；敏感字段泄露；失败恢复（按适用性执行）</x:v>
      </x:c>
      <x:c r="M41" s="4" t="str"/>
      <x:c r="N41" s="4" t="str"/>
      <x:c r="O41" s="4" t="str"/>
      <x:c r="P41" s="4" t="str"/>
      <x:c r="Q41" s="4" t="str"/>
    </x:row>
    <x:row r="42" ht="23" customHeight="1">
      <x:c r="A42" s="4" t="str">
        <x:v>P0-041</x:v>
      </x:c>
      <x:c r="B42" s="4" t="str">
        <x:v>41</x:v>
      </x:c>
      <x:c r="C42" s="4" t="str">
        <x:v>M5</x:v>
      </x:c>
      <x:c r="D42" s="4" t="str">
        <x:v>差异申诉</x:v>
      </x:c>
      <x:c r="E42" s="17" t="str">
        <x:v>供应商可对账单提出差异、上传凭证，公司复核过程可追溯。</x:v>
      </x:c>
      <x:c r="F42" s="17" t="str">
        <x:v>§11售后、§12对账结算</x:v>
      </x:c>
      <x:c r="G42" s="4" t="str">
        <x:v>M5-P041</x:v>
      </x:c>
      <x:c r="H42" s="4" t="str">
        <x:v>CI_PASS</x:v>
      </x:c>
      <x:c r="I42" s="4" t="str">
        <x:v>NOT_EXECUTED</x:v>
      </x:c>
      <x:c r="J42" s="4" t="str">
        <x:v>TO_BE_CREATED</x:v>
      </x:c>
      <x:c r="K42" s="4" t="str">
        <x:v>N/A</x:v>
      </x:c>
      <x:c r="L42" s="17" t="str">
        <x:v>越权；重复请求；非法状态；敏感字段泄露；失败恢复（按适用性执行）</x:v>
      </x:c>
      <x:c r="M42" s="4" t="str"/>
      <x:c r="N42" s="4" t="str"/>
      <x:c r="O42" s="4" t="str"/>
      <x:c r="P42" s="4" t="str"/>
      <x:c r="Q42" s="4" t="str"/>
    </x:row>
    <x:row r="43" ht="23" customHeight="1">
      <x:c r="A43" s="4" t="str">
        <x:v>P0-042</x:v>
      </x:c>
      <x:c r="B43" s="4" t="str">
        <x:v>42</x:v>
      </x:c>
      <x:c r="C43" s="4" t="str">
        <x:v>M5</x:v>
      </x:c>
      <x:c r="D43" s="4" t="str">
        <x:v>线下结算</x:v>
      </x:c>
      <x:c r="E43" s="17" t="str">
        <x:v>系统不自动出款；公司登记线下付款金额、时间、银行流水和凭证。</x:v>
      </x:c>
      <x:c r="F43" s="17" t="str">
        <x:v>§11售后、§12对账结算</x:v>
      </x:c>
      <x:c r="G43" s="4" t="str">
        <x:v>M5-P042</x:v>
      </x:c>
      <x:c r="H43" s="4" t="str">
        <x:v>STAGING_PASS</x:v>
      </x:c>
      <x:c r="I43" s="4" t="str">
        <x:v>NOT_EXECUTED</x:v>
      </x:c>
      <x:c r="J43" s="4" t="str">
        <x:v>TO_BE_CREATED</x:v>
      </x:c>
      <x:c r="K43" s="4" t="str">
        <x:v>MANUAL-042</x:v>
      </x:c>
      <x:c r="L43" s="17" t="str">
        <x:v>越权；重复请求；非法状态；敏感字段泄露；失败恢复（按适用性执行）</x:v>
      </x:c>
      <x:c r="M43" s="4" t="str"/>
      <x:c r="N43" s="4" t="str"/>
      <x:c r="O43" s="4" t="str"/>
      <x:c r="P43" s="4" t="str"/>
      <x:c r="Q43" s="4" t="str"/>
    </x:row>
    <x:row r="44" ht="23" customHeight="1">
      <x:c r="A44" s="4" t="str">
        <x:v>P0-043</x:v>
      </x:c>
      <x:c r="B44" s="4" t="str">
        <x:v>43</x:v>
      </x:c>
      <x:c r="C44" s="4" t="str">
        <x:v>M5</x:v>
      </x:c>
      <x:c r="D44" s="4" t="str">
        <x:v>账单不可覆盖</x:v>
      </x:c>
      <x:c r="E44" s="17" t="str">
        <x:v>已确认账单不允许直接修改，错误通过补充或冲正调整处理。</x:v>
      </x:c>
      <x:c r="F44" s="17" t="str">
        <x:v>§11售后、§12对账结算</x:v>
      </x:c>
      <x:c r="G44" s="4" t="str">
        <x:v>M5-P043</x:v>
      </x:c>
      <x:c r="H44" s="4" t="str">
        <x:v>CI_PASS</x:v>
      </x:c>
      <x:c r="I44" s="4" t="str">
        <x:v>NOT_EXECUTED</x:v>
      </x:c>
      <x:c r="J44" s="4" t="str">
        <x:v>TO_BE_CREATED</x:v>
      </x:c>
      <x:c r="K44" s="4" t="str">
        <x:v>N/A</x:v>
      </x:c>
      <x:c r="L44" s="17" t="str">
        <x:v>越权；重复请求；非法状态；敏感字段泄露；失败恢复（按适用性执行）</x:v>
      </x:c>
      <x:c r="M44" s="4" t="str"/>
      <x:c r="N44" s="4" t="str"/>
      <x:c r="O44" s="4" t="str"/>
      <x:c r="P44" s="4" t="str"/>
      <x:c r="Q44" s="4" t="str"/>
    </x:row>
    <x:row r="45" ht="23" customHeight="1">
      <x:c r="A45" s="4" t="str">
        <x:v>P0-044</x:v>
      </x:c>
      <x:c r="B45" s="4" t="str">
        <x:v>44</x:v>
      </x:c>
      <x:c r="C45" s="4" t="str">
        <x:v>M5</x:v>
      </x:c>
      <x:c r="D45" s="4" t="str">
        <x:v>供应商退出</x:v>
      </x:c>
      <x:c r="E45" s="17" t="str">
        <x:v>终止前完成订单、售后、对账和发票；历史记录保留。</x:v>
      </x:c>
      <x:c r="F45" s="17" t="str">
        <x:v>§11售后、§12对账结算</x:v>
      </x:c>
      <x:c r="G45" s="4" t="str">
        <x:v>M5-P044</x:v>
      </x:c>
      <x:c r="H45" s="4" t="str">
        <x:v>CI_PASS</x:v>
      </x:c>
      <x:c r="I45" s="4" t="str">
        <x:v>NOT_EXECUTED</x:v>
      </x:c>
      <x:c r="J45" s="4" t="str">
        <x:v>TO_BE_CREATED</x:v>
      </x:c>
      <x:c r="K45" s="4" t="str">
        <x:v>N/A</x:v>
      </x:c>
      <x:c r="L45" s="17" t="str">
        <x:v>越权；重复请求；非法状态；敏感字段泄露；失败恢复（按适用性执行）</x:v>
      </x:c>
      <x:c r="M45" s="4" t="str"/>
      <x:c r="N45" s="4" t="str"/>
      <x:c r="O45" s="4" t="str"/>
      <x:c r="P45" s="4" t="str"/>
      <x:c r="Q45" s="4" t="str"/>
    </x:row>
    <x:row r="46" ht="23" customHeight="1">
      <x:c r="A46" s="4" t="str">
        <x:v>P0-045</x:v>
      </x:c>
      <x:c r="B46" s="4" t="str">
        <x:v>45</x:v>
      </x:c>
      <x:c r="C46" s="4" t="str">
        <x:v>M1</x:v>
      </x:c>
      <x:c r="D46" s="4" t="str">
        <x:v>敏感操作审计</x:v>
      </x:c>
      <x:c r="E46" s="17" t="str">
        <x:v>退款、强制下架、银行账户变更和付款标记均记录操作人及前后值。</x:v>
      </x:c>
      <x:c r="F46" s="17" t="str">
        <x:v>§3角色权限、§4供应商后台、§14安全审计</x:v>
      </x:c>
      <x:c r="G46" s="4" t="str">
        <x:v>M1-P045</x:v>
      </x:c>
      <x:c r="H46" s="4" t="str">
        <x:v>CI_PASS</x:v>
      </x:c>
      <x:c r="I46" s="4" t="str">
        <x:v>NOT_EXECUTED</x:v>
      </x:c>
      <x:c r="J46" s="4" t="str">
        <x:v>TO_BE_CREATED</x:v>
      </x:c>
      <x:c r="K46" s="4" t="str">
        <x:v>N/A</x:v>
      </x:c>
      <x:c r="L46" s="17" t="str">
        <x:v>越权；重复请求；非法状态；敏感字段泄露；失败恢复（按适用性执行）</x:v>
      </x:c>
      <x:c r="M46" s="4" t="str"/>
      <x:c r="N46" s="4" t="str"/>
      <x:c r="O46" s="4" t="str"/>
      <x:c r="P46" s="4" t="str"/>
      <x:c r="Q46" s="4" t="str"/>
    </x:row>
    <x:row r="47" ht="23" customHeight="1">
      <x:c r="A47" s="4" t="str">
        <x:v>P0-046</x:v>
      </x:c>
      <x:c r="B47" s="4" t="str">
        <x:v>46</x:v>
      </x:c>
      <x:c r="C47" s="4" t="str">
        <x:v>M1</x:v>
      </x:c>
      <x:c r="D47" s="4"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4" t="str">
        <x:v>M1-P046</x:v>
      </x:c>
      <x:c r="H47" s="4" t="str">
        <x:v>CI_PASS</x:v>
      </x:c>
      <x:c r="I47" s="4" t="str">
        <x:v>NOT_EXECUTED</x:v>
      </x:c>
      <x:c r="J47" s="4" t="str">
        <x:v>TO_BE_CREATED</x:v>
      </x:c>
      <x:c r="K47" s="4" t="str">
        <x:v>N/A</x:v>
      </x:c>
      <x:c r="L47" s="17" t="str">
        <x:v>越权；重复请求；非法状态；敏感字段泄露；失败恢复（按适用性执行）</x:v>
      </x:c>
      <x:c r="M47" s="4" t="str"/>
      <x:c r="N47" s="4" t="str"/>
      <x:c r="O47" s="4" t="str"/>
      <x:c r="P47" s="4" t="str"/>
      <x:c r="Q47" s="4" t="str"/>
    </x:row>
    <x:row r="48" ht="23" customHeight="1">
      <x:c r="A48" s="4" t="str">
        <x:v>P0-047</x:v>
      </x:c>
      <x:c r="B48" s="4" t="str">
        <x:v>47</x:v>
      </x:c>
      <x:c r="C48" s="4" t="str">
        <x:v>M1</x:v>
      </x:c>
      <x:c r="D48" s="4"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4" t="str">
        <x:v>M1-P047</x:v>
      </x:c>
      <x:c r="H48" s="4" t="str">
        <x:v>CI_PASS</x:v>
      </x:c>
      <x:c r="I48" s="4" t="str">
        <x:v>NOT_EXECUTED</x:v>
      </x:c>
      <x:c r="J48" s="4" t="str">
        <x:v>TO_BE_CREATED</x:v>
      </x:c>
      <x:c r="K48" s="4" t="str">
        <x:v>N/A</x:v>
      </x:c>
      <x:c r="L48" s="17" t="str">
        <x:v>spec或types存在未提交差异；生成非确定；oasdiff breaking；小程序绕过适配器；供应价字段泄露</x:v>
      </x:c>
      <x:c r="M48" s="4" t="str"/>
      <x:c r="N48" s="4" t="str"/>
      <x:c r="O48" s="4" t="str"/>
      <x:c r="P48" s="4" t="str"/>
      <x:c r="Q48" s="4" t="str"/>
    </x:row>
    <x:row r="49" ht="23" customHeight="1">
      <x:c r="A49" s="4" t="str">
        <x:v>P0-048</x:v>
      </x:c>
      <x:c r="B49" s="4" t="str">
        <x:v>48</x:v>
      </x:c>
      <x:c r="C49" s="4" t="str">
        <x:v>M6</x:v>
      </x:c>
      <x:c r="D49" s="4" t="str">
        <x:v>迁移与构建</x:v>
      </x:c>
      <x:c r="E49" s="17" t="str">
        <x:v>Prisma validate、migration dry-run、lint、typecheck、test 和 build 全部通过。</x:v>
      </x:c>
      <x:c r="F49" s="17" t="str">
        <x:v>§15工程与§16-P0验收矩阵</x:v>
      </x:c>
      <x:c r="G49" s="4" t="str">
        <x:v>M6-P048</x:v>
      </x:c>
      <x:c r="H49" s="4" t="str">
        <x:v>CI_PASS</x:v>
      </x:c>
      <x:c r="I49" s="4" t="str">
        <x:v>NOT_EXECUTED</x:v>
      </x:c>
      <x:c r="J49" s="4" t="str">
        <x:v>TO_BE_CREATED</x:v>
      </x:c>
      <x:c r="K49" s="4" t="str">
        <x:v>N/A</x:v>
      </x:c>
      <x:c r="L49" s="17" t="str">
        <x:v>越权；重复请求；非法状态；敏感字段泄露；失败恢复（按适用性执行）</x:v>
      </x:c>
      <x:c r="M49" s="4" t="str"/>
      <x:c r="N49" s="4" t="str"/>
      <x:c r="O49" s="4" t="str"/>
      <x:c r="P49" s="4" t="str"/>
      <x:c r="Q49" s="4" t="str"/>
    </x:row>
    <x:row r="50" ht="23" customHeight="1">
      <x:c r="A50" s="4" t="str">
        <x:v>P0-049</x:v>
      </x:c>
      <x:c r="B50" s="4" t="str">
        <x:v>49</x:v>
      </x:c>
      <x:c r="C50" s="4" t="str">
        <x:v>M6</x:v>
      </x:c>
      <x:c r="D50" s="4" t="str">
        <x:v>异常页面状态</x:v>
      </x:c>
      <x:c r="E50" s="17" t="str">
        <x:v>用户、企业门户、供应商、公司物流工作台和跑腿端覆盖加载、空态、失败、禁用和无权限。</x:v>
      </x:c>
      <x:c r="F50" s="17" t="str">
        <x:v>§15工程与§16-P0验收矩阵</x:v>
      </x:c>
      <x:c r="G50" s="4" t="str">
        <x:v>M6-P049</x:v>
      </x:c>
      <x:c r="H50" s="4" t="str">
        <x:v>CI_PASS</x:v>
      </x:c>
      <x:c r="I50" s="4" t="str">
        <x:v>NOT_EXECUTED</x:v>
      </x:c>
      <x:c r="J50" s="4" t="str">
        <x:v>TO_BE_CREATED</x:v>
      </x:c>
      <x:c r="K50" s="4" t="str">
        <x:v>N/A</x:v>
      </x:c>
      <x:c r="L50" s="17" t="str">
        <x:v>越权；重复请求；非法状态；敏感字段泄露；失败恢复（按适用性执行）</x:v>
      </x:c>
      <x:c r="M50" s="4" t="str"/>
      <x:c r="N50" s="4" t="str"/>
      <x:c r="O50" s="4" t="str"/>
      <x:c r="P50" s="4" t="str"/>
      <x:c r="Q50" s="4" t="str"/>
    </x:row>
    <x:row r="51" ht="23" customHeight="1">
      <x:c r="A51" s="4" t="str">
        <x:v>P0-050</x:v>
      </x:c>
      <x:c r="B51" s="4" t="str">
        <x:v>50</x:v>
      </x:c>
      <x:c r="C51" s="4" t="str">
        <x:v>M6</x:v>
      </x:c>
      <x:c r="D51" s="4"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4" t="str">
        <x:v>M6-P050</x:v>
      </x:c>
      <x:c r="H51" s="4" t="str">
        <x:v>CI_PASS</x:v>
      </x:c>
      <x:c r="I51" s="4" t="str">
        <x:v>NOT_EXECUTED</x:v>
      </x:c>
      <x:c r="J51" s="4" t="str">
        <x:v>TO_BE_CREATED</x:v>
      </x:c>
      <x:c r="K51" s="4" t="str">
        <x:v>N/A</x:v>
      </x:c>
      <x:c r="L51" s="17" t="str">
        <x:v>越权；重复请求；非法状态；敏感字段泄露；失败恢复（按适用性执行）</x:v>
      </x:c>
      <x:c r="M51" s="4" t="str"/>
      <x:c r="N51" s="4" t="str"/>
      <x:c r="O51" s="4" t="str"/>
      <x:c r="P51" s="4" t="str"/>
      <x:c r="Q51" s="4" t="str"/>
    </x:row>
    <x:row r="52" ht="23" customHeight="1">
      <x:c r="A52" s="4" t="str">
        <x:v>P0-051</x:v>
      </x:c>
      <x:c r="B52" s="4" t="str">
        <x:v>51</x:v>
      </x:c>
      <x:c r="C52" s="4" t="str">
        <x:v>M3</x:v>
      </x:c>
      <x:c r="D52" s="4" t="str">
        <x:v>福利卡计划与批次</x:v>
      </x:c>
      <x:c r="E52" s="17" t="str">
        <x:v>公司可创建企业福利计划和发行批次，配置资金来源、额度、适用范围、领取方式、协议版本和状态。</x:v>
      </x:c>
      <x:c r="F52" s="17" t="str">
        <x:v>§8企业采购、§9订单福利卡支付</x:v>
      </x:c>
      <x:c r="G52" s="4" t="str">
        <x:v>M3-P051</x:v>
      </x:c>
      <x:c r="H52" s="4" t="str">
        <x:v>CI_PASS</x:v>
      </x:c>
      <x:c r="I52" s="4" t="str">
        <x:v>NOT_EXECUTED</x:v>
      </x:c>
      <x:c r="J52" s="4" t="str">
        <x:v>TO_BE_CREATED</x:v>
      </x:c>
      <x:c r="K52" s="4" t="str">
        <x:v>MANUAL-051</x:v>
      </x:c>
      <x:c r="L52" s="17" t="str">
        <x:v>越权；重复请求；非法状态；敏感字段泄露；失败恢复（按适用性执行）</x:v>
      </x:c>
      <x:c r="M52" s="4" t="str"/>
      <x:c r="N52" s="4" t="str"/>
      <x:c r="O52" s="4" t="str"/>
      <x:c r="P52" s="4" t="str"/>
      <x:c r="Q52" s="4" t="str"/>
    </x:row>
    <x:row r="53" ht="23" customHeight="1">
      <x:c r="A53" s="4" t="str">
        <x:v>P0-052</x:v>
      </x:c>
      <x:c r="B53" s="4" t="str">
        <x:v>52</x:v>
      </x:c>
      <x:c r="C53" s="4" t="str">
        <x:v>M3</x:v>
      </x:c>
      <x:c r="D53" s="4" t="str">
        <x:v>福利卡绑定</x:v>
      </x:c>
      <x:c r="E53" s="17" t="str">
        <x:v>用户可通过卡号密码、兑换码或扫码绑定；重复兑换、作废卡、冻结卡和非本人领取均被拦截且结果幂等。</x:v>
      </x:c>
      <x:c r="F53" s="17" t="str">
        <x:v>§8企业采购、§9订单福利卡支付</x:v>
      </x:c>
      <x:c r="G53" s="4" t="str">
        <x:v>M3-P052</x:v>
      </x:c>
      <x:c r="H53" s="4" t="str">
        <x:v>CI_PASS</x:v>
      </x:c>
      <x:c r="I53" s="4" t="str">
        <x:v>NOT_EXECUTED</x:v>
      </x:c>
      <x:c r="J53" s="4" t="str">
        <x:v>TO_BE_CREATED</x:v>
      </x:c>
      <x:c r="K53" s="4" t="str">
        <x:v>MANUAL-052</x:v>
      </x:c>
      <x:c r="L53" s="17" t="str">
        <x:v>越权；重复请求；非法状态；敏感字段泄露；失败恢复（按适用性执行）</x:v>
      </x:c>
      <x:c r="M53" s="4" t="str"/>
      <x:c r="N53" s="4" t="str"/>
      <x:c r="O53" s="4" t="str"/>
      <x:c r="P53" s="4" t="str"/>
      <x:c r="Q53" s="4" t="str"/>
    </x:row>
    <x:row r="54" ht="23" customHeight="1">
      <x:c r="A54" s="4" t="str">
        <x:v>P0-053</x:v>
      </x:c>
      <x:c r="B54" s="4" t="str">
        <x:v>53</x:v>
      </x:c>
      <x:c r="C54" s="4" t="str">
        <x:v>M3</x:v>
      </x:c>
      <x:c r="D54" s="4" t="str">
        <x:v>福利卡账户选择</x:v>
      </x:c>
      <x:c r="E54" s="17" t="str">
        <x:v>结算页只展示当前订单可用账户，显示余额与适用范围，并自动计算最大可抵扣金额。</x:v>
      </x:c>
      <x:c r="F54" s="17" t="str">
        <x:v>§8企业采购、§9订单福利卡支付</x:v>
      </x:c>
      <x:c r="G54" s="4" t="str">
        <x:v>M3-P053</x:v>
      </x:c>
      <x:c r="H54" s="4" t="str">
        <x:v>CI_PASS</x:v>
      </x:c>
      <x:c r="I54" s="4" t="str">
        <x:v>NOT_EXECUTED</x:v>
      </x:c>
      <x:c r="J54" s="4" t="str">
        <x:v>TO_BE_CREATED</x:v>
      </x:c>
      <x:c r="K54" s="4" t="str">
        <x:v>MANUAL-053</x:v>
      </x:c>
      <x:c r="L54" s="17" t="str">
        <x:v>越权；重复请求；非法状态；敏感字段泄露；失败恢复（按适用性执行）</x:v>
      </x:c>
      <x:c r="M54" s="4" t="str"/>
      <x:c r="N54" s="4" t="str"/>
      <x:c r="O54" s="4" t="str"/>
      <x:c r="P54" s="4" t="str"/>
      <x:c r="Q54" s="4" t="str"/>
    </x:row>
    <x:row r="55" ht="23" customHeight="1">
      <x:c r="A55" s="4" t="str">
        <x:v>P0-054</x:v>
      </x:c>
      <x:c r="B55" s="4" t="str">
        <x:v>54</x:v>
      </x:c>
      <x:c r="C55" s="4" t="str">
        <x:v>M3</x:v>
      </x:c>
      <x:c r="D55" s="4" t="str">
        <x:v>福利卡适用范围</x:v>
      </x:c>
      <x:c r="E55" s="17" t="str">
        <x:v>分类/商品白名单、黑名单和配送费规则由后端统一校验，商品详情、购物车和结算页口径一致。</x:v>
      </x:c>
      <x:c r="F55" s="17" t="str">
        <x:v>§8企业采购、§9订单福利卡支付</x:v>
      </x:c>
      <x:c r="G55" s="4" t="str">
        <x:v>M3-P054</x:v>
      </x:c>
      <x:c r="H55" s="4" t="str">
        <x:v>CI_PASS</x:v>
      </x:c>
      <x:c r="I55" s="4" t="str">
        <x:v>NOT_EXECUTED</x:v>
      </x:c>
      <x:c r="J55" s="4" t="str">
        <x:v>TO_BE_CREATED</x:v>
      </x:c>
      <x:c r="K55" s="4" t="str">
        <x:v>MANUAL-054</x:v>
      </x:c>
      <x:c r="L55" s="17" t="str">
        <x:v>越权；重复请求；非法状态；敏感字段泄露；失败恢复（按适用性执行）</x:v>
      </x:c>
      <x:c r="M55" s="4" t="str"/>
      <x:c r="N55" s="4" t="str"/>
      <x:c r="O55" s="4" t="str"/>
      <x:c r="P55" s="4" t="str"/>
      <x:c r="Q55" s="4" t="str"/>
    </x:row>
    <x:row r="56" ht="23" customHeight="1">
      <x:c r="A56" s="4" t="str">
        <x:v>P0-055</x:v>
      </x:c>
      <x:c r="B56" s="4" t="str">
        <x:v>55</x:v>
      </x:c>
      <x:c r="C56" s="4" t="str">
        <x:v>M3</x:v>
      </x:c>
      <x:c r="D56" s="4" t="str">
        <x:v>福利卡全额支付</x:v>
      </x:c>
      <x:c r="E56" s="17" t="str">
        <x:v>现金应付为零时不调用外部支付，福利卡冻结转实扣、订单置为已支付和流水写入在同一幂等事务完成。</x:v>
      </x:c>
      <x:c r="F56" s="17" t="str">
        <x:v>§8企业采购、§9订单福利卡支付</x:v>
      </x:c>
      <x:c r="G56" s="4" t="str">
        <x:v>M3-P055</x:v>
      </x:c>
      <x:c r="H56" s="4" t="str">
        <x:v>CI_PASS</x:v>
      </x:c>
      <x:c r="I56" s="4" t="str">
        <x:v>NOT_EXECUTED</x:v>
      </x:c>
      <x:c r="J56" s="4" t="str">
        <x:v>TO_BE_CREATED</x:v>
      </x:c>
      <x:c r="K56" s="4" t="str">
        <x:v>MANUAL-055</x:v>
      </x:c>
      <x:c r="L56" s="17" t="str">
        <x:v>越权；重复请求；非法状态；敏感字段泄露；失败恢复（按适用性执行）</x:v>
      </x:c>
      <x:c r="M56" s="4" t="str"/>
      <x:c r="N56" s="4" t="str"/>
      <x:c r="O56" s="4" t="str"/>
      <x:c r="P56" s="4" t="str"/>
      <x:c r="Q56" s="4" t="str"/>
    </x:row>
    <x:row r="57" ht="23" customHeight="1">
      <x:c r="A57" s="4" t="str">
        <x:v>P0-056</x:v>
      </x:c>
      <x:c r="B57" s="4" t="str">
        <x:v>56</x:v>
      </x:c>
      <x:c r="C57" s="4" t="str">
        <x:v>M3</x:v>
      </x:c>
      <x:c r="D57" s="4"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4" t="str">
        <x:v>M3-P056</x:v>
      </x:c>
      <x:c r="H57" s="4" t="str">
        <x:v>STAGING_PASS</x:v>
      </x:c>
      <x:c r="I57" s="4" t="str">
        <x:v>NOT_EXECUTED</x:v>
      </x:c>
      <x:c r="J57" s="4" t="str">
        <x:v>TO_BE_CREATED</x:v>
      </x:c>
      <x:c r="K57" s="4" t="str">
        <x:v>MANUAL-056</x:v>
      </x:c>
      <x:c r="L57" s="17" t="str">
        <x:v>越权；重复请求；非法状态；敏感字段泄露；失败恢复（按适用性执行）</x:v>
      </x:c>
      <x:c r="M57" s="4" t="str"/>
      <x:c r="N57" s="4" t="str"/>
      <x:c r="O57" s="4" t="str"/>
      <x:c r="P57" s="4" t="str"/>
      <x:c r="Q57" s="4" t="str"/>
    </x:row>
    <x:row r="58" ht="23" customHeight="1">
      <x:c r="A58" s="4" t="str">
        <x:v>P0-057</x:v>
      </x:c>
      <x:c r="B58" s="4" t="str">
        <x:v>57</x:v>
      </x:c>
      <x:c r="C58" s="4" t="str">
        <x:v>M3</x:v>
      </x:c>
      <x:c r="D58" s="4" t="str">
        <x:v>混合支付取消</x:v>
      </x:c>
      <x:c r="E58" s="17" t="str">
        <x:v>用户取消后服务端先查微信支付交易，确认未支付才释放福利卡、优惠券和库存；状态未知时不误释放。</x:v>
      </x:c>
      <x:c r="F58" s="17" t="str">
        <x:v>§8企业采购、§9订单福利卡支付</x:v>
      </x:c>
      <x:c r="G58" s="4" t="str">
        <x:v>M3-P057</x:v>
      </x:c>
      <x:c r="H58" s="4" t="str">
        <x:v>STAGING_PASS</x:v>
      </x:c>
      <x:c r="I58" s="4" t="str">
        <x:v>NOT_EXECUTED</x:v>
      </x:c>
      <x:c r="J58" s="4" t="str">
        <x:v>TO_BE_CREATED</x:v>
      </x:c>
      <x:c r="K58" s="4" t="str">
        <x:v>MANUAL-057</x:v>
      </x:c>
      <x:c r="L58" s="17" t="str">
        <x:v>越权；重复请求；非法状态；敏感字段泄露；失败恢复（按适用性执行）</x:v>
      </x:c>
      <x:c r="M58" s="4" t="str"/>
      <x:c r="N58" s="4" t="str"/>
      <x:c r="O58" s="4" t="str"/>
      <x:c r="P58" s="4" t="str"/>
      <x:c r="Q58" s="4" t="str"/>
    </x:row>
    <x:row r="59" ht="23" customHeight="1">
      <x:c r="A59" s="4" t="str">
        <x:v>P0-058</x:v>
      </x:c>
      <x:c r="B59" s="4" t="str">
        <x:v>58</x:v>
      </x:c>
      <x:c r="C59" s="4" t="str">
        <x:v>M3</x:v>
      </x:c>
      <x:c r="D59" s="4" t="str">
        <x:v>混合支付拆分退款</x:v>
      </x:c>
      <x:c r="E59" s="17" t="str">
        <x:v>全额和部分退款均按 OrderPaymentAllocation 返回原福利卡账户和原微信支付交易，尾差规则确定且可复现。</x:v>
      </x:c>
      <x:c r="F59" s="17" t="str">
        <x:v>§8企业采购、§9订单福利卡支付</x:v>
      </x:c>
      <x:c r="G59" s="4" t="str">
        <x:v>M3-P058</x:v>
      </x:c>
      <x:c r="H59" s="4" t="str">
        <x:v>STAGING_PASS</x:v>
      </x:c>
      <x:c r="I59" s="4" t="str">
        <x:v>NOT_EXECUTED</x:v>
      </x:c>
      <x:c r="J59" s="4" t="str">
        <x:v>TO_BE_CREATED</x:v>
      </x:c>
      <x:c r="K59" s="4" t="str">
        <x:v>MANUAL-058</x:v>
      </x:c>
      <x:c r="L59" s="17" t="str">
        <x:v>越权；重复请求；非法状态；敏感字段泄露；失败恢复（按适用性执行）</x:v>
      </x:c>
      <x:c r="M59" s="4" t="str"/>
      <x:c r="N59" s="4" t="str"/>
      <x:c r="O59" s="4" t="str"/>
      <x:c r="P59" s="4" t="str"/>
      <x:c r="Q59" s="4" t="str"/>
    </x:row>
    <x:row r="60" ht="23" customHeight="1">
      <x:c r="A60" s="4" t="str">
        <x:v>P0-059</x:v>
      </x:c>
      <x:c r="B60" s="4" t="str">
        <x:v>59</x:v>
      </x:c>
      <x:c r="C60" s="4" t="str">
        <x:v>M3</x:v>
      </x:c>
      <x:c r="D60" s="4" t="str">
        <x:v>福利卡账本</x:v>
      </x:c>
      <x:c r="E60" s="17" t="str">
        <x:v>发行、领取、冻结、解冻、实扣、退款、冲正和调整全部写入 append-only WelfareCardLedger，账户余额与流水一致且不为负。</x:v>
      </x:c>
      <x:c r="F60" s="17" t="str">
        <x:v>§8企业采购、§9订单福利卡支付</x:v>
      </x:c>
      <x:c r="G60" s="4" t="str">
        <x:v>M3-P059</x:v>
      </x:c>
      <x:c r="H60" s="4" t="str">
        <x:v>CI_PASS</x:v>
      </x:c>
      <x:c r="I60" s="4" t="str">
        <x:v>NOT_EXECUTED</x:v>
      </x:c>
      <x:c r="J60" s="4" t="str">
        <x:v>TO_BE_CREATED</x:v>
      </x:c>
      <x:c r="K60" s="4" t="str">
        <x:v>N/A</x:v>
      </x:c>
      <x:c r="L60" s="17" t="str">
        <x:v>越权；重复请求；非法状态；敏感字段泄露；失败恢复（按适用性执行）</x:v>
      </x:c>
      <x:c r="M60" s="4" t="str"/>
      <x:c r="N60" s="4" t="str"/>
      <x:c r="O60" s="4" t="str"/>
      <x:c r="P60" s="4" t="str"/>
      <x:c r="Q60" s="4" t="str"/>
    </x:row>
    <x:row r="61" ht="23" customHeight="1">
      <x:c r="A61" s="4" t="str">
        <x:v>P0-060</x:v>
      </x:c>
      <x:c r="B61" s="4" t="str">
        <x:v>60</x:v>
      </x:c>
      <x:c r="C61" s="4" t="str">
        <x:v>M5</x:v>
      </x:c>
      <x:c r="D61" s="4"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4" t="str">
        <x:v>M5-P060</x:v>
      </x:c>
      <x:c r="H61" s="4" t="str">
        <x:v>CI_PASS</x:v>
      </x:c>
      <x:c r="I61" s="4" t="str">
        <x:v>NOT_EXECUTED</x:v>
      </x:c>
      <x:c r="J61" s="4" t="str">
        <x:v>TO_BE_CREATED</x:v>
      </x:c>
      <x:c r="K61" s="4" t="str">
        <x:v>N/A</x:v>
      </x:c>
      <x:c r="L61" s="17" t="str">
        <x:v>个人充值API/路由/枚举/开关；第四类资金来源；用户支付结构影响供应商供货款</x:v>
      </x:c>
      <x:c r="M61" s="4" t="str"/>
      <x:c r="N61" s="4" t="str"/>
      <x:c r="O61" s="4" t="str"/>
      <x:c r="P61" s="4" t="str"/>
      <x:c r="Q61" s="4" t="str"/>
    </x:row>
    <x:row r="62" ht="23" customHeight="1">
      <x:c r="A62" s="4" t="str">
        <x:v>P0-061</x:v>
      </x:c>
      <x:c r="B62" s="4" t="str">
        <x:v>61</x:v>
      </x:c>
      <x:c r="C62" s="4" t="str">
        <x:v>M2</x:v>
      </x:c>
      <x:c r="D62" s="4"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4" t="str">
        <x:v>M2-P061</x:v>
      </x:c>
      <x:c r="H62" s="4" t="str">
        <x:v>CI_PASS</x:v>
      </x:c>
      <x:c r="I62" s="4" t="str">
        <x:v>NOT_EXECUTED</x:v>
      </x:c>
      <x:c r="J62" s="4" t="str">
        <x:v>TO_BE_CREATED</x:v>
      </x:c>
      <x:c r="K62" s="4" t="str">
        <x:v>N/A</x:v>
      </x:c>
      <x:c r="L62" s="17" t="str">
        <x:v>越权；重复请求；非法状态；敏感字段泄露；失败恢复（按适用性执行）</x:v>
      </x:c>
      <x:c r="M62" s="4" t="str"/>
      <x:c r="N62" s="4" t="str"/>
      <x:c r="O62" s="4" t="str"/>
      <x:c r="P62" s="4" t="str"/>
      <x:c r="Q62" s="4" t="str"/>
    </x:row>
    <x:row r="63" ht="23" customHeight="1">
      <x:c r="A63" s="4" t="str">
        <x:v>P0-062</x:v>
      </x:c>
      <x:c r="B63" s="4" t="str">
        <x:v>62</x:v>
      </x:c>
      <x:c r="C63" s="4" t="str">
        <x:v>M3</x:v>
      </x:c>
      <x:c r="D63" s="4" t="str">
        <x:v>多供应商企业主订单</x:v>
      </x:c>
      <x:c r="E63" s="17" t="str">
        <x:v>企业可一次选择至少三个供应商商品并提交一个主订单；平台按 supplierId 准确生成子单，金额与商品汇总一致。</x:v>
      </x:c>
      <x:c r="F63" s="17" t="str">
        <x:v>§8企业采购、§9订单福利卡支付</x:v>
      </x:c>
      <x:c r="G63" s="4" t="str">
        <x:v>M3-P062</x:v>
      </x:c>
      <x:c r="H63" s="4" t="str">
        <x:v>CI_PASS</x:v>
      </x:c>
      <x:c r="I63" s="4" t="str">
        <x:v>NOT_EXECUTED</x:v>
      </x:c>
      <x:c r="J63" s="4" t="str">
        <x:v>TO_BE_CREATED</x:v>
      </x:c>
      <x:c r="K63" s="4" t="str">
        <x:v>N/A</x:v>
      </x:c>
      <x:c r="L63" s="17" t="str">
        <x:v>越权；重复请求；非法状态；敏感字段泄露；失败恢复（按适用性执行）</x:v>
      </x:c>
      <x:c r="M63" s="4" t="str"/>
      <x:c r="N63" s="4" t="str"/>
      <x:c r="O63" s="4" t="str"/>
      <x:c r="P63" s="4" t="str"/>
      <x:c r="Q63" s="4" t="str"/>
    </x:row>
    <x:row r="64" ht="23" customHeight="1">
      <x:c r="A64" s="4" t="str">
        <x:v>P0-063</x:v>
      </x:c>
      <x:c r="B64" s="4" t="str">
        <x:v>63</x:v>
      </x:c>
      <x:c r="C64" s="4" t="str">
        <x:v>M2</x:v>
      </x:c>
      <x:c r="D64" s="4"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4" t="str">
        <x:v>M2-P063</x:v>
      </x:c>
      <x:c r="H64" s="4" t="str">
        <x:v>CI_PASS</x:v>
      </x:c>
      <x:c r="I64" s="4" t="str">
        <x:v>NOT_EXECUTED</x:v>
      </x:c>
      <x:c r="J64" s="4" t="str">
        <x:v>TO_BE_CREATED</x:v>
      </x:c>
      <x:c r="K64" s="4" t="str">
        <x:v>N/A</x:v>
      </x:c>
      <x:c r="L64" s="17" t="str">
        <x:v>越权；重复请求；非法状态；敏感字段泄露；失败恢复（按适用性执行）</x:v>
      </x:c>
      <x:c r="M64" s="4" t="str"/>
      <x:c r="N64" s="4" t="str"/>
      <x:c r="O64" s="4" t="str"/>
      <x:c r="P64" s="4" t="str"/>
      <x:c r="Q64" s="4" t="str"/>
    </x:row>
    <x:row r="65" ht="23" customHeight="1">
      <x:c r="A65" s="4" t="str">
        <x:v>P0-064</x:v>
      </x:c>
      <x:c r="B65" s="4" t="str">
        <x:v>64</x:v>
      </x:c>
      <x:c r="C65" s="4" t="str">
        <x:v>M4</x:v>
      </x:c>
      <x:c r="D65" s="4" t="str">
        <x:v>企业平台统一配送</x:v>
      </x:c>
      <x:c r="E65" s="17" t="str">
        <x:v>企业订单生成 EnterpriseDeliveryOrder，由公司物流工作台安排车辆/司机或承运商；不生成 DeliveryTask，不出现在跑腿大厅。</x:v>
      </x:c>
      <x:c r="F65" s="17" t="str">
        <x:v>§10个人跑腿与企业统一配送</x:v>
      </x:c>
      <x:c r="G65" s="4" t="str">
        <x:v>M4-P064</x:v>
      </x:c>
      <x:c r="H65" s="4" t="str">
        <x:v>STAGING_PASS</x:v>
      </x:c>
      <x:c r="I65" s="4" t="str">
        <x:v>NOT_EXECUTED</x:v>
      </x:c>
      <x:c r="J65" s="4" t="str">
        <x:v>TO_BE_CREATED</x:v>
      </x:c>
      <x:c r="K65" s="4" t="str">
        <x:v>MANUAL-064</x:v>
      </x:c>
      <x:c r="L65" s="17" t="str">
        <x:v>越权；重复请求；非法状态；敏感字段泄露；失败恢复（按适用性执行）</x:v>
      </x:c>
      <x:c r="M65" s="4" t="str"/>
      <x:c r="N65" s="4" t="str"/>
      <x:c r="O65" s="4" t="str"/>
      <x:c r="P65" s="4" t="str"/>
      <x:c r="Q65" s="4" t="str"/>
    </x:row>
    <x:row r="66" ht="23" customHeight="1">
      <x:c r="A66" s="4" t="str">
        <x:v>P0-065</x:v>
      </x:c>
      <x:c r="B66" s="4" t="str">
        <x:v>65</x:v>
      </x:c>
      <x:c r="C66" s="4" t="str">
        <x:v>M5</x:v>
      </x:c>
      <x:c r="D66" s="4"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4" t="str">
        <x:v>M5-P065</x:v>
      </x:c>
      <x:c r="H66" s="4" t="str">
        <x:v>CI_PASS</x:v>
      </x:c>
      <x:c r="I66" s="4" t="str">
        <x:v>NOT_EXECUTED</x:v>
      </x:c>
      <x:c r="J66" s="4" t="str">
        <x:v>TO_BE_CREATED</x:v>
      </x:c>
      <x:c r="K66" s="4" t="str">
        <x:v>N/A</x:v>
      </x:c>
      <x:c r="L66" s="17" t="str">
        <x:v>越权；重复请求；非法状态；敏感字段泄露；失败恢复（按适用性执行）</x:v>
      </x:c>
      <x:c r="M66" s="4" t="str"/>
      <x:c r="N66" s="4" t="str"/>
      <x:c r="O66" s="4" t="str"/>
      <x:c r="P66" s="4" t="str"/>
      <x:c r="Q66" s="4" t="str"/>
    </x:row>
    <x:row r="67" ht="23" customHeight="1">
      <x:c r="A67" s="4" t="str">
        <x:v>P0-066</x:v>
      </x:c>
      <x:c r="B67" s="4" t="str">
        <x:v>66</x:v>
      </x:c>
      <x:c r="C67" s="4" t="str">
        <x:v>M1</x:v>
      </x:c>
      <x:c r="D67" s="4"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4" t="str">
        <x:v>M1-P066</x:v>
      </x:c>
      <x:c r="H67" s="4" t="str">
        <x:v>CI_PASS</x:v>
      </x:c>
      <x:c r="I67" s="4" t="str">
        <x:v>NOT_EXECUTED</x:v>
      </x:c>
      <x:c r="J67" s="4" t="str">
        <x:v>TO_BE_CREATED</x:v>
      </x:c>
      <x:c r="K67" s="4" t="str">
        <x:v>N/A</x:v>
      </x:c>
      <x:c r="L67" s="17" t="str">
        <x:v>越权；重复请求；非法状态；敏感字段泄露；失败恢复（按适用性执行）</x:v>
      </x:c>
      <x:c r="M67" s="4" t="str"/>
      <x:c r="N67" s="4" t="str"/>
      <x:c r="O67" s="4" t="str"/>
      <x:c r="P67" s="4" t="str"/>
      <x:c r="Q67" s="4" t="str"/>
    </x:row>
    <x:row r="68" ht="23" customHeight="1">
      <x:c r="A68" s="4" t="str">
        <x:v>P0-067</x:v>
      </x:c>
      <x:c r="B68" s="4" t="str">
        <x:v>67</x:v>
      </x:c>
      <x:c r="C68" s="4" t="str">
        <x:v>M1</x:v>
      </x:c>
      <x:c r="D68" s="4"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4" t="str">
        <x:v>M1-P067</x:v>
      </x:c>
      <x:c r="H68" s="4" t="str">
        <x:v>CI_PASS</x:v>
      </x:c>
      <x:c r="I68" s="4" t="str">
        <x:v>NOT_EXECUTED</x:v>
      </x:c>
      <x:c r="J68" s="4" t="str">
        <x:v>TO_BE_CREATED</x:v>
      </x:c>
      <x:c r="K68" s="4" t="str">
        <x:v>N/A</x:v>
      </x:c>
      <x:c r="L68" s="17" t="str">
        <x:v>越权；重复请求；非法状态；敏感字段泄露；失败恢复（按适用性执行）</x:v>
      </x:c>
      <x:c r="M68" s="4" t="str"/>
      <x:c r="N68" s="4" t="str"/>
      <x:c r="O68" s="4" t="str"/>
      <x:c r="P68" s="4" t="str"/>
      <x:c r="Q68" s="4" t="str"/>
    </x:row>
    <x:row r="69" ht="23" customHeight="1">
      <x:c r="A69" s="4" t="str">
        <x:v>P0-068</x:v>
      </x:c>
      <x:c r="B69" s="4" t="str">
        <x:v>68</x:v>
      </x:c>
      <x:c r="C69" s="4" t="str">
        <x:v>M1</x:v>
      </x:c>
      <x:c r="D69" s="4"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4" t="str">
        <x:v>M1-P068</x:v>
      </x:c>
      <x:c r="H69" s="4" t="str">
        <x:v>CI_PASS</x:v>
      </x:c>
      <x:c r="I69" s="4" t="str">
        <x:v>NOT_EXECUTED</x:v>
      </x:c>
      <x:c r="J69" s="4" t="str">
        <x:v>TO_BE_CREATED</x:v>
      </x:c>
      <x:c r="K69" s="4" t="str">
        <x:v>N/A</x:v>
      </x:c>
      <x:c r="L69" s="17" t="str">
        <x:v>越权；重复请求；非法状态；敏感字段泄露；失败恢复（按适用性执行）</x:v>
      </x:c>
      <x:c r="M69" s="4" t="str"/>
      <x:c r="N69" s="4" t="str"/>
      <x:c r="O69" s="4" t="str"/>
      <x:c r="P69" s="4" t="str"/>
      <x:c r="Q69" s="4" t="str"/>
    </x:row>
    <x:row r="70" ht="23" customHeight="1">
      <x:c r="A70" s="4" t="str">
        <x:v>P0-069</x:v>
      </x:c>
      <x:c r="B70" s="4" t="str">
        <x:v>69</x:v>
      </x:c>
      <x:c r="C70" s="4" t="str">
        <x:v>M1</x:v>
      </x:c>
      <x:c r="D70" s="4"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4" t="str">
        <x:v>M1-P069</x:v>
      </x:c>
      <x:c r="H70" s="4" t="str">
        <x:v>CI_PASS</x:v>
      </x:c>
      <x:c r="I70" s="4" t="str">
        <x:v>NOT_EXECUTED</x:v>
      </x:c>
      <x:c r="J70" s="4" t="str">
        <x:v>TO_BE_CREATED</x:v>
      </x:c>
      <x:c r="K70" s="4" t="str">
        <x:v>N/A</x:v>
      </x:c>
      <x:c r="L70" s="17" t="str">
        <x:v>越权；重复请求；非法状态；敏感字段泄露；失败恢复（按适用性执行）</x:v>
      </x:c>
      <x:c r="M70" s="4" t="str"/>
      <x:c r="N70" s="4" t="str"/>
      <x:c r="O70" s="4" t="str"/>
      <x:c r="P70" s="4" t="str"/>
      <x:c r="Q70" s="4" t="str"/>
    </x:row>
    <x:row r="71" ht="23" customHeight="1">
      <x:c r="A71" s="4" t="str">
        <x:v>P0-070</x:v>
      </x:c>
      <x:c r="B71" s="4" t="str">
        <x:v>70</x:v>
      </x:c>
      <x:c r="C71" s="4" t="str">
        <x:v>M1</x:v>
      </x:c>
      <x:c r="D71" s="4"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4" t="str">
        <x:v>M1-P070</x:v>
      </x:c>
      <x:c r="H71" s="4" t="str">
        <x:v>CI_PASS</x:v>
      </x:c>
      <x:c r="I71" s="4" t="str">
        <x:v>NOT_EXECUTED</x:v>
      </x:c>
      <x:c r="J71" s="4" t="str">
        <x:v>TO_BE_CREATED</x:v>
      </x:c>
      <x:c r="K71" s="4" t="str">
        <x:v>N/A</x:v>
      </x:c>
      <x:c r="L71" s="17" t="str">
        <x:v>越权；重复请求；非法状态；敏感字段泄露；失败恢复（按适用性执行）</x:v>
      </x:c>
      <x:c r="M71" s="4" t="str"/>
      <x:c r="N71" s="4" t="str"/>
      <x:c r="O71" s="4" t="str"/>
      <x:c r="P71" s="4" t="str"/>
      <x:c r="Q71" s="4" t="str"/>
    </x:row>
    <x:row r="72" ht="23" customHeight="1">
      <x:c r="A72" s="4" t="str">
        <x:v>P0-071</x:v>
      </x:c>
      <x:c r="B72" s="4" t="str">
        <x:v>71</x:v>
      </x:c>
      <x:c r="C72" s="4" t="str">
        <x:v>M2</x:v>
      </x:c>
      <x:c r="D72" s="4"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4" t="str">
        <x:v>M2-P071</x:v>
      </x:c>
      <x:c r="H72" s="4" t="str">
        <x:v>CI_PASS</x:v>
      </x:c>
      <x:c r="I72" s="4" t="str">
        <x:v>NOT_EXECUTED</x:v>
      </x:c>
      <x:c r="J72" s="4" t="str">
        <x:v>TO_BE_CREATED</x:v>
      </x:c>
      <x:c r="K72" s="4" t="str">
        <x:v>N/A</x:v>
      </x:c>
      <x:c r="L72" s="17" t="str">
        <x:v>越权；重复请求；非法状态；敏感字段泄露；失败恢复（按适用性执行）</x:v>
      </x:c>
      <x:c r="M72" s="4" t="str"/>
      <x:c r="N72" s="4" t="str"/>
      <x:c r="O72" s="4" t="str"/>
      <x:c r="P72" s="4" t="str"/>
      <x:c r="Q72" s="4" t="str"/>
    </x:row>
    <x:row r="73" ht="23" customHeight="1">
      <x:c r="A73" s="4" t="str">
        <x:v>P0-072</x:v>
      </x:c>
      <x:c r="B73" s="4" t="str">
        <x:v>72</x:v>
      </x:c>
      <x:c r="C73" s="4" t="str">
        <x:v>M1</x:v>
      </x:c>
      <x:c r="D73" s="4"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4" t="str">
        <x:v>M1-P072</x:v>
      </x:c>
      <x:c r="H73" s="4" t="str">
        <x:v>CI_PASS</x:v>
      </x:c>
      <x:c r="I73" s="4" t="str">
        <x:v>NOT_EXECUTED</x:v>
      </x:c>
      <x:c r="J73" s="4" t="str">
        <x:v>TO_BE_CREATED</x:v>
      </x:c>
      <x:c r="K73" s="4" t="str">
        <x:v>N/A</x:v>
      </x:c>
      <x:c r="L73" s="17" t="str">
        <x:v>同一identityId跨账号复核；超级管理员绕过；并发双审；审计缺失</x:v>
      </x:c>
      <x:c r="M73" s="4" t="str"/>
      <x:c r="N73" s="4" t="str"/>
      <x:c r="O73" s="4" t="str"/>
      <x:c r="P73" s="4" t="str"/>
      <x:c r="Q73" s="4" t="str"/>
    </x:row>
    <x:row r="74" ht="23" customHeight="1">
      <x:c r="A74" s="4" t="str">
        <x:v>P0-073</x:v>
      </x:c>
      <x:c r="B74" s="4" t="str">
        <x:v>73</x:v>
      </x:c>
      <x:c r="C74" s="4" t="str">
        <x:v>M3</x:v>
      </x:c>
      <x:c r="D74" s="4"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4" t="str">
        <x:v>M3-P073</x:v>
      </x:c>
      <x:c r="H74" s="4" t="str">
        <x:v>CI_PASS</x:v>
      </x:c>
      <x:c r="I74" s="4" t="str">
        <x:v>NOT_EXECUTED</x:v>
      </x:c>
      <x:c r="J74" s="4" t="str">
        <x:v>TO_BE_CREATED</x:v>
      </x:c>
      <x:c r="K74" s="4" t="str">
        <x:v>N/A</x:v>
      </x:c>
      <x:c r="L74" s="17" t="str">
        <x:v>越权；重复请求；非法状态；敏感字段泄露；失败恢复（按适用性执行）</x:v>
      </x:c>
      <x:c r="M74" s="4" t="str"/>
      <x:c r="N74" s="4" t="str"/>
      <x:c r="O74" s="4" t="str"/>
      <x:c r="P74" s="4" t="str"/>
      <x:c r="Q74" s="4" t="str"/>
    </x:row>
    <x:row r="75" ht="23" customHeight="1">
      <x:c r="A75" s="4" t="str">
        <x:v>P0-074</x:v>
      </x:c>
      <x:c r="B75" s="4" t="str">
        <x:v>74</x:v>
      </x:c>
      <x:c r="C75" s="4" t="str">
        <x:v>M3</x:v>
      </x:c>
      <x:c r="D75" s="4"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4" t="str">
        <x:v>M3-P074</x:v>
      </x:c>
      <x:c r="H75" s="4" t="str">
        <x:v>CI_PASS</x:v>
      </x:c>
      <x:c r="I75" s="4" t="str">
        <x:v>NOT_EXECUTED</x:v>
      </x:c>
      <x:c r="J75" s="4" t="str">
        <x:v>TO_BE_CREATED</x:v>
      </x:c>
      <x:c r="K75" s="4" t="str">
        <x:v>N/A</x:v>
      </x:c>
      <x:c r="L75" s="17" t="str">
        <x:v>越权；重复请求；非法状态；敏感字段泄露；失败恢复（按适用性执行）</x:v>
      </x:c>
      <x:c r="M75" s="4" t="str"/>
      <x:c r="N75" s="4" t="str"/>
      <x:c r="O75" s="4" t="str"/>
      <x:c r="P75" s="4" t="str"/>
      <x:c r="Q75" s="4" t="str"/>
    </x:row>
    <x:row r="76" ht="23" customHeight="1">
      <x:c r="A76" s="4" t="str">
        <x:v>P0-075</x:v>
      </x:c>
      <x:c r="B76" s="4" t="str">
        <x:v>75</x:v>
      </x:c>
      <x:c r="C76" s="4" t="str">
        <x:v>M3</x:v>
      </x:c>
      <x:c r="D76" s="4" t="str">
        <x:v>企业宣传页面</x:v>
      </x:c>
      <x:c r="E76" s="17" t="str">
        <x:v>关于、能力、案例、新闻和联系页面内容完整，资质与案例按授权展示，规则公告保留版本和生效时间，页面具有明确下一步入口。</x:v>
      </x:c>
      <x:c r="F76" s="17" t="str">
        <x:v>§8企业门户网站</x:v>
      </x:c>
      <x:c r="G76" s="4" t="str">
        <x:v>M3-P075</x:v>
      </x:c>
      <x:c r="H76" s="4" t="str">
        <x:v>CI_PASS</x:v>
      </x:c>
      <x:c r="I76" s="4" t="str">
        <x:v>NOT_EXECUTED</x:v>
      </x:c>
      <x:c r="J76" s="4" t="str">
        <x:v>TO_BE_CREATED</x:v>
      </x:c>
      <x:c r="K76" s="4" t="str">
        <x:v>N/A</x:v>
      </x:c>
      <x:c r="L76" s="17" t="str">
        <x:v>越权；重复请求；非法状态；敏感字段泄露；失败恢复（按适用性执行）</x:v>
      </x:c>
      <x:c r="M76" s="4" t="str"/>
      <x:c r="N76" s="4" t="str"/>
      <x:c r="O76" s="4" t="str"/>
      <x:c r="P76" s="4" t="str"/>
      <x:c r="Q76" s="4" t="str"/>
    </x:row>
    <x:row r="77" ht="23" customHeight="1">
      <x:c r="A77" s="4" t="str">
        <x:v>P0-076</x:v>
      </x:c>
      <x:c r="B77" s="4" t="str">
        <x:v>76</x:v>
      </x:c>
      <x:c r="C77" s="4" t="str">
        <x:v>M3</x:v>
      </x:c>
      <x:c r="D77" s="4"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4" t="str">
        <x:v>M3-P076</x:v>
      </x:c>
      <x:c r="H77" s="4" t="str">
        <x:v>CI_PASS</x:v>
      </x:c>
      <x:c r="I77" s="4" t="str">
        <x:v>NOT_EXECUTED</x:v>
      </x:c>
      <x:c r="J77" s="4" t="str">
        <x:v>TO_BE_CREATED</x:v>
      </x:c>
      <x:c r="K77" s="4" t="str">
        <x:v>N/A</x:v>
      </x:c>
      <x:c r="L77" s="17" t="str">
        <x:v>越权；重复请求；非法状态；敏感字段泄露；失败恢复（按适用性执行）</x:v>
      </x:c>
      <x:c r="M77" s="4" t="str"/>
      <x:c r="N77" s="4" t="str"/>
      <x:c r="O77" s="4" t="str"/>
      <x:c r="P77" s="4" t="str"/>
      <x:c r="Q77" s="4" t="str"/>
    </x:row>
    <x:row r="78" ht="23" customHeight="1">
      <x:c r="A78" s="4" t="str">
        <x:v>P0-077</x:v>
      </x:c>
      <x:c r="B78" s="4" t="str">
        <x:v>77</x:v>
      </x:c>
      <x:c r="C78" s="4" t="str">
        <x:v>M3</x:v>
      </x:c>
      <x:c r="D78" s="4"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4" t="str">
        <x:v>M3-P077</x:v>
      </x:c>
      <x:c r="H78" s="4" t="str">
        <x:v>CI_PASS</x:v>
      </x:c>
      <x:c r="I78" s="4" t="str">
        <x:v>NOT_EXECUTED</x:v>
      </x:c>
      <x:c r="J78" s="4" t="str">
        <x:v>TO_BE_CREATED</x:v>
      </x:c>
      <x:c r="K78" s="4" t="str">
        <x:v>MANUAL-077</x:v>
      </x:c>
      <x:c r="L78" s="17" t="str">
        <x:v>越权；重复请求；非法状态；敏感字段泄露；失败恢复（按适用性执行）</x:v>
      </x:c>
      <x:c r="M78" s="4" t="str"/>
      <x:c r="N78" s="4" t="str"/>
      <x:c r="O78" s="4" t="str"/>
      <x:c r="P78" s="4" t="str"/>
      <x:c r="Q78" s="4" t="str"/>
    </x:row>
    <x:row r="79" ht="23" customHeight="1">
      <x:c r="A79" s="4" t="str">
        <x:v>P0-078</x:v>
      </x:c>
      <x:c r="B79" s="4" t="str">
        <x:v>78</x:v>
      </x:c>
      <x:c r="C79" s="4" t="str">
        <x:v>M3</x:v>
      </x:c>
      <x:c r="D79" s="4"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4" t="str">
        <x:v>M3-P078</x:v>
      </x:c>
      <x:c r="H79" s="4" t="str">
        <x:v>CI_PASS</x:v>
      </x:c>
      <x:c r="I79" s="4" t="str">
        <x:v>NOT_EXECUTED</x:v>
      </x:c>
      <x:c r="J79" s="4" t="str">
        <x:v>TO_BE_CREATED</x:v>
      </x:c>
      <x:c r="K79" s="4" t="str">
        <x:v>N/A</x:v>
      </x:c>
      <x:c r="L79" s="17" t="str">
        <x:v>越权；重复请求；非法状态；敏感字段泄露；失败恢复（按适用性执行）</x:v>
      </x:c>
      <x:c r="M79" s="4" t="str"/>
      <x:c r="N79" s="4" t="str"/>
      <x:c r="O79" s="4" t="str"/>
      <x:c r="P79" s="4" t="str"/>
      <x:c r="Q79" s="4" t="str"/>
    </x:row>
    <x:row r="80" ht="23" customHeight="1">
      <x:c r="A80" s="4" t="str">
        <x:v>P0-079</x:v>
      </x:c>
      <x:c r="B80" s="4" t="str">
        <x:v>79</x:v>
      </x:c>
      <x:c r="C80" s="4" t="str">
        <x:v>M3</x:v>
      </x:c>
      <x:c r="D80" s="4"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4" t="str">
        <x:v>M3-P079</x:v>
      </x:c>
      <x:c r="H80" s="4" t="str">
        <x:v>CI_PASS</x:v>
      </x:c>
      <x:c r="I80" s="4" t="str">
        <x:v>NOT_EXECUTED</x:v>
      </x:c>
      <x:c r="J80" s="4" t="str">
        <x:v>TO_BE_CREATED</x:v>
      </x:c>
      <x:c r="K80" s="4" t="str">
        <x:v>N/A</x:v>
      </x:c>
      <x:c r="L80" s="17" t="str">
        <x:v>越权；重复请求；非法状态；敏感字段泄露；失败恢复（按适用性执行）</x:v>
      </x:c>
      <x:c r="M80" s="4" t="str"/>
      <x:c r="N80" s="4" t="str"/>
      <x:c r="O80" s="4" t="str"/>
      <x:c r="P80" s="4" t="str"/>
      <x:c r="Q80" s="4" t="str"/>
    </x:row>
    <x:row r="81" ht="23" customHeight="1">
      <x:c r="A81" s="4" t="str">
        <x:v>P0-080</x:v>
      </x:c>
      <x:c r="B81" s="4" t="str">
        <x:v>80</x:v>
      </x:c>
      <x:c r="C81" s="4" t="str">
        <x:v>M3</x:v>
      </x:c>
      <x:c r="D81" s="4"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4" t="str">
        <x:v>M3-P080</x:v>
      </x:c>
      <x:c r="H81" s="4" t="str">
        <x:v>CI_PASS</x:v>
      </x:c>
      <x:c r="I81" s="4" t="str">
        <x:v>NOT_EXECUTED</x:v>
      </x:c>
      <x:c r="J81" s="4" t="str">
        <x:v>TO_BE_CREATED</x:v>
      </x:c>
      <x:c r="K81" s="4" t="str">
        <x:v>N/A</x:v>
      </x:c>
      <x:c r="L81" s="17" t="str">
        <x:v>越权；重复请求；非法状态；敏感字段泄露；失败恢复（按适用性执行）</x:v>
      </x:c>
      <x:c r="M81" s="4" t="str"/>
      <x:c r="N81" s="4" t="str"/>
      <x:c r="O81" s="4" t="str"/>
      <x:c r="P81" s="4" t="str"/>
      <x:c r="Q81" s="4" t="str"/>
    </x:row>
    <x:row r="82" ht="23" customHeight="1">
      <x:c r="A82" s="4" t="str">
        <x:v>P0-081</x:v>
      </x:c>
      <x:c r="B82" s="4" t="str">
        <x:v>81</x:v>
      </x:c>
      <x:c r="C82" s="4" t="str">
        <x:v>M3</x:v>
      </x:c>
      <x:c r="D82" s="4" t="str">
        <x:v>响应式与页面状态</x:v>
      </x:c>
      <x:c r="E82" s="17" t="str">
        <x:v>桌面、平板和手机可完成注册、浏览、采购车、下单、订单和售后；加载、空态、失败、未认证、无权限、对象失效和表单错误状态均有明确反馈。</x:v>
      </x:c>
      <x:c r="F82" s="17" t="str">
        <x:v>§8企业门户网站</x:v>
      </x:c>
      <x:c r="G82" s="4" t="str">
        <x:v>M3-P081</x:v>
      </x:c>
      <x:c r="H82" s="4" t="str">
        <x:v>CI_PASS</x:v>
      </x:c>
      <x:c r="I82" s="4" t="str">
        <x:v>NOT_EXECUTED</x:v>
      </x:c>
      <x:c r="J82" s="4" t="str">
        <x:v>TO_BE_CREATED</x:v>
      </x:c>
      <x:c r="K82" s="4" t="str">
        <x:v>N/A</x:v>
      </x:c>
      <x:c r="L82" s="17" t="str">
        <x:v>越权；重复请求；非法状态；敏感字段泄露；失败恢复（按适用性执行）</x:v>
      </x:c>
      <x:c r="M82" s="4" t="str"/>
      <x:c r="N82" s="4" t="str"/>
      <x:c r="O82" s="4" t="str"/>
      <x:c r="P82" s="4" t="str"/>
      <x:c r="Q82" s="4" t="str"/>
    </x:row>
    <x:row r="83" ht="23" customHeight="1">
      <x:c r="A83" s="4" t="str">
        <x:v>P0-082</x:v>
      </x:c>
      <x:c r="B83" s="4" t="str">
        <x:v>82</x:v>
      </x:c>
      <x:c r="C83" s="4" t="str">
        <x:v>M5</x:v>
      </x:c>
      <x:c r="D83" s="4"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4" t="str">
        <x:v>M5-P082</x:v>
      </x:c>
      <x:c r="H83" s="4" t="str">
        <x:v>CI_PASS</x:v>
      </x:c>
      <x:c r="I83" s="4" t="str">
        <x:v>NOT_EXECUTED</x:v>
      </x:c>
      <x:c r="J83" s="4" t="str">
        <x:v>TO_BE_CREATED</x:v>
      </x:c>
      <x:c r="K83" s="4" t="str">
        <x:v>MANUAL-082</x:v>
      </x:c>
      <x:c r="L83" s="17" t="str">
        <x:v>公开HTML缺正文；slug失效失败；交易页被索引或公共缓存；草稿泄露；sitemap污染</x:v>
      </x:c>
      <x:c r="M83" s="4" t="str"/>
      <x:c r="N83" s="4" t="str"/>
      <x:c r="O83" s="4" t="str"/>
      <x:c r="P83" s="4" t="str"/>
      <x:c r="Q83" s="4" t="str"/>
    </x:row>
    <x:row r="84" ht="23" customHeight="1">
      <x:c r="A84" s="4" t="str">
        <x:v>P0-083</x:v>
      </x:c>
      <x:c r="B84" s="4" t="str">
        <x:v>83</x:v>
      </x:c>
      <x:c r="C84" s="4" t="str">
        <x:v>M3</x:v>
      </x:c>
      <x:c r="D84" s="4"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4" t="str">
        <x:v>M3-P083</x:v>
      </x:c>
      <x:c r="H84" s="4" t="str">
        <x:v>DEVICE_PASS</x:v>
      </x:c>
      <x:c r="I84" s="4" t="str">
        <x:v>NOT_EXECUTED</x:v>
      </x:c>
      <x:c r="J84" s="4" t="str">
        <x:v>TO_BE_CREATED</x:v>
      </x:c>
      <x:c r="K84" s="4" t="str">
        <x:v>MANUAL-083</x:v>
      </x:c>
      <x:c r="L84" s="17" t="str">
        <x:v>越权；重复请求；非法状态；敏感字段泄露；失败恢复（按适用性执行）</x:v>
      </x:c>
      <x:c r="M84" s="4" t="str"/>
      <x:c r="N84" s="4" t="str"/>
      <x:c r="O84" s="4" t="str"/>
      <x:c r="P84" s="4" t="str"/>
      <x:c r="Q84" s="4" t="str"/>
    </x:row>
    <x:row r="85" ht="23" customHeight="1">
      <x:c r="A85" s="4" t="str">
        <x:v>P0-084</x:v>
      </x:c>
      <x:c r="B85" s="4" t="str">
        <x:v>84</x:v>
      </x:c>
      <x:c r="C85" s="4" t="str">
        <x:v>M3</x:v>
      </x:c>
      <x:c r="D85" s="4"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4" t="str">
        <x:v>M3-P084</x:v>
      </x:c>
      <x:c r="H85" s="4" t="str">
        <x:v>DEVICE_PASS</x:v>
      </x:c>
      <x:c r="I85" s="4" t="str">
        <x:v>NOT_EXECUTED</x:v>
      </x:c>
      <x:c r="J85" s="4" t="str">
        <x:v>TO_BE_CREATED</x:v>
      </x:c>
      <x:c r="K85" s="4" t="str">
        <x:v>MANUAL-084</x:v>
      </x:c>
      <x:c r="L85" s="17" t="str">
        <x:v>越权；重复请求；非法状态；敏感字段泄露；失败恢复（按适用性执行）</x:v>
      </x:c>
      <x:c r="M85" s="4" t="str"/>
      <x:c r="N85" s="4" t="str"/>
      <x:c r="O85" s="4" t="str"/>
      <x:c r="P85" s="4" t="str"/>
      <x:c r="Q85" s="4" t="str"/>
    </x:row>
    <x:row r="86" ht="23" customHeight="1">
      <x:c r="A86" s="4" t="str">
        <x:v>P0-085</x:v>
      </x:c>
      <x:c r="B86" s="4" t="str">
        <x:v>85</x:v>
      </x:c>
      <x:c r="C86" s="4" t="str">
        <x:v>M3</x:v>
      </x:c>
      <x:c r="D86" s="4"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4" t="str">
        <x:v>M3-P085</x:v>
      </x:c>
      <x:c r="H86" s="4" t="str">
        <x:v>DEVICE_PASS</x:v>
      </x:c>
      <x:c r="I86" s="4" t="str">
        <x:v>NOT_EXECUTED</x:v>
      </x:c>
      <x:c r="J86" s="4" t="str">
        <x:v>TO_BE_CREATED</x:v>
      </x:c>
      <x:c r="K86" s="4" t="str">
        <x:v>MANUAL-085</x:v>
      </x:c>
      <x:c r="L86" s="17" t="str">
        <x:v>越权；重复请求；非法状态；敏感字段泄露；失败恢复（按适用性执行）</x:v>
      </x:c>
      <x:c r="M86" s="4" t="str"/>
      <x:c r="N86" s="4" t="str"/>
      <x:c r="O86" s="4" t="str"/>
      <x:c r="P86" s="4" t="str"/>
      <x:c r="Q86" s="4" t="str"/>
    </x:row>
    <x:row r="87" ht="23" customHeight="1">
      <x:c r="A87" s="4" t="str">
        <x:v>P0-086</x:v>
      </x:c>
      <x:c r="B87" s="4" t="str">
        <x:v>86</x:v>
      </x:c>
      <x:c r="C87" s="4" t="str">
        <x:v>M3</x:v>
      </x:c>
      <x:c r="D87" s="4"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4" t="str">
        <x:v>M3-P086</x:v>
      </x:c>
      <x:c r="H87" s="4" t="str">
        <x:v>DEVICE_PASS</x:v>
      </x:c>
      <x:c r="I87" s="4" t="str">
        <x:v>NOT_EXECUTED</x:v>
      </x:c>
      <x:c r="J87" s="4" t="str">
        <x:v>TO_BE_CREATED</x:v>
      </x:c>
      <x:c r="K87" s="4" t="str">
        <x:v>MANUAL-086</x:v>
      </x:c>
      <x:c r="L87" s="17" t="str">
        <x:v>越权；重复请求；非法状态；敏感字段泄露；失败恢复（按适用性执行）</x:v>
      </x:c>
      <x:c r="M87" s="4" t="str"/>
      <x:c r="N87" s="4" t="str"/>
      <x:c r="O87" s="4" t="str"/>
      <x:c r="P87" s="4" t="str"/>
      <x:c r="Q87" s="4" t="str"/>
    </x:row>
    <x:row r="88" ht="23" customHeight="1">
      <x:c r="A88" s="4" t="str">
        <x:v>P0-087</x:v>
      </x:c>
      <x:c r="B88" s="4" t="str">
        <x:v>87</x:v>
      </x:c>
      <x:c r="C88" s="4" t="str">
        <x:v>M3</x:v>
      </x:c>
      <x:c r="D88" s="4"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4" t="str">
        <x:v>M3-P087</x:v>
      </x:c>
      <x:c r="H88" s="4" t="str">
        <x:v>DEVICE_PASS</x:v>
      </x:c>
      <x:c r="I88" s="4" t="str">
        <x:v>NOT_EXECUTED</x:v>
      </x:c>
      <x:c r="J88" s="4" t="str">
        <x:v>TO_BE_CREATED</x:v>
      </x:c>
      <x:c r="K88" s="4" t="str">
        <x:v>MANUAL-087</x:v>
      </x:c>
      <x:c r="L88" s="17" t="str">
        <x:v>越权；重复请求；非法状态；敏感字段泄露；失败恢复（按适用性执行）</x:v>
      </x:c>
      <x:c r="M88" s="4" t="str"/>
      <x:c r="N88" s="4" t="str"/>
      <x:c r="O88" s="4" t="str"/>
      <x:c r="P88" s="4" t="str"/>
      <x:c r="Q88" s="4" t="str"/>
    </x:row>
    <x:row r="89" ht="23" customHeight="1">
      <x:c r="A89" s="4" t="str">
        <x:v>P0-088</x:v>
      </x:c>
      <x:c r="B89" s="4" t="str">
        <x:v>88</x:v>
      </x:c>
      <x:c r="C89" s="4" t="str">
        <x:v>M3</x:v>
      </x:c>
      <x:c r="D89" s="4"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4" t="str">
        <x:v>M3-P088</x:v>
      </x:c>
      <x:c r="H89" s="4" t="str">
        <x:v>DEVICE_PASS</x:v>
      </x:c>
      <x:c r="I89" s="4" t="str">
        <x:v>NOT_EXECUTED</x:v>
      </x:c>
      <x:c r="J89" s="4" t="str">
        <x:v>TO_BE_CREATED</x:v>
      </x:c>
      <x:c r="K89" s="4" t="str">
        <x:v>MANUAL-088</x:v>
      </x:c>
      <x:c r="L89" s="17" t="str">
        <x:v>越权；重复请求；非法状态；敏感字段泄露；失败恢复（按适用性执行）</x:v>
      </x:c>
      <x:c r="M89" s="4" t="str"/>
      <x:c r="N89" s="4" t="str"/>
      <x:c r="O89" s="4" t="str"/>
      <x:c r="P89" s="4" t="str"/>
      <x:c r="Q89" s="4" t="str"/>
    </x:row>
    <x:row r="90" ht="23" customHeight="1">
      <x:c r="A90" s="4" t="str">
        <x:v>P0-089</x:v>
      </x:c>
      <x:c r="B90" s="4" t="str">
        <x:v>89</x:v>
      </x:c>
      <x:c r="C90" s="4" t="str">
        <x:v>M3</x:v>
      </x:c>
      <x:c r="D90" s="4"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4" t="str">
        <x:v>M3-P089</x:v>
      </x:c>
      <x:c r="H90" s="4" t="str">
        <x:v>DEVICE_PASS</x:v>
      </x:c>
      <x:c r="I90" s="4" t="str">
        <x:v>NOT_EXECUTED</x:v>
      </x:c>
      <x:c r="J90" s="4" t="str">
        <x:v>TO_BE_CREATED</x:v>
      </x:c>
      <x:c r="K90" s="4" t="str">
        <x:v>MANUAL-089</x:v>
      </x:c>
      <x:c r="L90" s="17" t="str">
        <x:v>越权；重复请求；非法状态；敏感字段泄露；失败恢复（按适用性执行）</x:v>
      </x:c>
      <x:c r="M90" s="4" t="str"/>
      <x:c r="N90" s="4" t="str"/>
      <x:c r="O90" s="4" t="str"/>
      <x:c r="P90" s="4" t="str"/>
      <x:c r="Q90" s="4" t="str"/>
    </x:row>
    <x:row r="91" ht="23" customHeight="1">
      <x:c r="A91" s="4" t="str">
        <x:v>P0-090</x:v>
      </x:c>
      <x:c r="B91" s="4" t="str">
        <x:v>90</x:v>
      </x:c>
      <x:c r="C91" s="4" t="str">
        <x:v>M3</x:v>
      </x:c>
      <x:c r="D91" s="4"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4" t="str">
        <x:v>M3-P090</x:v>
      </x:c>
      <x:c r="H91" s="4" t="str">
        <x:v>DEVICE_PASS</x:v>
      </x:c>
      <x:c r="I91" s="4" t="str">
        <x:v>NOT_EXECUTED</x:v>
      </x:c>
      <x:c r="J91" s="4" t="str">
        <x:v>TO_BE_CREATED</x:v>
      </x:c>
      <x:c r="K91" s="4" t="str">
        <x:v>MANUAL-090</x:v>
      </x:c>
      <x:c r="L91" s="17" t="str">
        <x:v>越权；重复请求；非法状态；敏感字段泄露；失败恢复（按适用性执行）</x:v>
      </x:c>
      <x:c r="M91" s="4" t="str"/>
      <x:c r="N91" s="4" t="str"/>
      <x:c r="O91" s="4" t="str"/>
      <x:c r="P91" s="4" t="str"/>
      <x:c r="Q91" s="4" t="str"/>
    </x:row>
    <x:row r="92" ht="23" customHeight="1">
      <x:c r="A92" s="4" t="str">
        <x:v>P0-091</x:v>
      </x:c>
      <x:c r="B92" s="4" t="str">
        <x:v>91</x:v>
      </x:c>
      <x:c r="C92" s="4" t="str">
        <x:v>M3</x:v>
      </x:c>
      <x:c r="D92" s="4"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4" t="str">
        <x:v>M3-P091</x:v>
      </x:c>
      <x:c r="H92" s="4" t="str">
        <x:v>DEVICE_PASS</x:v>
      </x:c>
      <x:c r="I92" s="4" t="str">
        <x:v>NOT_EXECUTED</x:v>
      </x:c>
      <x:c r="J92" s="4" t="str">
        <x:v>TO_BE_CREATED</x:v>
      </x:c>
      <x:c r="K92" s="4" t="str">
        <x:v>MANUAL-091</x:v>
      </x:c>
      <x:c r="L92" s="17" t="str">
        <x:v>越权；重复请求；非法状态；敏感字段泄露；失败恢复（按适用性执行）</x:v>
      </x:c>
      <x:c r="M92" s="4" t="str"/>
      <x:c r="N92" s="4" t="str"/>
      <x:c r="O92" s="4" t="str"/>
      <x:c r="P92" s="4" t="str"/>
      <x:c r="Q92" s="4" t="str"/>
    </x:row>
    <x:row r="93" ht="23" customHeight="1">
      <x:c r="A93" s="4" t="str">
        <x:v>P0-092</x:v>
      </x:c>
      <x:c r="B93" s="4" t="str">
        <x:v>92</x:v>
      </x:c>
      <x:c r="C93" s="4" t="str">
        <x:v>M3</x:v>
      </x:c>
      <x:c r="D93" s="4"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4" t="str">
        <x:v>M3-P092</x:v>
      </x:c>
      <x:c r="H93" s="4" t="str">
        <x:v>DEVICE_PASS</x:v>
      </x:c>
      <x:c r="I93" s="4" t="str">
        <x:v>NOT_EXECUTED</x:v>
      </x:c>
      <x:c r="J93" s="4" t="str">
        <x:v>TO_BE_CREATED</x:v>
      </x:c>
      <x:c r="K93" s="4" t="str">
        <x:v>MANUAL-092</x:v>
      </x:c>
      <x:c r="L93" s="17" t="str">
        <x:v>越权；重复请求；非法状态；敏感字段泄露；失败恢复（按适用性执行）</x:v>
      </x:c>
      <x:c r="M93" s="4" t="str"/>
      <x:c r="N93" s="4" t="str"/>
      <x:c r="O93" s="4" t="str"/>
      <x:c r="P93" s="4" t="str"/>
      <x:c r="Q93" s="4" t="str"/>
    </x:row>
    <x:row r="94" ht="23" customHeight="1">
      <x:c r="A94" s="4" t="str">
        <x:v>P0-093</x:v>
      </x:c>
      <x:c r="B94" s="4" t="str">
        <x:v>93</x:v>
      </x:c>
      <x:c r="C94" s="4" t="str">
        <x:v>M3</x:v>
      </x:c>
      <x:c r="D94" s="4"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4" t="str">
        <x:v>M3-P093</x:v>
      </x:c>
      <x:c r="H94" s="4" t="str">
        <x:v>DEVICE_PASS</x:v>
      </x:c>
      <x:c r="I94" s="4" t="str">
        <x:v>NOT_EXECUTED</x:v>
      </x:c>
      <x:c r="J94" s="4" t="str">
        <x:v>TO_BE_CREATED</x:v>
      </x:c>
      <x:c r="K94" s="4" t="str">
        <x:v>MANUAL-093</x:v>
      </x:c>
      <x:c r="L94" s="17" t="str">
        <x:v>越权；重复请求；非法状态；敏感字段泄露；失败恢复（按适用性执行）</x:v>
      </x:c>
      <x:c r="M94" s="4" t="str"/>
      <x:c r="N94" s="4" t="str"/>
      <x:c r="O94" s="4" t="str"/>
      <x:c r="P94" s="4" t="str"/>
      <x:c r="Q94" s="4" t="str"/>
    </x:row>
    <x:row r="95" ht="23" customHeight="1">
      <x:c r="A95" s="4" t="str">
        <x:v>P0-094</x:v>
      </x:c>
      <x:c r="B95" s="4" t="str">
        <x:v>94</x:v>
      </x:c>
      <x:c r="C95" s="4" t="str">
        <x:v>M3</x:v>
      </x:c>
      <x:c r="D95" s="4"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4" t="str">
        <x:v>M3-P094</x:v>
      </x:c>
      <x:c r="H95" s="4" t="str">
        <x:v>DEVICE_PASS</x:v>
      </x:c>
      <x:c r="I95" s="4" t="str">
        <x:v>NOT_EXECUTED</x:v>
      </x:c>
      <x:c r="J95" s="4" t="str">
        <x:v>TO_BE_CREATED</x:v>
      </x:c>
      <x:c r="K95" s="4" t="str">
        <x:v>MANUAL-094</x:v>
      </x:c>
      <x:c r="L95" s="17" t="str">
        <x:v>越权；重复请求；非法状态；敏感字段泄露；失败恢复（按适用性执行）</x:v>
      </x:c>
      <x:c r="M95" s="4" t="str"/>
      <x:c r="N95" s="4" t="str"/>
      <x:c r="O95" s="4" t="str"/>
      <x:c r="P95" s="4" t="str"/>
      <x:c r="Q95" s="4" t="str"/>
    </x:row>
    <x:row r="96" ht="23" customHeight="1">
      <x:c r="A96" s="4" t="str">
        <x:v>P0-095</x:v>
      </x:c>
      <x:c r="B96" s="4" t="str">
        <x:v>95</x:v>
      </x:c>
      <x:c r="C96" s="4" t="str">
        <x:v>M4</x:v>
      </x:c>
      <x:c r="D96" s="4"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4" t="str">
        <x:v>M4-P095</x:v>
      </x:c>
      <x:c r="H96" s="4" t="str">
        <x:v>DEVICE_PASS</x:v>
      </x:c>
      <x:c r="I96" s="4" t="str">
        <x:v>NOT_EXECUTED</x:v>
      </x:c>
      <x:c r="J96" s="4" t="str">
        <x:v>TO_BE_CREATED</x:v>
      </x:c>
      <x:c r="K96" s="4" t="str">
        <x:v>MANUAL-095</x:v>
      </x:c>
      <x:c r="L96" s="17" t="str">
        <x:v>越权；重复请求；非法状态；敏感字段泄露；失败恢复（按适用性执行）</x:v>
      </x:c>
      <x:c r="M96" s="4" t="str"/>
      <x:c r="N96" s="4" t="str"/>
      <x:c r="O96" s="4" t="str"/>
      <x:c r="P96" s="4" t="str"/>
      <x:c r="Q96" s="4" t="str"/>
    </x:row>
    <x:row r="97" ht="23" customHeight="1">
      <x:c r="A97" s="4" t="str">
        <x:v>P0-096</x:v>
      </x:c>
      <x:c r="B97" s="4" t="str">
        <x:v>96</x:v>
      </x:c>
      <x:c r="C97" s="4" t="str">
        <x:v>M3</x:v>
      </x:c>
      <x:c r="D97" s="4"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4" t="str">
        <x:v>M3-P096</x:v>
      </x:c>
      <x:c r="H97" s="4" t="str">
        <x:v>DEVICE_PASS</x:v>
      </x:c>
      <x:c r="I97" s="4" t="str">
        <x:v>NOT_EXECUTED</x:v>
      </x:c>
      <x:c r="J97" s="4" t="str">
        <x:v>TO_BE_CREATED</x:v>
      </x:c>
      <x:c r="K97" s="4" t="str">
        <x:v>MANUAL-096</x:v>
      </x:c>
      <x:c r="L97" s="17" t="str">
        <x:v>越权；重复请求；非法状态；敏感字段泄露；失败恢复（按适用性执行）</x:v>
      </x:c>
      <x:c r="M97" s="4" t="str"/>
      <x:c r="N97" s="4" t="str"/>
      <x:c r="O97" s="4" t="str"/>
      <x:c r="P97" s="4" t="str"/>
      <x:c r="Q97" s="4" t="str"/>
    </x:row>
    <x:row r="98" ht="23" customHeight="1">
      <x:c r="A98" s="4" t="str">
        <x:v>P0-097</x:v>
      </x:c>
      <x:c r="B98" s="4" t="str">
        <x:v>97</x:v>
      </x:c>
      <x:c r="C98" s="4" t="str">
        <x:v>M3</x:v>
      </x:c>
      <x:c r="D98" s="4"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4" t="str">
        <x:v>M3-P097</x:v>
      </x:c>
      <x:c r="H98" s="4" t="str">
        <x:v>DEVICE_PASS</x:v>
      </x:c>
      <x:c r="I98" s="4" t="str">
        <x:v>NOT_EXECUTED</x:v>
      </x:c>
      <x:c r="J98" s="4" t="str">
        <x:v>TO_BE_CREATED</x:v>
      </x:c>
      <x:c r="K98" s="4" t="str">
        <x:v>MANUAL-097</x:v>
      </x:c>
      <x:c r="L98" s="17" t="str">
        <x:v>越权；重复请求；非法状态；敏感字段泄露；失败恢复（按适用性执行）</x:v>
      </x:c>
      <x:c r="M98" s="4" t="str"/>
      <x:c r="N98" s="4" t="str"/>
      <x:c r="O98" s="4" t="str"/>
      <x:c r="P98" s="4" t="str"/>
      <x:c r="Q98" s="4" t="str"/>
    </x:row>
    <x:row r="99" ht="23" customHeight="1">
      <x:c r="A99" s="4" t="str">
        <x:v>P0-098</x:v>
      </x:c>
      <x:c r="B99" s="4" t="str">
        <x:v>98</x:v>
      </x:c>
      <x:c r="C99" s="4" t="str">
        <x:v>M3</x:v>
      </x:c>
      <x:c r="D99" s="4"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4" t="str">
        <x:v>M3-P098</x:v>
      </x:c>
      <x:c r="H99" s="4" t="str">
        <x:v>DEVICE_PASS</x:v>
      </x:c>
      <x:c r="I99" s="4" t="str">
        <x:v>NOT_EXECUTED</x:v>
      </x:c>
      <x:c r="J99" s="4" t="str">
        <x:v>TO_BE_CREATED</x:v>
      </x:c>
      <x:c r="K99" s="4" t="str">
        <x:v>MANUAL-098</x:v>
      </x:c>
      <x:c r="L99" s="17" t="str">
        <x:v>越权；重复请求；非法状态；敏感字段泄露；失败恢复（按适用性执行）</x:v>
      </x:c>
      <x:c r="M99" s="4" t="str"/>
      <x:c r="N99" s="4" t="str"/>
      <x:c r="O99" s="4" t="str"/>
      <x:c r="P99" s="4" t="str"/>
      <x:c r="Q99" s="4" t="str"/>
    </x:row>
    <x:row r="100" ht="23" customHeight="1">
      <x:c r="A100" s="4" t="str">
        <x:v>P0-099</x:v>
      </x:c>
      <x:c r="B100" s="4" t="str">
        <x:v>99</x:v>
      </x:c>
      <x:c r="C100" s="4" t="str">
        <x:v>M4</x:v>
      </x:c>
      <x:c r="D100" s="4"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4" t="str">
        <x:v>M4-P099</x:v>
      </x:c>
      <x:c r="H100" s="4" t="str">
        <x:v>CI_PASS</x:v>
      </x:c>
      <x:c r="I100" s="4" t="str">
        <x:v>NOT_EXECUTED</x:v>
      </x:c>
      <x:c r="J100" s="4" t="str">
        <x:v>TO_BE_CREATED</x:v>
      </x:c>
      <x:c r="K100" s="4" t="str">
        <x:v>N/A</x:v>
      </x:c>
      <x:c r="L100" s="17" t="str">
        <x:v>越权；重复请求；非法状态；敏感字段泄露；失败恢复（按适用性执行）</x:v>
      </x:c>
      <x:c r="M100" s="4" t="str"/>
      <x:c r="N100" s="4" t="str"/>
      <x:c r="O100" s="4" t="str"/>
      <x:c r="P100" s="4" t="str"/>
      <x:c r="Q100" s="4" t="str"/>
    </x:row>
    <x:row r="101" ht="23" customHeight="1">
      <x:c r="A101" s="4" t="str">
        <x:v>P0-100</x:v>
      </x:c>
      <x:c r="B101" s="4" t="str">
        <x:v>100</x:v>
      </x:c>
      <x:c r="C101" s="4" t="str">
        <x:v>M4</x:v>
      </x:c>
      <x:c r="D101" s="4"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4" t="str">
        <x:v>M4-P100</x:v>
      </x:c>
      <x:c r="H101" s="4" t="str">
        <x:v>DEVICE_PASS</x:v>
      </x:c>
      <x:c r="I101" s="4" t="str">
        <x:v>NOT_EXECUTED</x:v>
      </x:c>
      <x:c r="J101" s="4" t="str">
        <x:v>TO_BE_CREATED</x:v>
      </x:c>
      <x:c r="K101" s="4" t="str">
        <x:v>MANUAL-100</x:v>
      </x:c>
      <x:c r="L101" s="17" t="str">
        <x:v>越权；重复请求；非法状态；敏感字段泄露；失败恢复（按适用性执行）</x:v>
      </x:c>
      <x:c r="M101" s="4" t="str"/>
      <x:c r="N101" s="4" t="str"/>
      <x:c r="O101" s="4" t="str"/>
      <x:c r="P101" s="4" t="str"/>
      <x:c r="Q101" s="4" t="str"/>
    </x:row>
    <x:row r="102" ht="23" customHeight="1">
      <x:c r="A102" s="4" t="str">
        <x:v>P0-101</x:v>
      </x:c>
      <x:c r="B102" s="4" t="str">
        <x:v>101</x:v>
      </x:c>
      <x:c r="C102" s="4" t="str">
        <x:v>M4</x:v>
      </x:c>
      <x:c r="D102" s="4"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4" t="str">
        <x:v>M4-P101</x:v>
      </x:c>
      <x:c r="H102" s="4" t="str">
        <x:v>DEVICE_PASS</x:v>
      </x:c>
      <x:c r="I102" s="4" t="str">
        <x:v>NOT_EXECUTED</x:v>
      </x:c>
      <x:c r="J102" s="4" t="str">
        <x:v>TO_BE_CREATED</x:v>
      </x:c>
      <x:c r="K102" s="4" t="str">
        <x:v>MANUAL-101</x:v>
      </x:c>
      <x:c r="L102" s="17" t="str">
        <x:v>越权；重复请求；非法状态；敏感字段泄露；失败恢复（按适用性执行）</x:v>
      </x:c>
      <x:c r="M102" s="4" t="str"/>
      <x:c r="N102" s="4" t="str"/>
      <x:c r="O102" s="4" t="str"/>
      <x:c r="P102" s="4" t="str"/>
      <x:c r="Q102" s="4" t="str"/>
    </x:row>
    <x:row r="103" ht="23" customHeight="1">
      <x:c r="A103" s="4" t="str">
        <x:v>P0-102</x:v>
      </x:c>
      <x:c r="B103" s="4" t="str">
        <x:v>102</x:v>
      </x:c>
      <x:c r="C103" s="4" t="str">
        <x:v>M4</x:v>
      </x:c>
      <x:c r="D103" s="4"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4" t="str">
        <x:v>M4-P102</x:v>
      </x:c>
      <x:c r="H103" s="4" t="str">
        <x:v>DEVICE_PASS</x:v>
      </x:c>
      <x:c r="I103" s="4" t="str">
        <x:v>NOT_EXECUTED</x:v>
      </x:c>
      <x:c r="J103" s="4" t="str">
        <x:v>TO_BE_CREATED</x:v>
      </x:c>
      <x:c r="K103" s="4" t="str">
        <x:v>MANUAL-102</x:v>
      </x:c>
      <x:c r="L103" s="17" t="str">
        <x:v>越权；重复请求；非法状态；敏感字段泄露；失败恢复（按适用性执行）</x:v>
      </x:c>
      <x:c r="M103" s="4" t="str"/>
      <x:c r="N103" s="4" t="str"/>
      <x:c r="O103" s="4" t="str"/>
      <x:c r="P103" s="4" t="str"/>
      <x:c r="Q103" s="4" t="str"/>
    </x:row>
    <x:row r="104" ht="23" customHeight="1">
      <x:c r="A104" s="4" t="str">
        <x:v>P0-103</x:v>
      </x:c>
      <x:c r="B104" s="4" t="str">
        <x:v>103</x:v>
      </x:c>
      <x:c r="C104" s="4" t="str">
        <x:v>M4</x:v>
      </x:c>
      <x:c r="D104" s="4"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4" t="str">
        <x:v>M4-P103</x:v>
      </x:c>
      <x:c r="H104" s="4" t="str">
        <x:v>DEVICE_PASS</x:v>
      </x:c>
      <x:c r="I104" s="4" t="str">
        <x:v>NOT_EXECUTED</x:v>
      </x:c>
      <x:c r="J104" s="4" t="str">
        <x:v>TO_BE_CREATED</x:v>
      </x:c>
      <x:c r="K104" s="4" t="str">
        <x:v>MANUAL-103</x:v>
      </x:c>
      <x:c r="L104" s="17" t="str">
        <x:v>越权；重复请求；非法状态；敏感字段泄露；失败恢复（按适用性执行）</x:v>
      </x:c>
      <x:c r="M104" s="4" t="str"/>
      <x:c r="N104" s="4" t="str"/>
      <x:c r="O104" s="4" t="str"/>
      <x:c r="P104" s="4" t="str"/>
      <x:c r="Q104" s="4" t="str"/>
    </x:row>
    <x:row r="105" ht="23" customHeight="1">
      <x:c r="A105" s="4" t="str">
        <x:v>P0-104</x:v>
      </x:c>
      <x:c r="B105" s="4" t="str">
        <x:v>104</x:v>
      </x:c>
      <x:c r="C105" s="4" t="str">
        <x:v>M4</x:v>
      </x:c>
      <x:c r="D105" s="4"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4" t="str">
        <x:v>M4-P104</x:v>
      </x:c>
      <x:c r="H105" s="4" t="str">
        <x:v>DEVICE_PASS</x:v>
      </x:c>
      <x:c r="I105" s="4" t="str">
        <x:v>NOT_EXECUTED</x:v>
      </x:c>
      <x:c r="J105" s="4" t="str">
        <x:v>TO_BE_CREATED</x:v>
      </x:c>
      <x:c r="K105" s="4" t="str">
        <x:v>MANUAL-104</x:v>
      </x:c>
      <x:c r="L105" s="17" t="str">
        <x:v>越权；重复请求；非法状态；敏感字段泄露；失败恢复（按适用性执行）</x:v>
      </x:c>
      <x:c r="M105" s="4" t="str"/>
      <x:c r="N105" s="4" t="str"/>
      <x:c r="O105" s="4" t="str"/>
      <x:c r="P105" s="4" t="str"/>
      <x:c r="Q105" s="4" t="str"/>
    </x:row>
    <x:row r="106" ht="23" customHeight="1">
      <x:c r="A106" s="4" t="str">
        <x:v>P0-105</x:v>
      </x:c>
      <x:c r="B106" s="4" t="str">
        <x:v>105</x:v>
      </x:c>
      <x:c r="C106" s="4" t="str">
        <x:v>M4</x:v>
      </x:c>
      <x:c r="D106" s="4"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4" t="str">
        <x:v>M4-P105</x:v>
      </x:c>
      <x:c r="H106" s="4" t="str">
        <x:v>DEVICE_PASS</x:v>
      </x:c>
      <x:c r="I106" s="4" t="str">
        <x:v>NOT_EXECUTED</x:v>
      </x:c>
      <x:c r="J106" s="4" t="str">
        <x:v>TO_BE_CREATED</x:v>
      </x:c>
      <x:c r="K106" s="4" t="str">
        <x:v>MANUAL-105</x:v>
      </x:c>
      <x:c r="L106" s="17" t="str">
        <x:v>越权；重复请求；非法状态；敏感字段泄露；失败恢复（按适用性执行）</x:v>
      </x:c>
      <x:c r="M106" s="4" t="str"/>
      <x:c r="N106" s="4" t="str"/>
      <x:c r="O106" s="4" t="str"/>
      <x:c r="P106" s="4" t="str"/>
      <x:c r="Q106" s="4" t="str"/>
    </x:row>
    <x:row r="107" ht="23" customHeight="1">
      <x:c r="A107" s="4" t="str">
        <x:v>P0-106</x:v>
      </x:c>
      <x:c r="B107" s="4" t="str">
        <x:v>106</x:v>
      </x:c>
      <x:c r="C107" s="4" t="str">
        <x:v>M4</x:v>
      </x:c>
      <x:c r="D107" s="4"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4" t="str">
        <x:v>M4-P106</x:v>
      </x:c>
      <x:c r="H107" s="4" t="str">
        <x:v>DEVICE_PASS</x:v>
      </x:c>
      <x:c r="I107" s="4" t="str">
        <x:v>NOT_EXECUTED</x:v>
      </x:c>
      <x:c r="J107" s="4" t="str">
        <x:v>TO_BE_CREATED</x:v>
      </x:c>
      <x:c r="K107" s="4" t="str">
        <x:v>MANUAL-106</x:v>
      </x:c>
      <x:c r="L107" s="17" t="str">
        <x:v>越权；重复请求；非法状态；敏感字段泄露；失败恢复（按适用性执行）</x:v>
      </x:c>
      <x:c r="M107" s="4" t="str"/>
      <x:c r="N107" s="4" t="str"/>
      <x:c r="O107" s="4" t="str"/>
      <x:c r="P107" s="4" t="str"/>
      <x:c r="Q107" s="4" t="str"/>
    </x:row>
    <x:row r="108" ht="23" customHeight="1">
      <x:c r="A108" s="4" t="str">
        <x:v>P0-107</x:v>
      </x:c>
      <x:c r="B108" s="4" t="str">
        <x:v>107</x:v>
      </x:c>
      <x:c r="C108" s="4" t="str">
        <x:v>M4</x:v>
      </x:c>
      <x:c r="D108" s="4"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4" t="str">
        <x:v>M4-P107</x:v>
      </x:c>
      <x:c r="H108" s="4" t="str">
        <x:v>DEVICE_PASS</x:v>
      </x:c>
      <x:c r="I108" s="4" t="str">
        <x:v>NOT_EXECUTED</x:v>
      </x:c>
      <x:c r="J108" s="4" t="str">
        <x:v>TO_BE_CREATED</x:v>
      </x:c>
      <x:c r="K108" s="4" t="str">
        <x:v>MANUAL-107</x:v>
      </x:c>
      <x:c r="L108" s="17" t="str">
        <x:v>越权；重复请求；非法状态；敏感字段泄露；失败恢复（按适用性执行）</x:v>
      </x:c>
      <x:c r="M108" s="4" t="str"/>
      <x:c r="N108" s="4" t="str"/>
      <x:c r="O108" s="4" t="str"/>
      <x:c r="P108" s="4" t="str"/>
      <x:c r="Q108" s="4" t="str"/>
    </x:row>
    <x:row r="109" ht="23" customHeight="1">
      <x:c r="A109" s="4" t="str">
        <x:v>P0-108</x:v>
      </x:c>
      <x:c r="B109" s="4" t="str">
        <x:v>108</x:v>
      </x:c>
      <x:c r="C109" s="4" t="str">
        <x:v>M4</x:v>
      </x:c>
      <x:c r="D109" s="4"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4" t="str">
        <x:v>M4-P108</x:v>
      </x:c>
      <x:c r="H109" s="4" t="str">
        <x:v>DEVICE_PASS</x:v>
      </x:c>
      <x:c r="I109" s="4" t="str">
        <x:v>NOT_EXECUTED</x:v>
      </x:c>
      <x:c r="J109" s="4" t="str">
        <x:v>TO_BE_CREATED</x:v>
      </x:c>
      <x:c r="K109" s="4" t="str">
        <x:v>MANUAL-108</x:v>
      </x:c>
      <x:c r="L109" s="17" t="str">
        <x:v>越权；重复请求；非法状态；敏感字段泄露；失败恢复（按适用性执行）</x:v>
      </x:c>
      <x:c r="M109" s="4" t="str"/>
      <x:c r="N109" s="4" t="str"/>
      <x:c r="O109" s="4" t="str"/>
      <x:c r="P109" s="4" t="str"/>
      <x:c r="Q109" s="4" t="str"/>
    </x:row>
    <x:row r="110" ht="23" customHeight="1">
      <x:c r="A110" s="4" t="str">
        <x:v>P0-109</x:v>
      </x:c>
      <x:c r="B110" s="4" t="str">
        <x:v>109</x:v>
      </x:c>
      <x:c r="C110" s="4" t="str">
        <x:v>M4</x:v>
      </x:c>
      <x:c r="D110" s="4"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4" t="str">
        <x:v>M4-P109</x:v>
      </x:c>
      <x:c r="H110" s="4" t="str">
        <x:v>DEVICE_PASS</x:v>
      </x:c>
      <x:c r="I110" s="4" t="str">
        <x:v>NOT_EXECUTED</x:v>
      </x:c>
      <x:c r="J110" s="4" t="str">
        <x:v>TO_BE_CREATED</x:v>
      </x:c>
      <x:c r="K110" s="4" t="str">
        <x:v>MANUAL-109</x:v>
      </x:c>
      <x:c r="L110" s="17" t="str">
        <x:v>越权；重复请求；非法状态；敏感字段泄露；失败恢复（按适用性执行）</x:v>
      </x:c>
      <x:c r="M110" s="4" t="str"/>
      <x:c r="N110" s="4" t="str"/>
      <x:c r="O110" s="4" t="str"/>
      <x:c r="P110" s="4" t="str"/>
      <x:c r="Q110" s="4" t="str"/>
    </x:row>
    <x:row r="111" ht="23" customHeight="1">
      <x:c r="A111" s="4" t="str">
        <x:v>P0-110</x:v>
      </x:c>
      <x:c r="B111" s="4" t="str">
        <x:v>110</x:v>
      </x:c>
      <x:c r="C111" s="4" t="str">
        <x:v>M4</x:v>
      </x:c>
      <x:c r="D111" s="4"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4" t="str">
        <x:v>M4-P110</x:v>
      </x:c>
      <x:c r="H111" s="4" t="str">
        <x:v>DEVICE_PASS</x:v>
      </x:c>
      <x:c r="I111" s="4" t="str">
        <x:v>NOT_EXECUTED</x:v>
      </x:c>
      <x:c r="J111" s="4" t="str">
        <x:v>TO_BE_CREATED</x:v>
      </x:c>
      <x:c r="K111" s="4" t="str">
        <x:v>MANUAL-110</x:v>
      </x:c>
      <x:c r="L111" s="17" t="str">
        <x:v>越权；重复请求；非法状态；敏感字段泄露；失败恢复（按适用性执行）</x:v>
      </x:c>
      <x:c r="M111" s="4" t="str"/>
      <x:c r="N111" s="4" t="str"/>
      <x:c r="O111" s="4" t="str"/>
      <x:c r="P111" s="4" t="str"/>
      <x:c r="Q111" s="4" t="str"/>
    </x:row>
    <x:row r="112" ht="23" customHeight="1">
      <x:c r="A112" s="4" t="str">
        <x:v>P0-111</x:v>
      </x:c>
      <x:c r="B112" s="4" t="str">
        <x:v>111</x:v>
      </x:c>
      <x:c r="C112" s="4" t="str">
        <x:v>M4</x:v>
      </x:c>
      <x:c r="D112" s="4"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4" t="str">
        <x:v>M4-P111</x:v>
      </x:c>
      <x:c r="H112" s="4" t="str">
        <x:v>DEVICE_PASS</x:v>
      </x:c>
      <x:c r="I112" s="4" t="str">
        <x:v>NOT_EXECUTED</x:v>
      </x:c>
      <x:c r="J112" s="4" t="str">
        <x:v>TO_BE_CREATED</x:v>
      </x:c>
      <x:c r="K112" s="4" t="str">
        <x:v>MANUAL-111</x:v>
      </x:c>
      <x:c r="L112" s="17" t="str">
        <x:v>越权；重复请求；非法状态；敏感字段泄露；失败恢复（按适用性执行）</x:v>
      </x:c>
      <x:c r="M112" s="4" t="str"/>
      <x:c r="N112" s="4" t="str"/>
      <x:c r="O112" s="4" t="str"/>
      <x:c r="P112" s="4" t="str"/>
      <x:c r="Q112" s="4" t="str"/>
    </x:row>
    <x:row r="113" ht="23" customHeight="1">
      <x:c r="A113" s="4" t="str">
        <x:v>P0-112</x:v>
      </x:c>
      <x:c r="B113" s="4" t="str">
        <x:v>112</x:v>
      </x:c>
      <x:c r="C113" s="4" t="str">
        <x:v>M4</x:v>
      </x:c>
      <x:c r="D113" s="4"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4" t="str">
        <x:v>M4-P112</x:v>
      </x:c>
      <x:c r="H113" s="4" t="str">
        <x:v>DEVICE_PASS</x:v>
      </x:c>
      <x:c r="I113" s="4" t="str">
        <x:v>NOT_EXECUTED</x:v>
      </x:c>
      <x:c r="J113" s="4" t="str">
        <x:v>TO_BE_CREATED</x:v>
      </x:c>
      <x:c r="K113" s="4" t="str">
        <x:v>MANUAL-112</x:v>
      </x:c>
      <x:c r="L113" s="17" t="str">
        <x:v>越权；重复请求；非法状态；敏感字段泄露；失败恢复（按适用性执行）</x:v>
      </x:c>
      <x:c r="M113" s="4" t="str"/>
      <x:c r="N113" s="4" t="str"/>
      <x:c r="O113" s="4" t="str"/>
      <x:c r="P113" s="4" t="str"/>
      <x:c r="Q113" s="4" t="str"/>
    </x:row>
    <x:row r="114" ht="23" customHeight="1">
      <x:c r="A114" s="4" t="str">
        <x:v>P0-113</x:v>
      </x:c>
      <x:c r="B114" s="4" t="str">
        <x:v>113</x:v>
      </x:c>
      <x:c r="C114" s="4" t="str">
        <x:v>M4</x:v>
      </x:c>
      <x:c r="D114" s="4"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4" t="str">
        <x:v>M4-P113</x:v>
      </x:c>
      <x:c r="H114" s="4" t="str">
        <x:v>DEVICE_PASS</x:v>
      </x:c>
      <x:c r="I114" s="4" t="str">
        <x:v>NOT_EXECUTED</x:v>
      </x:c>
      <x:c r="J114" s="4" t="str">
        <x:v>TO_BE_CREATED</x:v>
      </x:c>
      <x:c r="K114" s="4" t="str">
        <x:v>MANUAL-113</x:v>
      </x:c>
      <x:c r="L114" s="17" t="str">
        <x:v>越权；重复请求；非法状态；敏感字段泄露；失败恢复（按适用性执行）</x:v>
      </x:c>
      <x:c r="M114" s="4" t="str"/>
      <x:c r="N114" s="4" t="str"/>
      <x:c r="O114" s="4" t="str"/>
      <x:c r="P114" s="4" t="str"/>
      <x:c r="Q114" s="4" t="str"/>
    </x:row>
    <x:row r="115" ht="23" customHeight="1">
      <x:c r="A115" s="4" t="str">
        <x:v>P0-114</x:v>
      </x:c>
      <x:c r="B115" s="4" t="str">
        <x:v>114</x:v>
      </x:c>
      <x:c r="C115" s="4" t="str">
        <x:v>M4</x:v>
      </x:c>
      <x:c r="D115" s="4"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4" t="str">
        <x:v>M4-P114</x:v>
      </x:c>
      <x:c r="H115" s="4" t="str">
        <x:v>DEVICE_PASS</x:v>
      </x:c>
      <x:c r="I115" s="4" t="str">
        <x:v>NOT_EXECUTED</x:v>
      </x:c>
      <x:c r="J115" s="4" t="str">
        <x:v>TO_BE_CREATED</x:v>
      </x:c>
      <x:c r="K115" s="4" t="str">
        <x:v>MANUAL-114</x:v>
      </x:c>
      <x:c r="L115" s="17" t="str">
        <x:v>越权；重复请求；非法状态；敏感字段泄露；失败恢复（按适用性执行）</x:v>
      </x:c>
      <x:c r="M115" s="4" t="str"/>
      <x:c r="N115" s="4" t="str"/>
      <x:c r="O115" s="4" t="str"/>
      <x:c r="P115" s="4" t="str"/>
      <x:c r="Q115" s="4" t="str"/>
    </x:row>
    <x:row r="116" ht="23" customHeight="1">
      <x:c r="A116" s="4" t="str">
        <x:v>P0-115</x:v>
      </x:c>
      <x:c r="B116" s="4" t="str">
        <x:v>115</x:v>
      </x:c>
      <x:c r="C116" s="4" t="str">
        <x:v>M4</x:v>
      </x:c>
      <x:c r="D116" s="4"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4" t="str">
        <x:v>M4-P115</x:v>
      </x:c>
      <x:c r="H116" s="4" t="str">
        <x:v>CI_PASS</x:v>
      </x:c>
      <x:c r="I116" s="4" t="str">
        <x:v>NOT_EXECUTED</x:v>
      </x:c>
      <x:c r="J116" s="4" t="str">
        <x:v>TO_BE_CREATED</x:v>
      </x:c>
      <x:c r="K116" s="4" t="str">
        <x:v>N/A</x:v>
      </x:c>
      <x:c r="L116" s="17" t="str">
        <x:v>越权；重复请求；非法状态；敏感字段泄露；失败恢复（按适用性执行）</x:v>
      </x:c>
      <x:c r="M116" s="4" t="str"/>
      <x:c r="N116" s="4" t="str"/>
      <x:c r="O116" s="4" t="str"/>
      <x:c r="P116" s="4" t="str"/>
      <x:c r="Q116" s="4" t="str"/>
    </x:row>
    <x:row r="117" ht="23" customHeight="1">
      <x:c r="A117" s="4" t="str">
        <x:v>P0-116</x:v>
      </x:c>
      <x:c r="B117" s="4" t="str">
        <x:v>116</x:v>
      </x:c>
      <x:c r="C117" s="4" t="str">
        <x:v>M4</x:v>
      </x:c>
      <x:c r="D117" s="4"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4" t="str">
        <x:v>M4-P116</x:v>
      </x:c>
      <x:c r="H117" s="4" t="str">
        <x:v>CI_PASS</x:v>
      </x:c>
      <x:c r="I117" s="4" t="str">
        <x:v>NOT_EXECUTED</x:v>
      </x:c>
      <x:c r="J117" s="4" t="str">
        <x:v>TO_BE_CREATED</x:v>
      </x:c>
      <x:c r="K117" s="4" t="str">
        <x:v>N/A</x:v>
      </x:c>
      <x:c r="L117" s="17" t="str">
        <x:v>越权；重复请求；非法状态；敏感字段泄露；失败恢复（按适用性执行）</x:v>
      </x:c>
      <x:c r="M117" s="4" t="str"/>
      <x:c r="N117" s="4" t="str"/>
      <x:c r="O117" s="4" t="str"/>
      <x:c r="P117" s="4" t="str"/>
      <x:c r="Q117" s="4" t="str"/>
    </x:row>
    <x:row r="118" ht="23" customHeight="1">
      <x:c r="A118" s="4" t="str">
        <x:v>P0-117</x:v>
      </x:c>
      <x:c r="B118" s="4" t="str">
        <x:v>117</x:v>
      </x:c>
      <x:c r="C118" s="4" t="str">
        <x:v>M4</x:v>
      </x:c>
      <x:c r="D118" s="4"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4" t="str">
        <x:v>M4-P117</x:v>
      </x:c>
      <x:c r="H118" s="4" t="str">
        <x:v>CI_PASS</x:v>
      </x:c>
      <x:c r="I118" s="4" t="str">
        <x:v>NOT_EXECUTED</x:v>
      </x:c>
      <x:c r="J118" s="4" t="str">
        <x:v>TO_BE_CREATED</x:v>
      </x:c>
      <x:c r="K118" s="4" t="str">
        <x:v>N/A</x:v>
      </x:c>
      <x:c r="L118" s="17" t="str">
        <x:v>越权；重复请求；非法状态；敏感字段泄露；失败恢复（按适用性执行）</x:v>
      </x:c>
      <x:c r="M118" s="4" t="str"/>
      <x:c r="N118" s="4" t="str"/>
      <x:c r="O118" s="4" t="str"/>
      <x:c r="P118" s="4" t="str"/>
      <x:c r="Q118" s="4" t="str"/>
    </x:row>
    <x:row r="119" ht="23" customHeight="1">
      <x:c r="A119" s="4" t="str">
        <x:v>P0-118</x:v>
      </x:c>
      <x:c r="B119" s="4" t="str">
        <x:v>118</x:v>
      </x:c>
      <x:c r="C119" s="4" t="str">
        <x:v>M4</x:v>
      </x:c>
      <x:c r="D119" s="4"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4" t="str">
        <x:v>M4-P118</x:v>
      </x:c>
      <x:c r="H119" s="4" t="str">
        <x:v>STAGING_PASS</x:v>
      </x:c>
      <x:c r="I119" s="4" t="str">
        <x:v>NOT_EXECUTED</x:v>
      </x:c>
      <x:c r="J119" s="4" t="str">
        <x:v>TO_BE_CREATED</x:v>
      </x:c>
      <x:c r="K119" s="4" t="str">
        <x:v>MANUAL-118</x:v>
      </x:c>
      <x:c r="L119" s="17" t="str">
        <x:v>越权；重复请求；非法状态；敏感字段泄露；失败恢复（按适用性执行）</x:v>
      </x:c>
      <x:c r="M119" s="4" t="str"/>
      <x:c r="N119" s="4" t="str"/>
      <x:c r="O119" s="4" t="str"/>
      <x:c r="P119" s="4" t="str"/>
      <x:c r="Q119" s="4" t="str"/>
    </x:row>
    <x:row r="120" ht="23" customHeight="1">
      <x:c r="A120" s="5" t="str">
        <x:v>P0-119</x:v>
      </x:c>
      <x:c r="B120" s="5" t="str">
        <x:v>119</x:v>
      </x:c>
      <x:c r="C120" s="5" t="str">
        <x:v>M4</x:v>
      </x:c>
      <x:c r="D120" s="5"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5" t="str">
        <x:v>M4-P119</x:v>
      </x:c>
      <x:c r="H120" s="5" t="str">
        <x:v>STAGING_PASS</x:v>
      </x:c>
      <x:c r="I120" s="5" t="str">
        <x:v>NOT_EXECUTED</x:v>
      </x:c>
      <x:c r="J120" s="5" t="str">
        <x:v>TO_BE_CREATED</x:v>
      </x:c>
      <x:c r="K120" s="5" t="str">
        <x:v>MANUAL-119</x:v>
      </x:c>
      <x:c r="L120" s="18" t="str">
        <x:v>越权；重复请求；非法状态；敏感字段泄露；失败恢复（按适用性执行）</x:v>
      </x:c>
      <x:c r="M120" s="5" t="str"/>
      <x:c r="N120" s="5" t="str"/>
      <x:c r="O120" s="5" t="str"/>
      <x:c r="P120" s="5" t="str"/>
      <x:c r="Q120" s="5"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ac4a6c31df1419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String/UUID</x:v>
      </x:c>
      <x:c r="F2" s="4" t="str">
        <x:v>YES</x:v>
      </x:c>
      <x:c r="G2" s="4" t="str">
        <x:v>待M阶段冻结</x:v>
      </x:c>
      <x:c r="H2" s="17" t="str">
        <x:v>INTERNAL</x:v>
      </x:c>
      <x:c r="I2" s="17" t="str">
        <x:v>按资源权限与数据域访问；公开DTO另行白名单</x:v>
      </x:c>
      <x:c r="J2" s="17" t="str">
        <x:v>数据库实体不得直接序列化为响应</x:v>
      </x:c>
      <x:c r="K2" s="17" t="str">
        <x:v>DTO白名单；长度/枚举/归属/状态校验；禁止信任客户端派生值</x:v>
      </x:c>
      <x:c r="L2" s="17" t="str">
        <x:v>按实体version或审计日志保留变更证据</x:v>
      </x:c>
      <x:c r="M2" s="4" t="str">
        <x:v>M1</x:v>
      </x:c>
      <x:c r="N2" s="4" t="str">
        <x:v>待切片细化</x:v>
      </x:c>
      <x:c r="O2" s="4" t="str">
        <x:v>综合方案§13核心数据模型</x:v>
      </x:c>
      <x:c r="P2" s="4" t="str">
        <x:v>DRAFT_FROM_SCHEME</x:v>
      </x:c>
    </x:row>
    <x:row r="3" ht="23" customHeight="1">
      <x:c r="A3" s="4" t="str">
        <x:v>Company</x:v>
      </x:c>
      <x:c r="B3" s="4" t="str">
        <x:v>legalName</x:v>
      </x:c>
      <x:c r="C3" s="17" t="str">
        <x:v>legalName</x:v>
      </x:c>
      <x:c r="D3" s="4" t="str">
        <x:v>2</x:v>
      </x:c>
      <x:c r="E3" s="4" t="str">
        <x:v>String</x:v>
      </x:c>
      <x:c r="F3" s="4" t="str">
        <x:v>YES</x:v>
      </x:c>
      <x:c r="G3" s="4" t="str">
        <x:v>待M阶段冻结</x:v>
      </x:c>
      <x:c r="H3" s="17" t="str">
        <x:v>INTERNAL</x:v>
      </x:c>
      <x:c r="I3" s="17" t="str">
        <x:v>按资源权限与数据域访问；公开DTO另行白名单</x:v>
      </x:c>
      <x:c r="J3" s="17" t="str">
        <x:v>数据库实体不得直接序列化为响应</x:v>
      </x:c>
      <x:c r="K3" s="17" t="str">
        <x:v>DTO白名单；长度/枚举/归属/状态校验；禁止信任客户端派生值</x:v>
      </x:c>
      <x:c r="L3" s="17" t="str">
        <x:v>按实体version或审计日志保留变更证据</x:v>
      </x:c>
      <x:c r="M3" s="4" t="str">
        <x:v>M1</x:v>
      </x:c>
      <x:c r="N3" s="4" t="str">
        <x:v>待切片细化</x:v>
      </x:c>
      <x:c r="O3" s="4" t="str">
        <x:v>综合方案§13核心数据模型</x:v>
      </x:c>
      <x:c r="P3" s="4" t="str">
        <x:v>DRAFT_FROM_SCHEME</x:v>
      </x:c>
    </x:row>
    <x:row r="4" ht="23" customHeight="1">
      <x:c r="A4" s="4" t="str">
        <x:v>Company</x:v>
      </x:c>
      <x:c r="B4" s="4" t="str">
        <x:v>platformName</x:v>
      </x:c>
      <x:c r="C4" s="17" t="str">
        <x:v>platformName</x:v>
      </x:c>
      <x:c r="D4" s="4" t="str">
        <x:v>3</x:v>
      </x:c>
      <x:c r="E4" s="4" t="str">
        <x:v>String</x:v>
      </x:c>
      <x:c r="F4" s="4" t="str">
        <x:v>YES</x:v>
      </x:c>
      <x:c r="G4" s="4" t="str">
        <x:v>待M阶段冻结</x:v>
      </x:c>
      <x:c r="H4" s="17" t="str">
        <x:v>PERSONAL_OR_SENSITIVE</x:v>
      </x:c>
      <x:c r="I4" s="17" t="str">
        <x:v>按角色、对象归属及配送阶段脱敏/解密</x:v>
      </x:c>
      <x:c r="J4" s="17" t="str">
        <x:v>禁止跨供应商、越阶段或批量无审批导出</x:v>
      </x:c>
      <x:c r="K4" s="17" t="str">
        <x:v>DTO白名单；长度/枚举/归属/状态校验；禁止信任客户端派生值</x:v>
      </x:c>
      <x:c r="L4" s="17" t="str">
        <x:v>按实体version或审计日志保留变更证据</x:v>
      </x:c>
      <x:c r="M4" s="4" t="str">
        <x:v>M1</x:v>
      </x:c>
      <x:c r="N4" s="4" t="str">
        <x:v>待切片细化</x:v>
      </x:c>
      <x:c r="O4" s="4" t="str">
        <x:v>综合方案§13核心数据模型</x:v>
      </x:c>
      <x:c r="P4" s="4" t="str">
        <x:v>DRAFT_FROM_SCHEME</x:v>
      </x:c>
    </x:row>
    <x:row r="5" ht="23" customHeight="1">
      <x:c r="A5" s="4" t="str">
        <x:v>Company</x:v>
      </x:c>
      <x:c r="B5" s="4" t="str">
        <x:v>wechatPayConfigRef</x:v>
      </x:c>
      <x:c r="C5" s="17" t="str">
        <x:v>wechatPayConfigRef</x:v>
      </x:c>
      <x:c r="D5" s="4" t="str">
        <x:v>4</x:v>
      </x:c>
      <x:c r="E5" s="4" t="str">
        <x:v>String</x:v>
      </x:c>
      <x:c r="F5" s="4" t="str">
        <x:v>YES</x:v>
      </x:c>
      <x:c r="G5" s="4" t="str">
        <x:v>待M阶段冻结</x:v>
      </x:c>
      <x:c r="H5" s="17" t="str">
        <x:v>SECRET_OR_CREDENTIAL</x:v>
      </x:c>
      <x:c r="I5" s="17" t="str">
        <x:v>仅后端最小权限读取，响应永不返回</x:v>
      </x:c>
      <x:c r="J5" s="17" t="str">
        <x:v>禁止提交、日志、快照和前端下发</x:v>
      </x:c>
      <x:c r="K5" s="17" t="str">
        <x:v>DTO白名单；长度/枚举/归属/状态校验；禁止信任客户端派生值</x:v>
      </x:c>
      <x:c r="L5" s="17" t="str">
        <x:v>按实体version或审计日志保留变更证据</x:v>
      </x:c>
      <x:c r="M5" s="4" t="str">
        <x:v>M1</x:v>
      </x:c>
      <x:c r="N5" s="4" t="str">
        <x:v>待切片细化</x:v>
      </x:c>
      <x:c r="O5" s="4" t="str">
        <x:v>综合方案§13核心数据模型</x:v>
      </x:c>
      <x:c r="P5" s="4" t="str">
        <x:v>DRAFT_FROM_SCHEME</x:v>
      </x:c>
    </x:row>
    <x:row r="6" ht="23" customHeight="1">
      <x:c r="A6" s="4" t="str">
        <x:v>Company</x:v>
      </x:c>
      <x:c r="B6" s="4" t="str">
        <x:v>status</x:v>
      </x:c>
      <x:c r="C6" s="17" t="str">
        <x:v>status</x:v>
      </x:c>
      <x:c r="D6" s="4" t="str">
        <x:v>5</x:v>
      </x:c>
      <x:c r="E6" s="4" t="str">
        <x:v>Enum/String</x:v>
      </x:c>
      <x:c r="F6" s="4" t="str">
        <x:v>YES</x:v>
      </x:c>
      <x:c r="G6" s="4" t="str">
        <x:v>待M阶段冻结</x:v>
      </x:c>
      <x:c r="H6" s="17" t="str">
        <x:v>INTERNAL</x:v>
      </x:c>
      <x:c r="I6" s="17" t="str">
        <x:v>按资源权限与数据域访问；公开DTO另行白名单</x:v>
      </x:c>
      <x:c r="J6" s="17" t="str">
        <x:v>数据库实体不得直接序列化为响应</x:v>
      </x:c>
      <x:c r="K6" s="17" t="str">
        <x:v>DTO白名单；长度/枚举/归属/状态校验；禁止信任客户端派生值</x:v>
      </x:c>
      <x:c r="L6" s="17" t="str">
        <x:v>按实体version或审计日志保留变更证据</x:v>
      </x:c>
      <x:c r="M6" s="4" t="str">
        <x:v>M1</x:v>
      </x:c>
      <x:c r="N6" s="4" t="str">
        <x:v>待切片细化</x:v>
      </x:c>
      <x:c r="O6" s="4" t="str">
        <x:v>综合方案§13核心数据模型</x:v>
      </x:c>
      <x:c r="P6" s="4" t="str">
        <x:v>DRAFT_FROM_SCHEME</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String/UUID</x:v>
      </x:c>
      <x:c r="F113" s="4" t="str">
        <x:v>YES</x:v>
      </x:c>
      <x:c r="G113" s="4" t="str">
        <x:v>待M阶段冻结</x:v>
      </x:c>
      <x:c r="H113" s="17" t="str">
        <x:v>INTERNAL</x:v>
      </x:c>
      <x:c r="I113" s="17" t="str">
        <x:v>按资源权限与数据域访问；公开DTO另行白名单</x:v>
      </x:c>
      <x:c r="J113" s="17" t="str">
        <x:v>数据库实体不得直接序列化为响应</x:v>
      </x:c>
      <x:c r="K113" s="17" t="str">
        <x:v>DTO白名单；长度/枚举/归属/状态校验；禁止信任客户端派生值</x:v>
      </x:c>
      <x:c r="L113" s="17" t="str">
        <x:v>按实体version或审计日志保留变更证据</x:v>
      </x:c>
      <x:c r="M113" s="4" t="str">
        <x:v>M1</x:v>
      </x:c>
      <x:c r="N113" s="4" t="str">
        <x:v>待切片细化</x:v>
      </x:c>
      <x:c r="O113" s="4" t="str">
        <x:v>综合方案§13核心数据模型</x:v>
      </x:c>
      <x:c r="P113" s="4" t="str">
        <x:v>DRAFT_FROM_SCHEME</x:v>
      </x:c>
    </x:row>
    <x:row r="114" ht="23" customHeight="1">
      <x:c r="A114" s="4" t="str">
        <x:v>CompanyUser</x:v>
      </x:c>
      <x:c r="B114" s="4" t="str">
        <x:v>companyId</x:v>
      </x:c>
      <x:c r="C114" s="17" t="str">
        <x:v>companyId</x:v>
      </x:c>
      <x:c r="D114" s="4" t="str">
        <x:v>2</x:v>
      </x:c>
      <x:c r="E114" s="4" t="str">
        <x:v>String/UUID</x:v>
      </x:c>
      <x:c r="F114" s="4" t="str">
        <x:v>YES</x:v>
      </x:c>
      <x:c r="G114" s="4" t="str">
        <x:v>待M阶段冻结</x:v>
      </x:c>
      <x:c r="H114" s="17" t="str">
        <x:v>INTERNAL</x:v>
      </x:c>
      <x:c r="I114" s="17" t="str">
        <x:v>按资源权限与数据域访问；公开DTO另行白名单</x:v>
      </x:c>
      <x:c r="J114" s="17" t="str">
        <x:v>数据库实体不得直接序列化为响应</x:v>
      </x:c>
      <x:c r="K114" s="17" t="str">
        <x:v>DTO白名单；长度/枚举/归属/状态校验；禁止信任客户端派生值</x:v>
      </x:c>
      <x:c r="L114" s="17" t="str">
        <x:v>按实体version或审计日志保留变更证据</x:v>
      </x:c>
      <x:c r="M114" s="4" t="str">
        <x:v>M1</x:v>
      </x:c>
      <x:c r="N114" s="4" t="str">
        <x:v>待切片细化</x:v>
      </x:c>
      <x:c r="O114" s="4" t="str">
        <x:v>综合方案§13核心数据模型</x:v>
      </x:c>
      <x:c r="P114" s="4" t="str">
        <x:v>DRAFT_FROM_SCHEME</x:v>
      </x:c>
    </x:row>
    <x:row r="115" ht="23" customHeight="1">
      <x:c r="A115" s="4" t="str">
        <x:v>CompanyUser</x:v>
      </x:c>
      <x:c r="B115" s="4" t="str">
        <x:v>name</x:v>
      </x:c>
      <x:c r="C115" s="17" t="str">
        <x:v>name</x:v>
      </x:c>
      <x:c r="D115" s="4" t="str">
        <x:v>3</x:v>
      </x:c>
      <x:c r="E115" s="4" t="str">
        <x:v>String</x:v>
      </x:c>
      <x:c r="F115" s="4" t="str">
        <x:v>YES</x:v>
      </x:c>
      <x:c r="G115" s="4" t="str">
        <x:v>待M阶段冻结</x:v>
      </x:c>
      <x:c r="H115" s="17" t="str">
        <x:v>INTERNAL</x:v>
      </x:c>
      <x:c r="I115" s="17" t="str">
        <x:v>按资源权限与数据域访问；公开DTO另行白名单</x:v>
      </x:c>
      <x:c r="J115" s="17" t="str">
        <x:v>数据库实体不得直接序列化为响应</x:v>
      </x:c>
      <x:c r="K115" s="17" t="str">
        <x:v>DTO白名单；长度/枚举/归属/状态校验；禁止信任客户端派生值</x:v>
      </x:c>
      <x:c r="L115" s="17" t="str">
        <x:v>按实体version或审计日志保留变更证据</x:v>
      </x:c>
      <x:c r="M115" s="4" t="str">
        <x:v>M1</x:v>
      </x:c>
      <x:c r="N115" s="4" t="str">
        <x:v>待切片细化</x:v>
      </x:c>
      <x:c r="O115" s="4" t="str">
        <x:v>综合方案§13核心数据模型</x:v>
      </x:c>
      <x:c r="P115" s="4" t="str">
        <x:v>DRAFT_FROM_SCHEME</x:v>
      </x:c>
    </x:row>
    <x:row r="116" ht="23" customHeight="1">
      <x:c r="A116" s="4" t="str">
        <x:v>CompanyUser</x:v>
      </x:c>
      <x:c r="B116" s="4" t="str">
        <x:v>mobile</x:v>
      </x:c>
      <x:c r="C116" s="17" t="str">
        <x:v>mobile</x:v>
      </x:c>
      <x:c r="D116" s="4" t="str">
        <x:v>4</x:v>
      </x:c>
      <x:c r="E116" s="4" t="str">
        <x:v>String</x:v>
      </x:c>
      <x:c r="F116" s="4" t="str">
        <x:v>YES</x:v>
      </x:c>
      <x:c r="G116" s="4" t="str">
        <x:v>待M阶段冻结</x:v>
      </x:c>
      <x:c r="H116" s="17" t="str">
        <x:v>PERSONAL_OR_SENSITIVE</x:v>
      </x:c>
      <x:c r="I116" s="17" t="str">
        <x:v>按角色、对象归属及配送阶段脱敏/解密</x:v>
      </x:c>
      <x:c r="J116" s="17" t="str">
        <x:v>禁止跨供应商、越阶段或批量无审批导出</x:v>
      </x:c>
      <x:c r="K116" s="17" t="str">
        <x:v>DTO白名单；长度/枚举/归属/状态校验；禁止信任客户端派生值</x:v>
      </x:c>
      <x:c r="L116" s="17" t="str">
        <x:v>按实体version或审计日志保留变更证据</x:v>
      </x:c>
      <x:c r="M116" s="4" t="str">
        <x:v>M1</x:v>
      </x:c>
      <x:c r="N116" s="4" t="str">
        <x:v>待切片细化</x:v>
      </x:c>
      <x:c r="O116" s="4" t="str">
        <x:v>综合方案§13核心数据模型</x:v>
      </x:c>
      <x:c r="P116" s="4" t="str">
        <x:v>DRAFT_FROM_SCHEME</x:v>
      </x:c>
    </x:row>
    <x:row r="117" ht="23" customHeight="1">
      <x:c r="A117" s="4" t="str">
        <x:v>CompanyUser</x:v>
      </x:c>
      <x:c r="B117" s="4" t="str">
        <x:v>email</x:v>
      </x:c>
      <x:c r="C117" s="17" t="str">
        <x:v>email</x:v>
      </x:c>
      <x:c r="D117" s="4" t="str">
        <x:v>5</x:v>
      </x:c>
      <x:c r="E117" s="4" t="str">
        <x:v>String</x:v>
      </x:c>
      <x:c r="F117" s="4" t="str">
        <x:v>YES</x:v>
      </x:c>
      <x:c r="G117" s="4" t="str">
        <x:v>待M阶段冻结</x:v>
      </x:c>
      <x:c r="H117" s="17" t="str">
        <x:v>PERSONAL_OR_SENSITIVE</x:v>
      </x:c>
      <x:c r="I117" s="17" t="str">
        <x:v>按角色、对象归属及配送阶段脱敏/解密</x:v>
      </x:c>
      <x:c r="J117" s="17" t="str">
        <x:v>禁止跨供应商、越阶段或批量无审批导出</x:v>
      </x:c>
      <x:c r="K117" s="17" t="str">
        <x:v>DTO白名单；长度/枚举/归属/状态校验；禁止信任客户端派生值</x:v>
      </x:c>
      <x:c r="L117" s="17" t="str">
        <x:v>按实体version或审计日志保留变更证据</x:v>
      </x:c>
      <x:c r="M117" s="4" t="str">
        <x:v>M1</x:v>
      </x:c>
      <x:c r="N117" s="4" t="str">
        <x:v>待切片细化</x:v>
      </x:c>
      <x:c r="O117" s="4" t="str">
        <x:v>综合方案§13核心数据模型</x:v>
      </x:c>
      <x:c r="P117" s="4" t="str">
        <x:v>DRAFT_FROM_SCHEME</x:v>
      </x:c>
    </x:row>
    <x:row r="118" ht="23" customHeight="1">
      <x:c r="A118" s="4" t="str">
        <x:v>CompanyUser</x:v>
      </x:c>
      <x:c r="B118" s="4" t="str">
        <x:v>status</x:v>
      </x:c>
      <x:c r="C118" s="17" t="str">
        <x:v>status</x:v>
      </x:c>
      <x:c r="D118" s="4" t="str">
        <x:v>6</x:v>
      </x:c>
      <x:c r="E118" s="4" t="str">
        <x:v>Enum/String</x:v>
      </x:c>
      <x:c r="F118" s="4" t="str">
        <x:v>YES</x:v>
      </x:c>
      <x:c r="G118" s="4" t="str">
        <x:v>待M阶段冻结</x:v>
      </x:c>
      <x:c r="H118" s="17" t="str">
        <x:v>INTERNAL</x:v>
      </x:c>
      <x:c r="I118" s="17" t="str">
        <x:v>按资源权限与数据域访问；公开DTO另行白名单</x:v>
      </x:c>
      <x:c r="J118" s="17" t="str">
        <x:v>数据库实体不得直接序列化为响应</x:v>
      </x:c>
      <x:c r="K118" s="17" t="str">
        <x:v>DTO白名单；长度/枚举/归属/状态校验；禁止信任客户端派生值</x:v>
      </x:c>
      <x:c r="L118" s="17" t="str">
        <x:v>按实体version或审计日志保留变更证据</x:v>
      </x:c>
      <x:c r="M118" s="4" t="str">
        <x:v>M1</x:v>
      </x:c>
      <x:c r="N118" s="4" t="str">
        <x:v>待切片细化</x:v>
      </x:c>
      <x:c r="O118" s="4" t="str">
        <x:v>综合方案§13核心数据模型</x:v>
      </x:c>
      <x:c r="P118" s="4" t="str">
        <x:v>DRAFT_FROM_SCHEME</x:v>
      </x:c>
    </x:row>
    <x:row r="119" ht="23" customHeight="1">
      <x:c r="A119" s="4" t="str">
        <x:v>CompanyUser</x:v>
      </x:c>
      <x:c r="B119" s="4" t="str">
        <x:v>lastLoginAt</x:v>
      </x:c>
      <x:c r="C119" s="17" t="str">
        <x:v>lastLoginAt</x:v>
      </x:c>
      <x:c r="D119" s="4" t="str">
        <x:v>7</x:v>
      </x:c>
      <x:c r="E119" s="4" t="str">
        <x:v>DateTime</x:v>
      </x:c>
      <x:c r="F119" s="4" t="str">
        <x:v>YES</x:v>
      </x:c>
      <x:c r="G119" s="4" t="str">
        <x:v>ISO-8601+明确时区</x:v>
      </x:c>
      <x:c r="H119" s="17" t="str">
        <x:v>INTERNAL</x:v>
      </x:c>
      <x:c r="I119" s="17" t="str">
        <x:v>按资源权限与数据域访问；公开DTO另行白名单</x:v>
      </x:c>
      <x:c r="J119" s="17" t="str">
        <x:v>数据库实体不得直接序列化为响应</x:v>
      </x:c>
      <x:c r="K119" s="17" t="str">
        <x:v>DTO白名单；长度/枚举/归属/状态校验；禁止信任客户端派生值</x:v>
      </x:c>
      <x:c r="L119" s="17" t="str">
        <x:v>按实体version或审计日志保留变更证据</x:v>
      </x:c>
      <x:c r="M119" s="4" t="str">
        <x:v>M1</x:v>
      </x:c>
      <x:c r="N119" s="4" t="str">
        <x:v>待切片细化</x:v>
      </x:c>
      <x:c r="O119" s="4" t="str">
        <x:v>综合方案§13核心数据模型</x:v>
      </x:c>
      <x:c r="P119" s="4" t="str">
        <x:v>DRAFT_FROM_SCHEME</x:v>
      </x:c>
    </x:row>
    <x:row r="120" ht="23" customHeight="1">
      <x:c r="A120" s="4" t="str">
        <x:v>CompanyUser</x:v>
      </x:c>
      <x:c r="B120" s="4" t="str">
        <x:v>version</x:v>
      </x:c>
      <x:c r="C120" s="17" t="str">
        <x:v>version</x:v>
      </x:c>
      <x:c r="D120" s="4" t="str">
        <x:v>8</x:v>
      </x:c>
      <x:c r="E120" s="4" t="str">
        <x:v>Int</x:v>
      </x:c>
      <x:c r="F120" s="4" t="str">
        <x:v>YES</x:v>
      </x:c>
      <x:c r="G120" s="4" t="str">
        <x:v>待M阶段冻结</x:v>
      </x:c>
      <x:c r="H120" s="17" t="str">
        <x:v>INTERNAL</x:v>
      </x:c>
      <x:c r="I120" s="17" t="str">
        <x:v>按资源权限与数据域访问；公开DTO另行白名单</x:v>
      </x:c>
      <x:c r="J120" s="17" t="str">
        <x:v>数据库实体不得直接序列化为响应</x:v>
      </x:c>
      <x:c r="K120" s="17" t="str">
        <x:v>DTO白名单；长度/枚举/归属/状态校验；禁止信任客户端派生值</x:v>
      </x:c>
      <x:c r="L120" s="17" t="str">
        <x:v>按实体version或审计日志保留变更证据</x:v>
      </x:c>
      <x:c r="M120" s="4" t="str">
        <x:v>M1</x:v>
      </x:c>
      <x:c r="N120" s="4" t="str">
        <x:v>待切片细化</x:v>
      </x:c>
      <x:c r="O120" s="4" t="str">
        <x:v>综合方案§13核心数据模型</x:v>
      </x:c>
      <x:c r="P120" s="4" t="str">
        <x:v>DRAFT_FROM_SCHEME</x:v>
      </x:c>
    </x:row>
    <x:row r="121" ht="23" customHeight="1">
      <x:c r="A121" s="4" t="str">
        <x:v>FunctionalAccountType</x:v>
      </x:c>
      <x:c r="B121" s="4" t="str">
        <x:v>id</x:v>
      </x:c>
      <x:c r="C121" s="17" t="str">
        <x:v>id</x:v>
      </x:c>
      <x:c r="D121" s="4" t="str">
        <x:v>1</x:v>
      </x:c>
      <x:c r="E121" s="4" t="str">
        <x:v>String/UUID</x:v>
      </x:c>
      <x:c r="F121" s="4" t="str">
        <x:v>YES</x:v>
      </x:c>
      <x:c r="G121" s="4" t="str">
        <x:v>待M阶段冻结</x:v>
      </x:c>
      <x:c r="H121" s="17" t="str">
        <x:v>INTERNAL</x:v>
      </x:c>
      <x:c r="I121" s="17" t="str">
        <x:v>按资源权限与数据域访问；公开DTO另行白名单</x:v>
      </x:c>
      <x:c r="J121" s="17" t="str">
        <x:v>数据库实体不得直接序列化为响应</x:v>
      </x:c>
      <x:c r="K121" s="17" t="str">
        <x:v>DTO白名单；长度/枚举/归属/状态校验；禁止信任客户端派生值</x:v>
      </x:c>
      <x:c r="L121" s="17" t="str">
        <x:v>按实体version或审计日志保留变更证据</x:v>
      </x:c>
      <x:c r="M121" s="4" t="str">
        <x:v>M1</x:v>
      </x:c>
      <x:c r="N121" s="4" t="str">
        <x:v>待切片细化</x:v>
      </x:c>
      <x:c r="O121" s="4" t="str">
        <x:v>综合方案§13核心数据模型</x:v>
      </x:c>
      <x:c r="P121" s="4" t="str">
        <x:v>DRAFT_FROM_SCHEME</x:v>
      </x:c>
    </x:row>
    <x:row r="122" ht="23" customHeight="1">
      <x:c r="A122" s="4" t="str">
        <x:v>FunctionalAccountType</x:v>
      </x:c>
      <x:c r="B122" s="4" t="str">
        <x:v>ownerType</x:v>
      </x:c>
      <x:c r="C122" s="17" t="str">
        <x:v>ownerType</x:v>
      </x:c>
      <x:c r="D122" s="4" t="str">
        <x:v>2</x:v>
      </x:c>
      <x:c r="E122" s="4" t="str">
        <x:v>Enum/String</x:v>
      </x:c>
      <x:c r="F122" s="4" t="str">
        <x:v>YES</x:v>
      </x:c>
      <x:c r="G122" s="4" t="str">
        <x:v>待M阶段冻结</x:v>
      </x:c>
      <x:c r="H122" s="17" t="str">
        <x:v>INTERNAL</x:v>
      </x:c>
      <x:c r="I122" s="17" t="str">
        <x:v>按资源权限与数据域访问；公开DTO另行白名单</x:v>
      </x:c>
      <x:c r="J122" s="17" t="str">
        <x:v>数据库实体不得直接序列化为响应</x:v>
      </x:c>
      <x:c r="K122" s="17" t="str">
        <x:v>DTO白名单；长度/枚举/归属/状态校验；禁止信任客户端派生值</x:v>
      </x:c>
      <x:c r="L122" s="17" t="str">
        <x:v>按实体version或审计日志保留变更证据</x:v>
      </x:c>
      <x:c r="M122" s="4" t="str">
        <x:v>M1</x:v>
      </x:c>
      <x:c r="N122" s="4" t="str">
        <x:v>待切片细化</x:v>
      </x:c>
      <x:c r="O122" s="4" t="str">
        <x:v>综合方案§13核心数据模型</x:v>
      </x:c>
      <x:c r="P122" s="4" t="str">
        <x:v>DRAFT_FROM_SCHEME</x:v>
      </x:c>
    </x:row>
    <x:row r="123" ht="23" customHeight="1">
      <x:c r="A123" s="4" t="str">
        <x:v>FunctionalAccountType</x:v>
      </x:c>
      <x:c r="B123" s="4" t="str">
        <x:v>code</x:v>
      </x:c>
      <x:c r="C123" s="17" t="str">
        <x:v>code</x:v>
      </x:c>
      <x:c r="D123" s="4" t="str">
        <x:v>3</x:v>
      </x:c>
      <x:c r="E123" s="4" t="str">
        <x:v>String</x:v>
      </x:c>
      <x:c r="F123" s="4" t="str">
        <x:v>YES</x:v>
      </x:c>
      <x:c r="G123" s="4" t="str">
        <x:v>待M阶段冻结</x:v>
      </x:c>
      <x:c r="H123" s="17" t="str">
        <x:v>INTERNAL</x:v>
      </x:c>
      <x:c r="I123" s="17" t="str">
        <x:v>按资源权限与数据域访问；公开DTO另行白名单</x:v>
      </x:c>
      <x:c r="J123" s="17" t="str">
        <x:v>数据库实体不得直接序列化为响应</x:v>
      </x:c>
      <x:c r="K123" s="17" t="str">
        <x:v>DTO白名单；长度/枚举/归属/状态校验；禁止信任客户端派生值</x:v>
      </x:c>
      <x:c r="L123" s="17" t="str">
        <x:v>按实体version或审计日志保留变更证据</x:v>
      </x:c>
      <x:c r="M123" s="4" t="str">
        <x:v>M1</x:v>
      </x:c>
      <x:c r="N123" s="4" t="str">
        <x:v>待切片细化</x:v>
      </x:c>
      <x:c r="O123" s="4" t="str">
        <x:v>综合方案§13核心数据模型</x:v>
      </x:c>
      <x:c r="P123" s="4" t="str">
        <x:v>DRAFT_FROM_SCHEME</x:v>
      </x:c>
    </x:row>
    <x:row r="124" ht="23" customHeight="1">
      <x:c r="A124" s="4" t="str">
        <x:v>FunctionalAccountType</x:v>
      </x:c>
      <x:c r="B124" s="4" t="str">
        <x:v>name</x:v>
      </x:c>
      <x:c r="C124" s="17" t="str">
        <x:v>name</x:v>
      </x:c>
      <x:c r="D124" s="4" t="str">
        <x:v>4</x:v>
      </x:c>
      <x:c r="E124" s="4" t="str">
        <x:v>String</x:v>
      </x:c>
      <x:c r="F124" s="4" t="str">
        <x:v>YES</x:v>
      </x:c>
      <x:c r="G124" s="4" t="str">
        <x:v>待M阶段冻结</x:v>
      </x:c>
      <x:c r="H124" s="17" t="str">
        <x:v>INTERNAL</x:v>
      </x:c>
      <x:c r="I124" s="17" t="str">
        <x:v>按资源权限与数据域访问；公开DTO另行白名单</x:v>
      </x:c>
      <x:c r="J124" s="17" t="str">
        <x:v>数据库实体不得直接序列化为响应</x:v>
      </x:c>
      <x:c r="K124" s="17" t="str">
        <x:v>DTO白名单；长度/枚举/归属/状态校验；禁止信任客户端派生值</x:v>
      </x:c>
      <x:c r="L124" s="17" t="str">
        <x:v>按实体version或审计日志保留变更证据</x:v>
      </x:c>
      <x:c r="M124" s="4" t="str">
        <x:v>M1</x:v>
      </x:c>
      <x:c r="N124" s="4" t="str">
        <x:v>待切片细化</x:v>
      </x:c>
      <x:c r="O124" s="4" t="str">
        <x:v>综合方案§13核心数据模型</x:v>
      </x:c>
      <x:c r="P124" s="4" t="str">
        <x:v>DRAFT_FROM_SCHEME</x:v>
      </x:c>
    </x:row>
    <x:row r="125" ht="23" customHeight="1">
      <x:c r="A125" s="4" t="str">
        <x:v>FunctionalAccountType</x:v>
      </x:c>
      <x:c r="B125" s="4" t="str">
        <x:v>workspaceRoute</x:v>
      </x:c>
      <x:c r="C125" s="17" t="str">
        <x:v>workspaceRoute</x:v>
      </x:c>
      <x:c r="D125" s="4" t="str">
        <x:v>5</x:v>
      </x:c>
      <x:c r="E125" s="4" t="str">
        <x:v>String</x:v>
      </x:c>
      <x:c r="F125" s="4" t="str">
        <x:v>YES</x:v>
      </x:c>
      <x:c r="G125" s="4" t="str">
        <x:v>待M阶段冻结</x:v>
      </x:c>
      <x:c r="H125" s="17" t="str">
        <x:v>INTERNAL</x:v>
      </x:c>
      <x:c r="I125" s="17" t="str">
        <x:v>按资源权限与数据域访问；公开DTO另行白名单</x:v>
      </x:c>
      <x:c r="J125" s="17" t="str">
        <x:v>数据库实体不得直接序列化为响应</x:v>
      </x:c>
      <x:c r="K125" s="17" t="str">
        <x:v>DTO白名单；长度/枚举/归属/状态校验；禁止信任客户端派生值</x:v>
      </x:c>
      <x:c r="L125" s="17" t="str">
        <x:v>按实体version或审计日志保留变更证据</x:v>
      </x:c>
      <x:c r="M125" s="4" t="str">
        <x:v>M1</x:v>
      </x:c>
      <x:c r="N125" s="4" t="str">
        <x:v>待切片细化</x:v>
      </x:c>
      <x:c r="O125" s="4" t="str">
        <x:v>综合方案§13核心数据模型</x:v>
      </x:c>
      <x:c r="P125" s="4" t="str">
        <x:v>DRAFT_FROM_SCHEME</x:v>
      </x:c>
    </x:row>
    <x:row r="126" ht="23" customHeight="1">
      <x:c r="A126" s="4" t="str">
        <x:v>FunctionalAccountType</x:v>
      </x:c>
      <x:c r="B126" s="4" t="str">
        <x:v>internalMenuSchema</x:v>
      </x:c>
      <x:c r="C126" s="17" t="str">
        <x:v>internalMenuSchema</x:v>
      </x:c>
      <x:c r="D126" s="4" t="str">
        <x:v>6</x:v>
      </x:c>
      <x:c r="E126" s="4" t="str">
        <x:v>Json</x:v>
      </x:c>
      <x:c r="F126" s="4" t="str">
        <x:v>YES</x:v>
      </x:c>
      <x:c r="G126" s="4" t="str">
        <x:v>待M阶段冻结</x:v>
      </x:c>
      <x:c r="H126" s="17" t="str">
        <x:v>INTERNAL</x:v>
      </x:c>
      <x:c r="I126" s="17" t="str">
        <x:v>按资源权限与数据域访问；公开DTO另行白名单</x:v>
      </x:c>
      <x:c r="J126" s="17" t="str">
        <x:v>数据库实体不得直接序列化为响应</x:v>
      </x:c>
      <x:c r="K126" s="17" t="str">
        <x:v>DTO白名单；长度/枚举/归属/状态校验；禁止信任客户端派生值</x:v>
      </x:c>
      <x:c r="L126" s="17" t="str">
        <x:v>按实体version或审计日志保留变更证据</x:v>
      </x:c>
      <x:c r="M126" s="4" t="str">
        <x:v>M1</x:v>
      </x:c>
      <x:c r="N126" s="4" t="str">
        <x:v>待切片细化</x:v>
      </x:c>
      <x:c r="O126" s="4" t="str">
        <x:v>综合方案§13核心数据模型</x:v>
      </x:c>
      <x:c r="P126" s="4" t="str">
        <x:v>DRAFT_FROM_SCHEME</x:v>
      </x:c>
    </x:row>
    <x:row r="127" ht="23" customHeight="1">
      <x:c r="A127" s="4" t="str">
        <x:v>FunctionalAccountType</x:v>
      </x:c>
      <x:c r="B127" s="4" t="str">
        <x:v>status</x:v>
      </x:c>
      <x:c r="C127" s="17" t="str">
        <x:v>status</x:v>
      </x:c>
      <x:c r="D127" s="4" t="str">
        <x:v>7</x:v>
      </x:c>
      <x:c r="E127" s="4" t="str">
        <x:v>Enum/String</x:v>
      </x:c>
      <x:c r="F127" s="4" t="str">
        <x:v>YES</x:v>
      </x:c>
      <x:c r="G127" s="4" t="str">
        <x:v>待M阶段冻结</x:v>
      </x:c>
      <x:c r="H127" s="17" t="str">
        <x:v>INTERNAL</x:v>
      </x:c>
      <x:c r="I127" s="17" t="str">
        <x:v>按资源权限与数据域访问；公开DTO另行白名单</x:v>
      </x:c>
      <x:c r="J127" s="17" t="str">
        <x:v>数据库实体不得直接序列化为响应</x:v>
      </x:c>
      <x:c r="K127" s="17" t="str">
        <x:v>DTO白名单；长度/枚举/归属/状态校验；禁止信任客户端派生值</x:v>
      </x:c>
      <x:c r="L127" s="17" t="str">
        <x:v>按实体version或审计日志保留变更证据</x:v>
      </x:c>
      <x:c r="M127" s="4" t="str">
        <x:v>M1</x:v>
      </x:c>
      <x:c r="N127" s="4" t="str">
        <x:v>待切片细化</x:v>
      </x:c>
      <x:c r="O127" s="4" t="str">
        <x:v>综合方案§13核心数据模型</x:v>
      </x:c>
      <x:c r="P127" s="4" t="str">
        <x:v>DRAFT_FROM_SCHEME</x:v>
      </x:c>
    </x:row>
    <x:row r="128" ht="23" customHeight="1">
      <x:c r="A128" s="4" t="str">
        <x:v>FunctionalAccount</x:v>
      </x:c>
      <x:c r="B128" s="4" t="str">
        <x:v>id</x:v>
      </x:c>
      <x:c r="C128" s="17" t="str">
        <x:v>id</x:v>
      </x:c>
      <x:c r="D128" s="4" t="str">
        <x:v>1</x:v>
      </x:c>
      <x:c r="E128" s="4" t="str">
        <x:v>String/UUID</x:v>
      </x:c>
      <x:c r="F128" s="4" t="str">
        <x:v>YES</x:v>
      </x:c>
      <x:c r="G128" s="4" t="str">
        <x:v>待M阶段冻结</x:v>
      </x:c>
      <x:c r="H128" s="17" t="str">
        <x:v>INTERNAL</x:v>
      </x:c>
      <x:c r="I128" s="17" t="str">
        <x:v>按资源权限与数据域访问；公开DTO另行白名单</x:v>
      </x:c>
      <x:c r="J128" s="17" t="str">
        <x:v>数据库实体不得直接序列化为响应</x:v>
      </x:c>
      <x:c r="K128" s="17" t="str">
        <x:v>DTO白名单；长度/枚举/归属/状态校验；禁止信任客户端派生值</x:v>
      </x:c>
      <x:c r="L128" s="17" t="str">
        <x:v>按实体version或审计日志保留变更证据</x:v>
      </x:c>
      <x:c r="M128" s="4" t="str">
        <x:v>M1</x:v>
      </x:c>
      <x:c r="N128" s="4" t="str">
        <x:v>P0-005,P0-067,P0-070</x:v>
      </x:c>
      <x:c r="O128" s="4" t="str">
        <x:v>综合方案§13核心数据模型</x:v>
      </x:c>
      <x:c r="P128" s="4" t="str">
        <x:v>DRAFT_FROM_SCHEME</x:v>
      </x:c>
    </x:row>
    <x:row r="129" ht="23" customHeight="1">
      <x:c r="A129" s="4" t="str">
        <x:v>FunctionalAccount</x:v>
      </x:c>
      <x:c r="B129" s="4" t="str">
        <x:v>identityType</x:v>
      </x:c>
      <x:c r="C129" s="17" t="str">
        <x:v>identityType</x:v>
      </x:c>
      <x:c r="D129" s="4" t="str">
        <x:v>2</x:v>
      </x:c>
      <x:c r="E129" s="4" t="str">
        <x:v>Enum/String</x:v>
      </x:c>
      <x:c r="F129" s="4" t="str">
        <x:v>YES</x:v>
      </x:c>
      <x:c r="G129" s="4" t="str">
        <x:v>待M阶段冻结</x:v>
      </x:c>
      <x:c r="H129" s="17" t="str">
        <x:v>INTERNAL</x:v>
      </x:c>
      <x:c r="I129" s="17" t="str">
        <x:v>按资源权限与数据域访问；公开DTO另行白名单</x:v>
      </x:c>
      <x:c r="J129" s="17" t="str">
        <x:v>数据库实体不得直接序列化为响应</x:v>
      </x:c>
      <x:c r="K129" s="17" t="str">
        <x:v>DTO白名单；长度/枚举/归属/状态校验；禁止信任客户端派生值</x:v>
      </x:c>
      <x:c r="L129" s="17" t="str">
        <x:v>按实体version或审计日志保留变更证据</x:v>
      </x:c>
      <x:c r="M129" s="4" t="str">
        <x:v>M1</x:v>
      </x:c>
      <x:c r="N129" s="4" t="str">
        <x:v>P0-005,P0-067,P0-070</x:v>
      </x:c>
      <x:c r="O129" s="4" t="str">
        <x:v>综合方案§13核心数据模型</x:v>
      </x:c>
      <x:c r="P129" s="4" t="str">
        <x:v>DRAFT_FROM_SCHEME</x:v>
      </x:c>
    </x:row>
    <x:row r="130" ht="23" customHeight="1">
      <x:c r="A130" s="4" t="str">
        <x:v>FunctionalAccount</x:v>
      </x:c>
      <x:c r="B130" s="4" t="str">
        <x:v>identityId</x:v>
      </x:c>
      <x:c r="C130" s="17" t="str">
        <x:v>identityId</x:v>
      </x:c>
      <x:c r="D130" s="4" t="str">
        <x:v>3</x:v>
      </x:c>
      <x:c r="E130" s="4" t="str">
        <x:v>String/UUID</x:v>
      </x:c>
      <x:c r="F130" s="4" t="str">
        <x:v>YES</x:v>
      </x:c>
      <x:c r="G130" s="4" t="str">
        <x:v>待M阶段冻结</x:v>
      </x:c>
      <x:c r="H130" s="17" t="str">
        <x:v>INTERNAL</x:v>
      </x:c>
      <x:c r="I130" s="17" t="str">
        <x:v>按资源权限与数据域访问；公开DTO另行白名单</x:v>
      </x:c>
      <x:c r="J130" s="17" t="str">
        <x:v>数据库实体不得直接序列化为响应</x:v>
      </x:c>
      <x:c r="K130" s="17" t="str">
        <x:v>DTO白名单；长度/枚举/归属/状态校验；禁止信任客户端派生值</x:v>
      </x:c>
      <x:c r="L130" s="17" t="str">
        <x:v>按实体version或审计日志保留变更证据</x:v>
      </x:c>
      <x:c r="M130" s="4" t="str">
        <x:v>M1</x:v>
      </x:c>
      <x:c r="N130" s="4" t="str">
        <x:v>P0-005,P0-067,P0-070</x:v>
      </x:c>
      <x:c r="O130" s="4" t="str">
        <x:v>综合方案§13核心数据模型</x:v>
      </x:c>
      <x:c r="P130" s="4" t="str">
        <x:v>DRAFT_FROM_SCHEME</x:v>
      </x:c>
    </x:row>
    <x:row r="131" ht="23" customHeight="1">
      <x:c r="A131" s="4" t="str">
        <x:v>FunctionalAccount</x:v>
      </x:c>
      <x:c r="B131" s="4" t="str">
        <x:v>ownerType</x:v>
      </x:c>
      <x:c r="C131" s="17" t="str">
        <x:v>ownerType</x:v>
      </x:c>
      <x:c r="D131" s="4" t="str">
        <x:v>4</x:v>
      </x:c>
      <x:c r="E131" s="4" t="str">
        <x:v>Enum/String</x:v>
      </x:c>
      <x:c r="F131" s="4" t="str">
        <x:v>YES</x:v>
      </x:c>
      <x:c r="G131" s="4" t="str">
        <x:v>待M阶段冻结</x:v>
      </x:c>
      <x:c r="H131" s="17" t="str">
        <x:v>INTERNAL</x:v>
      </x:c>
      <x:c r="I131" s="17" t="str">
        <x:v>按资源权限与数据域访问；公开DTO另行白名单</x:v>
      </x:c>
      <x:c r="J131" s="17" t="str">
        <x:v>数据库实体不得直接序列化为响应</x:v>
      </x:c>
      <x:c r="K131" s="17" t="str">
        <x:v>DTO白名单；长度/枚举/归属/状态校验；禁止信任客户端派生值</x:v>
      </x:c>
      <x:c r="L131" s="17" t="str">
        <x:v>按实体version或审计日志保留变更证据</x:v>
      </x:c>
      <x:c r="M131" s="4" t="str">
        <x:v>M1</x:v>
      </x:c>
      <x:c r="N131" s="4" t="str">
        <x:v>P0-005,P0-067,P0-070</x:v>
      </x:c>
      <x:c r="O131" s="4" t="str">
        <x:v>综合方案§13核心数据模型</x:v>
      </x:c>
      <x:c r="P131" s="4" t="str">
        <x:v>DRAFT_FROM_SCHEME</x:v>
      </x:c>
    </x:row>
    <x:row r="132" ht="23" customHeight="1">
      <x:c r="A132" s="4" t="str">
        <x:v>FunctionalAccount</x:v>
      </x:c>
      <x:c r="B132" s="4" t="str">
        <x:v>companyId</x:v>
      </x:c>
      <x:c r="C132" s="17" t="str">
        <x:v>companyId?</x:v>
      </x:c>
      <x:c r="D132" s="4" t="str">
        <x:v>5</x:v>
      </x:c>
      <x:c r="E132" s="4" t="str">
        <x:v>String/UUID</x:v>
      </x:c>
      <x:c r="F132" s="4" t="str">
        <x:v>NO</x:v>
      </x:c>
      <x:c r="G132" s="4" t="str">
        <x:v>待M阶段冻结</x:v>
      </x:c>
      <x:c r="H132" s="17" t="str">
        <x:v>INTERNAL</x:v>
      </x:c>
      <x:c r="I132" s="17" t="str">
        <x:v>按资源权限与数据域访问；公开DTO另行白名单</x:v>
      </x:c>
      <x:c r="J132" s="17" t="str">
        <x:v>数据库实体不得直接序列化为响应</x:v>
      </x:c>
      <x:c r="K132" s="17" t="str">
        <x:v>DTO白名单；长度/枚举/归属/状态校验；禁止信任客户端派生值</x:v>
      </x:c>
      <x:c r="L132" s="17" t="str">
        <x:v>按实体version或审计日志保留变更证据</x:v>
      </x:c>
      <x:c r="M132" s="4" t="str">
        <x:v>M1</x:v>
      </x:c>
      <x:c r="N132" s="4" t="str">
        <x:v>P0-005,P0-067,P0-070</x:v>
      </x:c>
      <x:c r="O132" s="4" t="str">
        <x:v>综合方案§13核心数据模型</x:v>
      </x:c>
      <x:c r="P132" s="4" t="str">
        <x:v>DRAFT_FROM_SCHEME</x:v>
      </x:c>
    </x:row>
    <x:row r="133" ht="23" customHeight="1">
      <x:c r="A133" s="4" t="str">
        <x:v>FunctionalAccount</x:v>
      </x:c>
      <x:c r="B133" s="4" t="str">
        <x:v>supplierId</x:v>
      </x:c>
      <x:c r="C133" s="17" t="str">
        <x:v>supplierId?</x:v>
      </x:c>
      <x:c r="D133" s="4" t="str">
        <x:v>6</x:v>
      </x:c>
      <x:c r="E133" s="4" t="str">
        <x:v>String/UUID</x:v>
      </x:c>
      <x:c r="F133" s="4" t="str">
        <x:v>NO</x:v>
      </x:c>
      <x:c r="G133" s="4" t="str">
        <x:v>待M阶段冻结</x:v>
      </x:c>
      <x:c r="H133" s="17" t="str">
        <x:v>INTERNAL</x:v>
      </x:c>
      <x:c r="I133" s="17" t="str">
        <x:v>按资源权限与数据域访问；公开DTO另行白名单</x:v>
      </x:c>
      <x:c r="J133" s="17" t="str">
        <x:v>数据库实体不得直接序列化为响应</x:v>
      </x:c>
      <x:c r="K133" s="17" t="str">
        <x:v>DTO白名单；长度/枚举/归属/状态校验；禁止信任客户端派生值</x:v>
      </x:c>
      <x:c r="L133" s="17" t="str">
        <x:v>按实体version或审计日志保留变更证据</x:v>
      </x:c>
      <x:c r="M133" s="4" t="str">
        <x:v>M1</x:v>
      </x:c>
      <x:c r="N133" s="4" t="str">
        <x:v>P0-005,P0-067,P0-070</x:v>
      </x:c>
      <x:c r="O133" s="4" t="str">
        <x:v>综合方案§13核心数据模型</x:v>
      </x:c>
      <x:c r="P133" s="4" t="str">
        <x:v>DRAFT_FROM_SCHEME</x:v>
      </x:c>
    </x:row>
    <x:row r="134" ht="23" customHeight="1">
      <x:c r="A134" s="4" t="str">
        <x:v>FunctionalAccount</x:v>
      </x:c>
      <x:c r="B134" s="4" t="str">
        <x:v>accountTypeId</x:v>
      </x:c>
      <x:c r="C134" s="17" t="str">
        <x:v>accountTypeId</x:v>
      </x:c>
      <x:c r="D134" s="4" t="str">
        <x:v>7</x:v>
      </x:c>
      <x:c r="E134" s="4" t="str">
        <x:v>String/UUID</x:v>
      </x:c>
      <x:c r="F134" s="4" t="str">
        <x:v>YES</x:v>
      </x:c>
      <x:c r="G134" s="4" t="str">
        <x:v>待M阶段冻结</x:v>
      </x:c>
      <x:c r="H134" s="17" t="str">
        <x:v>INTERNAL</x:v>
      </x:c>
      <x:c r="I134" s="17" t="str">
        <x:v>按资源权限与数据域访问；公开DTO另行白名单</x:v>
      </x:c>
      <x:c r="J134" s="17" t="str">
        <x:v>数据库实体不得直接序列化为响应</x:v>
      </x:c>
      <x:c r="K134" s="17" t="str">
        <x:v>DTO白名单；长度/枚举/归属/状态校验；禁止信任客户端派生值</x:v>
      </x:c>
      <x:c r="L134" s="17" t="str">
        <x:v>按实体version或审计日志保留变更证据</x:v>
      </x:c>
      <x:c r="M134" s="4" t="str">
        <x:v>M1</x:v>
      </x:c>
      <x:c r="N134" s="4" t="str">
        <x:v>P0-005,P0-067,P0-070</x:v>
      </x:c>
      <x:c r="O134" s="4" t="str">
        <x:v>综合方案§13核心数据模型</x:v>
      </x:c>
      <x:c r="P134" s="4" t="str">
        <x:v>DRAFT_FROM_SCHEME</x:v>
      </x:c>
    </x:row>
    <x:row r="135" ht="23" customHeight="1">
      <x:c r="A135" s="4" t="str">
        <x:v>FunctionalAccount</x:v>
      </x:c>
      <x:c r="B135" s="4" t="str">
        <x:v>displayName</x:v>
      </x:c>
      <x:c r="C135" s="17" t="str">
        <x:v>displayName</x:v>
      </x:c>
      <x:c r="D135" s="4" t="str">
        <x:v>8</x:v>
      </x:c>
      <x:c r="E135" s="4" t="str">
        <x:v>String</x:v>
      </x:c>
      <x:c r="F135" s="4" t="str">
        <x:v>YES</x:v>
      </x:c>
      <x:c r="G135" s="4" t="str">
        <x:v>待M阶段冻结</x:v>
      </x:c>
      <x:c r="H135" s="17" t="str">
        <x:v>INTERNAL</x:v>
      </x:c>
      <x:c r="I135" s="17" t="str">
        <x:v>按资源权限与数据域访问；公开DTO另行白名单</x:v>
      </x:c>
      <x:c r="J135" s="17" t="str">
        <x:v>数据库实体不得直接序列化为响应</x:v>
      </x:c>
      <x:c r="K135" s="17" t="str">
        <x:v>DTO白名单；长度/枚举/归属/状态校验；禁止信任客户端派生值</x:v>
      </x:c>
      <x:c r="L135" s="17" t="str">
        <x:v>按实体version或审计日志保留变更证据</x:v>
      </x:c>
      <x:c r="M135" s="4" t="str">
        <x:v>M1</x:v>
      </x:c>
      <x:c r="N135" s="4" t="str">
        <x:v>P0-005,P0-067,P0-070</x:v>
      </x:c>
      <x:c r="O135" s="4" t="str">
        <x:v>综合方案§13核心数据模型</x:v>
      </x:c>
      <x:c r="P135" s="4" t="str">
        <x:v>DRAFT_FROM_SCHEME</x:v>
      </x:c>
    </x:row>
    <x:row r="136" ht="23" customHeight="1">
      <x:c r="A136" s="4" t="str">
        <x:v>FunctionalAccount</x:v>
      </x:c>
      <x:c r="B136" s="4" t="str">
        <x:v>status</x:v>
      </x:c>
      <x:c r="C136" s="17" t="str">
        <x:v>status</x:v>
      </x:c>
      <x:c r="D136" s="4" t="str">
        <x:v>9</x:v>
      </x:c>
      <x:c r="E136" s="4" t="str">
        <x:v>Enum/String</x:v>
      </x:c>
      <x:c r="F136" s="4" t="str">
        <x:v>YES</x:v>
      </x:c>
      <x:c r="G136" s="4" t="str">
        <x:v>待M阶段冻结</x:v>
      </x:c>
      <x:c r="H136" s="17" t="str">
        <x:v>INTERNAL</x:v>
      </x:c>
      <x:c r="I136" s="17" t="str">
        <x:v>按资源权限与数据域访问；公开DTO另行白名单</x:v>
      </x:c>
      <x:c r="J136" s="17" t="str">
        <x:v>数据库实体不得直接序列化为响应</x:v>
      </x:c>
      <x:c r="K136" s="17" t="str">
        <x:v>DTO白名单；长度/枚举/归属/状态校验；禁止信任客户端派生值</x:v>
      </x:c>
      <x:c r="L136" s="17" t="str">
        <x:v>按实体version或审计日志保留变更证据</x:v>
      </x:c>
      <x:c r="M136" s="4" t="str">
        <x:v>M1</x:v>
      </x:c>
      <x:c r="N136" s="4" t="str">
        <x:v>P0-005,P0-067,P0-070</x:v>
      </x:c>
      <x:c r="O136" s="4" t="str">
        <x:v>综合方案§13核心数据模型</x:v>
      </x:c>
      <x:c r="P136" s="4" t="str">
        <x:v>DRAFT_FROM_SCHEME</x:v>
      </x:c>
    </x:row>
    <x:row r="137" ht="23" customHeight="1">
      <x:c r="A137" s="4" t="str">
        <x:v>FunctionalAccount</x:v>
      </x:c>
      <x:c r="B137" s="4" t="str">
        <x:v>expiresAt</x:v>
      </x:c>
      <x:c r="C137" s="17" t="str">
        <x:v>expiresAt?</x:v>
      </x:c>
      <x:c r="D137" s="4" t="str">
        <x:v>10</x:v>
      </x:c>
      <x:c r="E137" s="4" t="str">
        <x:v>DateTime</x:v>
      </x:c>
      <x:c r="F137" s="4" t="str">
        <x:v>NO</x:v>
      </x:c>
      <x:c r="G137" s="4" t="str">
        <x:v>ISO-8601+明确时区</x:v>
      </x:c>
      <x:c r="H137" s="17" t="str">
        <x:v>INTERNAL</x:v>
      </x:c>
      <x:c r="I137" s="17" t="str">
        <x:v>按资源权限与数据域访问；公开DTO另行白名单</x:v>
      </x:c>
      <x:c r="J137" s="17" t="str">
        <x:v>数据库实体不得直接序列化为响应</x:v>
      </x:c>
      <x:c r="K137" s="17" t="str">
        <x:v>DTO白名单；长度/枚举/归属/状态校验；禁止信任客户端派生值</x:v>
      </x:c>
      <x:c r="L137" s="17" t="str">
        <x:v>按实体version或审计日志保留变更证据</x:v>
      </x:c>
      <x:c r="M137" s="4" t="str">
        <x:v>M1</x:v>
      </x:c>
      <x:c r="N137" s="4" t="str">
        <x:v>P0-005,P0-067,P0-070</x:v>
      </x:c>
      <x:c r="O137" s="4" t="str">
        <x:v>综合方案§13核心数据模型</x:v>
      </x:c>
      <x:c r="P137" s="4" t="str">
        <x:v>DRAFT_FROM_SCHEME</x:v>
      </x:c>
    </x:row>
    <x:row r="138" ht="23" customHeight="1">
      <x:c r="A138" s="4" t="str">
        <x:v>Permission</x:v>
      </x:c>
      <x:c r="B138" s="4" t="str">
        <x:v>id</x:v>
      </x:c>
      <x:c r="C138" s="17" t="str">
        <x:v>id</x:v>
      </x:c>
      <x:c r="D138" s="4" t="str">
        <x:v>1</x:v>
      </x:c>
      <x:c r="E138" s="4" t="str">
        <x:v>String/UUID</x:v>
      </x:c>
      <x:c r="F138" s="4" t="str">
        <x:v>YES</x:v>
      </x:c>
      <x:c r="G138" s="4" t="str">
        <x:v>待M阶段冻结</x:v>
      </x:c>
      <x:c r="H138" s="17" t="str">
        <x:v>INTERNAL</x:v>
      </x:c>
      <x:c r="I138" s="17" t="str">
        <x:v>按资源权限与数据域访问；公开DTO另行白名单</x:v>
      </x:c>
      <x:c r="J138" s="17" t="str">
        <x:v>数据库实体不得直接序列化为响应</x:v>
      </x:c>
      <x:c r="K138" s="17" t="str">
        <x:v>DTO白名单；长度/枚举/归属/状态校验；禁止信任客户端派生值</x:v>
      </x:c>
      <x:c r="L138" s="17" t="str">
        <x:v>按实体version或审计日志保留变更证据</x:v>
      </x:c>
      <x:c r="M138" s="4" t="str">
        <x:v>M1</x:v>
      </x:c>
      <x:c r="N138" s="4" t="str">
        <x:v>待切片细化</x:v>
      </x:c>
      <x:c r="O138" s="4" t="str">
        <x:v>综合方案§13核心数据模型</x:v>
      </x:c>
      <x:c r="P138" s="4" t="str">
        <x:v>DRAFT_FROM_SCHEME</x:v>
      </x:c>
    </x:row>
    <x:row r="139" ht="23" customHeight="1">
      <x:c r="A139" s="4" t="str">
        <x:v>Permission</x:v>
      </x:c>
      <x:c r="B139" s="4" t="str">
        <x:v>code</x:v>
      </x:c>
      <x:c r="C139" s="17" t="str">
        <x:v>code</x:v>
      </x:c>
      <x:c r="D139" s="4" t="str">
        <x:v>2</x:v>
      </x:c>
      <x:c r="E139" s="4" t="str">
        <x:v>String</x:v>
      </x:c>
      <x:c r="F139" s="4" t="str">
        <x:v>YES</x:v>
      </x:c>
      <x:c r="G139" s="4" t="str">
        <x:v>待M阶段冻结</x:v>
      </x:c>
      <x:c r="H139" s="17" t="str">
        <x:v>INTERNAL</x:v>
      </x:c>
      <x:c r="I139" s="17" t="str">
        <x:v>按资源权限与数据域访问；公开DTO另行白名单</x:v>
      </x:c>
      <x:c r="J139" s="17" t="str">
        <x:v>数据库实体不得直接序列化为响应</x:v>
      </x:c>
      <x:c r="K139" s="17" t="str">
        <x:v>DTO白名单；长度/枚举/归属/状态校验；禁止信任客户端派生值</x:v>
      </x:c>
      <x:c r="L139" s="17" t="str">
        <x:v>按实体version或审计日志保留变更证据</x:v>
      </x:c>
      <x:c r="M139" s="4" t="str">
        <x:v>M1</x:v>
      </x:c>
      <x:c r="N139" s="4" t="str">
        <x:v>待切片细化</x:v>
      </x:c>
      <x:c r="O139" s="4" t="str">
        <x:v>综合方案§13核心数据模型</x:v>
      </x:c>
      <x:c r="P139" s="4" t="str">
        <x:v>DRAFT_FROM_SCHEME</x:v>
      </x:c>
    </x:row>
    <x:row r="140" ht="23" customHeight="1">
      <x:c r="A140" s="4" t="str">
        <x:v>Permission</x:v>
      </x:c>
      <x:c r="B140" s="4" t="str">
        <x:v>resource</x:v>
      </x:c>
      <x:c r="C140" s="17" t="str">
        <x:v>resource</x:v>
      </x:c>
      <x:c r="D140" s="4" t="str">
        <x:v>3</x:v>
      </x:c>
      <x:c r="E140" s="4" t="str">
        <x:v>String</x:v>
      </x:c>
      <x:c r="F140" s="4" t="str">
        <x:v>YES</x:v>
      </x:c>
      <x:c r="G140" s="4" t="str">
        <x:v>待M阶段冻结</x:v>
      </x:c>
      <x:c r="H140" s="17" t="str">
        <x:v>INTERNAL</x:v>
      </x:c>
      <x:c r="I140" s="17" t="str">
        <x:v>按资源权限与数据域访问；公开DTO另行白名单</x:v>
      </x:c>
      <x:c r="J140" s="17" t="str">
        <x:v>数据库实体不得直接序列化为响应</x:v>
      </x:c>
      <x:c r="K140" s="17" t="str">
        <x:v>DTO白名单；长度/枚举/归属/状态校验；禁止信任客户端派生值</x:v>
      </x:c>
      <x:c r="L140" s="17" t="str">
        <x:v>按实体version或审计日志保留变更证据</x:v>
      </x:c>
      <x:c r="M140" s="4" t="str">
        <x:v>M1</x:v>
      </x:c>
      <x:c r="N140" s="4" t="str">
        <x:v>待切片细化</x:v>
      </x:c>
      <x:c r="O140" s="4" t="str">
        <x:v>综合方案§13核心数据模型</x:v>
      </x:c>
      <x:c r="P140" s="4" t="str">
        <x:v>DRAFT_FROM_SCHEME</x:v>
      </x:c>
    </x:row>
    <x:row r="141" ht="23" customHeight="1">
      <x:c r="A141" s="4" t="str">
        <x:v>Permission</x:v>
      </x:c>
      <x:c r="B141" s="4" t="str">
        <x:v>action</x:v>
      </x:c>
      <x:c r="C141" s="17" t="str">
        <x:v>action</x:v>
      </x:c>
      <x:c r="D141" s="4" t="str">
        <x:v>4</x:v>
      </x:c>
      <x:c r="E141" s="4" t="str">
        <x:v>Enum/String</x:v>
      </x:c>
      <x:c r="F141" s="4" t="str">
        <x:v>YES</x:v>
      </x:c>
      <x:c r="G141" s="4" t="str">
        <x:v>待M阶段冻结</x:v>
      </x:c>
      <x:c r="H141" s="17" t="str">
        <x:v>INTERNAL</x:v>
      </x:c>
      <x:c r="I141" s="17" t="str">
        <x:v>按资源权限与数据域访问；公开DTO另行白名单</x:v>
      </x:c>
      <x:c r="J141" s="17" t="str">
        <x:v>数据库实体不得直接序列化为响应</x:v>
      </x:c>
      <x:c r="K141" s="17" t="str">
        <x:v>DTO白名单；长度/枚举/归属/状态校验；禁止信任客户端派生值</x:v>
      </x:c>
      <x:c r="L141" s="17" t="str">
        <x:v>按实体version或审计日志保留变更证据</x:v>
      </x:c>
      <x:c r="M141" s="4" t="str">
        <x:v>M1</x:v>
      </x:c>
      <x:c r="N141" s="4" t="str">
        <x:v>待切片细化</x:v>
      </x:c>
      <x:c r="O141" s="4" t="str">
        <x:v>综合方案§13核心数据模型</x:v>
      </x:c>
      <x:c r="P141" s="4" t="str">
        <x:v>DRAFT_FROM_SCHEME</x:v>
      </x:c>
    </x:row>
    <x:row r="142" ht="23" customHeight="1">
      <x:c r="A142" s="4" t="str">
        <x:v>Permission</x:v>
      </x:c>
      <x:c r="B142" s="4" t="str">
        <x:v>fieldGroup</x:v>
      </x:c>
      <x:c r="C142" s="17" t="str">
        <x:v>fieldGroup?</x:v>
      </x:c>
      <x:c r="D142" s="4" t="str">
        <x:v>5</x:v>
      </x:c>
      <x:c r="E142" s="4" t="str">
        <x:v>String</x:v>
      </x:c>
      <x:c r="F142" s="4" t="str">
        <x:v>NO</x:v>
      </x:c>
      <x:c r="G142" s="4" t="str">
        <x:v>待M阶段冻结</x:v>
      </x:c>
      <x:c r="H142" s="17" t="str">
        <x:v>INTERNAL</x:v>
      </x:c>
      <x:c r="I142" s="17" t="str">
        <x:v>按资源权限与数据域访问；公开DTO另行白名单</x:v>
      </x:c>
      <x:c r="J142" s="17" t="str">
        <x:v>数据库实体不得直接序列化为响应</x:v>
      </x:c>
      <x:c r="K142" s="17" t="str">
        <x:v>DTO白名单；长度/枚举/归属/状态校验；禁止信任客户端派生值</x:v>
      </x:c>
      <x:c r="L142" s="17" t="str">
        <x:v>按实体version或审计日志保留变更证据</x:v>
      </x:c>
      <x:c r="M142" s="4" t="str">
        <x:v>M1</x:v>
      </x:c>
      <x:c r="N142" s="4" t="str">
        <x:v>待切片细化</x:v>
      </x:c>
      <x:c r="O142" s="4" t="str">
        <x:v>综合方案§13核心数据模型</x:v>
      </x:c>
      <x:c r="P142" s="4" t="str">
        <x:v>DRAFT_FROM_SCHEME</x:v>
      </x:c>
    </x:row>
    <x:row r="143" ht="23" customHeight="1">
      <x:c r="A143" s="4" t="str">
        <x:v>Permission</x:v>
      </x:c>
      <x:c r="B143" s="4" t="str">
        <x:v>riskLevel</x:v>
      </x:c>
      <x:c r="C143" s="17" t="str">
        <x:v>riskLevel</x:v>
      </x:c>
      <x:c r="D143" s="4" t="str">
        <x:v>6</x:v>
      </x:c>
      <x:c r="E143" s="4" t="str">
        <x:v>Int</x:v>
      </x:c>
      <x:c r="F143" s="4" t="str">
        <x:v>YES</x:v>
      </x:c>
      <x:c r="G143" s="4" t="str">
        <x:v>待M阶段冻结</x:v>
      </x:c>
      <x:c r="H143" s="17" t="str">
        <x:v>INTERNAL</x:v>
      </x:c>
      <x:c r="I143" s="17" t="str">
        <x:v>按资源权限与数据域访问；公开DTO另行白名单</x:v>
      </x:c>
      <x:c r="J143" s="17" t="str">
        <x:v>数据库实体不得直接序列化为响应</x:v>
      </x:c>
      <x:c r="K143" s="17" t="str">
        <x:v>DTO白名单；长度/枚举/归属/状态校验；禁止信任客户端派生值</x:v>
      </x:c>
      <x:c r="L143" s="17" t="str">
        <x:v>按实体version或审计日志保留变更证据</x:v>
      </x:c>
      <x:c r="M143" s="4" t="str">
        <x:v>M1</x:v>
      </x:c>
      <x:c r="N143" s="4" t="str">
        <x:v>待切片细化</x:v>
      </x:c>
      <x:c r="O143" s="4" t="str">
        <x:v>综合方案§13核心数据模型</x:v>
      </x:c>
      <x:c r="P143" s="4" t="str">
        <x:v>DRAFT_FROM_SCHEME</x:v>
      </x:c>
    </x:row>
    <x:row r="144" ht="23" customHeight="1">
      <x:c r="A144" s="4" t="str">
        <x:v>FunctionalAccountPermission</x:v>
      </x:c>
      <x:c r="B144" s="4" t="str">
        <x:v>id</x:v>
      </x:c>
      <x:c r="C144" s="17" t="str">
        <x:v>id</x:v>
      </x:c>
      <x:c r="D144" s="4" t="str">
        <x:v>1</x:v>
      </x:c>
      <x:c r="E144" s="4" t="str">
        <x:v>String/UUID</x:v>
      </x:c>
      <x:c r="F144" s="4" t="str">
        <x:v>YES</x:v>
      </x:c>
      <x:c r="G144" s="4" t="str">
        <x:v>待M阶段冻结</x:v>
      </x:c>
      <x:c r="H144" s="17" t="str">
        <x:v>INTERNAL</x:v>
      </x:c>
      <x:c r="I144" s="17" t="str">
        <x:v>按资源权限与数据域访问；公开DTO另行白名单</x:v>
      </x:c>
      <x:c r="J144" s="17" t="str">
        <x:v>数据库实体不得直接序列化为响应</x:v>
      </x:c>
      <x:c r="K144" s="17" t="str">
        <x:v>DTO白名单；长度/枚举/归属/状态校验；禁止信任客户端派生值</x:v>
      </x:c>
      <x:c r="L144" s="17" t="str">
        <x:v>按实体version或审计日志保留变更证据</x:v>
      </x:c>
      <x:c r="M144" s="4" t="str">
        <x:v>M1</x:v>
      </x:c>
      <x:c r="N144" s="4" t="str">
        <x:v>待切片细化</x:v>
      </x:c>
      <x:c r="O144" s="4" t="str">
        <x:v>综合方案§13核心数据模型</x:v>
      </x:c>
      <x:c r="P144" s="4" t="str">
        <x:v>DRAFT_FROM_SCHEME</x:v>
      </x:c>
    </x:row>
    <x:row r="145" ht="23" customHeight="1">
      <x:c r="A145" s="4" t="str">
        <x:v>FunctionalAccountPermission</x:v>
      </x:c>
      <x:c r="B145" s="4" t="str">
        <x:v>functionalAccountId</x:v>
      </x:c>
      <x:c r="C145" s="17" t="str">
        <x:v>functionalAccountId</x:v>
      </x:c>
      <x:c r="D145" s="4" t="str">
        <x:v>2</x:v>
      </x:c>
      <x:c r="E145" s="4" t="str">
        <x:v>String/UUID</x:v>
      </x:c>
      <x:c r="F145" s="4" t="str">
        <x:v>YES</x:v>
      </x:c>
      <x:c r="G145" s="4" t="str">
        <x:v>待M阶段冻结</x:v>
      </x:c>
      <x:c r="H145" s="17" t="str">
        <x:v>INTERNAL</x:v>
      </x:c>
      <x:c r="I145" s="17" t="str">
        <x:v>按资源权限与数据域访问；公开DTO另行白名单</x:v>
      </x:c>
      <x:c r="J145" s="17" t="str">
        <x:v>数据库实体不得直接序列化为响应</x:v>
      </x:c>
      <x:c r="K145" s="17" t="str">
        <x:v>DTO白名单；长度/枚举/归属/状态校验；禁止信任客户端派生值</x:v>
      </x:c>
      <x:c r="L145" s="17" t="str">
        <x:v>按实体version或审计日志保留变更证据</x:v>
      </x:c>
      <x:c r="M145" s="4" t="str">
        <x:v>M1</x:v>
      </x:c>
      <x:c r="N145" s="4" t="str">
        <x:v>待切片细化</x:v>
      </x:c>
      <x:c r="O145" s="4" t="str">
        <x:v>综合方案§13核心数据模型</x:v>
      </x:c>
      <x:c r="P145" s="4" t="str">
        <x:v>DRAFT_FROM_SCHEME</x:v>
      </x:c>
    </x:row>
    <x:row r="146" ht="23" customHeight="1">
      <x:c r="A146" s="4" t="str">
        <x:v>FunctionalAccountPermission</x:v>
      </x:c>
      <x:c r="B146" s="4" t="str">
        <x:v>permissionId</x:v>
      </x:c>
      <x:c r="C146" s="17" t="str">
        <x:v>permissionId</x:v>
      </x:c>
      <x:c r="D146" s="4" t="str">
        <x:v>3</x:v>
      </x:c>
      <x:c r="E146" s="4" t="str">
        <x:v>String/UUID</x:v>
      </x:c>
      <x:c r="F146" s="4" t="str">
        <x:v>YES</x:v>
      </x:c>
      <x:c r="G146" s="4" t="str">
        <x:v>待M阶段冻结</x:v>
      </x:c>
      <x:c r="H146" s="17" t="str">
        <x:v>INTERNAL</x:v>
      </x:c>
      <x:c r="I146" s="17" t="str">
        <x:v>按资源权限与数据域访问；公开DTO另行白名单</x:v>
      </x:c>
      <x:c r="J146" s="17" t="str">
        <x:v>数据库实体不得直接序列化为响应</x:v>
      </x:c>
      <x:c r="K146" s="17" t="str">
        <x:v>DTO白名单；长度/枚举/归属/状态校验；禁止信任客户端派生值</x:v>
      </x:c>
      <x:c r="L146" s="17" t="str">
        <x:v>按实体version或审计日志保留变更证据</x:v>
      </x:c>
      <x:c r="M146" s="4" t="str">
        <x:v>M1</x:v>
      </x:c>
      <x:c r="N146" s="4" t="str">
        <x:v>待切片细化</x:v>
      </x:c>
      <x:c r="O146" s="4" t="str">
        <x:v>综合方案§13核心数据模型</x:v>
      </x:c>
      <x:c r="P146" s="4" t="str">
        <x:v>DRAFT_FROM_SCHEME</x:v>
      </x:c>
    </x:row>
    <x:row r="147" ht="23" customHeight="1">
      <x:c r="A147" s="4" t="str">
        <x:v>FunctionalAccountPermission</x:v>
      </x:c>
      <x:c r="B147" s="4" t="str">
        <x:v>effect</x:v>
      </x:c>
      <x:c r="C147" s="17" t="str">
        <x:v>effect</x:v>
      </x:c>
      <x:c r="D147" s="4" t="str">
        <x:v>4</x:v>
      </x:c>
      <x:c r="E147" s="4" t="str">
        <x:v>String</x:v>
      </x:c>
      <x:c r="F147" s="4" t="str">
        <x:v>YES</x:v>
      </x:c>
      <x:c r="G147" s="4" t="str">
        <x:v>待M阶段冻结</x:v>
      </x:c>
      <x:c r="H147" s="17" t="str">
        <x:v>INTERNAL</x:v>
      </x:c>
      <x:c r="I147" s="17" t="str">
        <x:v>按资源权限与数据域访问；公开DTO另行白名单</x:v>
      </x:c>
      <x:c r="J147" s="17" t="str">
        <x:v>数据库实体不得直接序列化为响应</x:v>
      </x:c>
      <x:c r="K147" s="17" t="str">
        <x:v>DTO白名单；长度/枚举/归属/状态校验；禁止信任客户端派生值</x:v>
      </x:c>
      <x:c r="L147" s="17" t="str">
        <x:v>按实体version或审计日志保留变更证据</x:v>
      </x:c>
      <x:c r="M147" s="4" t="str">
        <x:v>M1</x:v>
      </x:c>
      <x:c r="N147" s="4" t="str">
        <x:v>待切片细化</x:v>
      </x:c>
      <x:c r="O147" s="4" t="str">
        <x:v>综合方案§13核心数据模型</x:v>
      </x:c>
      <x:c r="P147" s="4" t="str">
        <x:v>DRAFT_FROM_SCHEME</x:v>
      </x:c>
    </x:row>
    <x:row r="148" ht="23" customHeight="1">
      <x:c r="A148" s="4" t="str">
        <x:v>DataScopePolicy</x:v>
      </x:c>
      <x:c r="B148" s="4" t="str">
        <x:v>id</x:v>
      </x:c>
      <x:c r="C148" s="17" t="str">
        <x:v>id</x:v>
      </x:c>
      <x:c r="D148" s="4" t="str">
        <x:v>1</x:v>
      </x:c>
      <x:c r="E148" s="4" t="str">
        <x:v>String/UUID</x:v>
      </x:c>
      <x:c r="F148" s="4" t="str">
        <x:v>YES</x:v>
      </x:c>
      <x:c r="G148" s="4" t="str">
        <x:v>待M阶段冻结</x:v>
      </x:c>
      <x:c r="H148" s="17" t="str">
        <x:v>INTERNAL</x:v>
      </x:c>
      <x:c r="I148" s="17" t="str">
        <x:v>按资源权限与数据域访问；公开DTO另行白名单</x:v>
      </x:c>
      <x:c r="J148" s="17" t="str">
        <x:v>数据库实体不得直接序列化为响应</x:v>
      </x:c>
      <x:c r="K148" s="17" t="str">
        <x:v>DTO白名单；长度/枚举/归属/状态校验；禁止信任客户端派生值</x:v>
      </x:c>
      <x:c r="L148" s="17" t="str">
        <x:v>按实体version或审计日志保留变更证据</x:v>
      </x:c>
      <x:c r="M148" s="4" t="str">
        <x:v>M1</x:v>
      </x:c>
      <x:c r="N148" s="4" t="str">
        <x:v>待切片细化</x:v>
      </x:c>
      <x:c r="O148" s="4" t="str">
        <x:v>综合方案§13核心数据模型</x:v>
      </x:c>
      <x:c r="P148" s="4" t="str">
        <x:v>DRAFT_FROM_SCHEME</x:v>
      </x:c>
    </x:row>
    <x:row r="149" ht="23" customHeight="1">
      <x:c r="A149" s="4" t="str">
        <x:v>DataScopePolicy</x:v>
      </x:c>
      <x:c r="B149" s="4" t="str">
        <x:v>functionalAccountId</x:v>
      </x:c>
      <x:c r="C149" s="17" t="str">
        <x:v>functionalAccountId</x:v>
      </x:c>
      <x:c r="D149" s="4" t="str">
        <x:v>2</x:v>
      </x:c>
      <x:c r="E149" s="4" t="str">
        <x:v>String/UUID</x:v>
      </x:c>
      <x:c r="F149" s="4" t="str">
        <x:v>YES</x:v>
      </x:c>
      <x:c r="G149" s="4" t="str">
        <x:v>待M阶段冻结</x:v>
      </x:c>
      <x:c r="H149" s="17" t="str">
        <x:v>INTERNAL</x:v>
      </x:c>
      <x:c r="I149" s="17" t="str">
        <x:v>按资源权限与数据域访问；公开DTO另行白名单</x:v>
      </x:c>
      <x:c r="J149" s="17" t="str">
        <x:v>数据库实体不得直接序列化为响应</x:v>
      </x:c>
      <x:c r="K149" s="17" t="str">
        <x:v>DTO白名单；长度/枚举/归属/状态校验；禁止信任客户端派生值</x:v>
      </x:c>
      <x:c r="L149" s="17" t="str">
        <x:v>按实体version或审计日志保留变更证据</x:v>
      </x:c>
      <x:c r="M149" s="4" t="str">
        <x:v>M1</x:v>
      </x:c>
      <x:c r="N149" s="4" t="str">
        <x:v>待切片细化</x:v>
      </x:c>
      <x:c r="O149" s="4" t="str">
        <x:v>综合方案§13核心数据模型</x:v>
      </x:c>
      <x:c r="P149" s="4" t="str">
        <x:v>DRAFT_FROM_SCHEME</x:v>
      </x:c>
    </x:row>
    <x:row r="150" ht="23" customHeight="1">
      <x:c r="A150" s="4" t="str">
        <x:v>DataScopePolicy</x:v>
      </x:c>
      <x:c r="B150" s="4" t="str">
        <x:v>scopeType</x:v>
      </x:c>
      <x:c r="C150" s="17" t="str">
        <x:v>scopeType</x:v>
      </x:c>
      <x:c r="D150" s="4" t="str">
        <x:v>3</x:v>
      </x:c>
      <x:c r="E150" s="4" t="str">
        <x:v>Enum/String</x:v>
      </x:c>
      <x:c r="F150" s="4" t="str">
        <x:v>YES</x:v>
      </x:c>
      <x:c r="G150" s="4" t="str">
        <x:v>待M阶段冻结</x:v>
      </x:c>
      <x:c r="H150" s="17" t="str">
        <x:v>INTERNAL</x:v>
      </x:c>
      <x:c r="I150" s="17" t="str">
        <x:v>按资源权限与数据域访问；公开DTO另行白名单</x:v>
      </x:c>
      <x:c r="J150" s="17" t="str">
        <x:v>数据库实体不得直接序列化为响应</x:v>
      </x:c>
      <x:c r="K150" s="17" t="str">
        <x:v>DTO白名单；长度/枚举/归属/状态校验；禁止信任客户端派生值</x:v>
      </x:c>
      <x:c r="L150" s="17" t="str">
        <x:v>按实体version或审计日志保留变更证据</x:v>
      </x:c>
      <x:c r="M150" s="4" t="str">
        <x:v>M1</x:v>
      </x:c>
      <x:c r="N150" s="4" t="str">
        <x:v>待切片细化</x:v>
      </x:c>
      <x:c r="O150" s="4" t="str">
        <x:v>综合方案§13核心数据模型</x:v>
      </x:c>
      <x:c r="P150" s="4" t="str">
        <x:v>DRAFT_FROM_SCHEME</x:v>
      </x:c>
    </x:row>
    <x:row r="151" ht="23" customHeight="1">
      <x:c r="A151" s="4" t="str">
        <x:v>DataScopePolicy</x:v>
      </x:c>
      <x:c r="B151" s="4" t="str">
        <x:v>scopeRules</x:v>
      </x:c>
      <x:c r="C151" s="17" t="str">
        <x:v>scopeRules</x:v>
      </x:c>
      <x:c r="D151" s="4" t="str">
        <x:v>4</x:v>
      </x:c>
      <x:c r="E151" s="4" t="str">
        <x:v>Json</x:v>
      </x:c>
      <x:c r="F151" s="4" t="str">
        <x:v>YES</x:v>
      </x:c>
      <x:c r="G151" s="4" t="str">
        <x:v>待M阶段冻结</x:v>
      </x:c>
      <x:c r="H151" s="17" t="str">
        <x:v>INTERNAL</x:v>
      </x:c>
      <x:c r="I151" s="17" t="str">
        <x:v>按资源权限与数据域访问；公开DTO另行白名单</x:v>
      </x:c>
      <x:c r="J151" s="17" t="str">
        <x:v>数据库实体不得直接序列化为响应</x:v>
      </x:c>
      <x:c r="K151" s="17" t="str">
        <x:v>DTO白名单；长度/枚举/归属/状态校验；禁止信任客户端派生值</x:v>
      </x:c>
      <x:c r="L151" s="17" t="str">
        <x:v>按实体version或审计日志保留变更证据</x:v>
      </x:c>
      <x:c r="M151" s="4" t="str">
        <x:v>M1</x:v>
      </x:c>
      <x:c r="N151" s="4" t="str">
        <x:v>待切片细化</x:v>
      </x:c>
      <x:c r="O151" s="4" t="str">
        <x:v>综合方案§13核心数据模型</x:v>
      </x:c>
      <x:c r="P151" s="4" t="str">
        <x:v>DRAFT_FROM_SCHEME</x:v>
      </x:c>
    </x:row>
    <x:row r="152" ht="23" customHeight="1">
      <x:c r="A152" s="4" t="str">
        <x:v>FieldAccessPolicy</x:v>
      </x:c>
      <x:c r="B152" s="4" t="str">
        <x:v>id</x:v>
      </x:c>
      <x:c r="C152" s="17" t="str">
        <x:v>id</x:v>
      </x:c>
      <x:c r="D152" s="4" t="str">
        <x:v>1</x:v>
      </x:c>
      <x:c r="E152" s="4" t="str">
        <x:v>String/UUID</x:v>
      </x:c>
      <x:c r="F152" s="4" t="str">
        <x:v>YES</x:v>
      </x:c>
      <x:c r="G152" s="4" t="str">
        <x:v>待M阶段冻结</x:v>
      </x:c>
      <x:c r="H152" s="17" t="str">
        <x:v>INTERNAL</x:v>
      </x:c>
      <x:c r="I152" s="17" t="str">
        <x:v>按资源权限与数据域访问；公开DTO另行白名单</x:v>
      </x:c>
      <x:c r="J152" s="17" t="str">
        <x:v>数据库实体不得直接序列化为响应</x:v>
      </x:c>
      <x:c r="K152" s="17" t="str">
        <x:v>DTO白名单；长度/枚举/归属/状态校验；禁止信任客户端派生值</x:v>
      </x:c>
      <x:c r="L152" s="17" t="str">
        <x:v>按实体version或审计日志保留变更证据</x:v>
      </x:c>
      <x:c r="M152" s="4" t="str">
        <x:v>M1</x:v>
      </x:c>
      <x:c r="N152" s="4" t="str">
        <x:v>P0-046,P0-047</x:v>
      </x:c>
      <x:c r="O152" s="4" t="str">
        <x:v>综合方案§13核心数据模型</x:v>
      </x:c>
      <x:c r="P152" s="4" t="str">
        <x:v>DRAFT_FROM_SCHEME</x:v>
      </x:c>
    </x:row>
    <x:row r="153" ht="23" customHeight="1">
      <x:c r="A153" s="4" t="str">
        <x:v>FieldAccessPolicy</x:v>
      </x:c>
      <x:c r="B153" s="4" t="str">
        <x:v>functionalAccountId</x:v>
      </x:c>
      <x:c r="C153" s="17" t="str">
        <x:v>functionalAccountId</x:v>
      </x:c>
      <x:c r="D153" s="4" t="str">
        <x:v>2</x:v>
      </x:c>
      <x:c r="E153" s="4" t="str">
        <x:v>String/UUID</x:v>
      </x:c>
      <x:c r="F153" s="4" t="str">
        <x:v>YES</x:v>
      </x:c>
      <x:c r="G153" s="4" t="str">
        <x:v>待M阶段冻结</x:v>
      </x:c>
      <x:c r="H153" s="17" t="str">
        <x:v>INTERNAL</x:v>
      </x:c>
      <x:c r="I153" s="17" t="str">
        <x:v>按资源权限与数据域访问；公开DTO另行白名单</x:v>
      </x:c>
      <x:c r="J153" s="17" t="str">
        <x:v>数据库实体不得直接序列化为响应</x:v>
      </x:c>
      <x:c r="K153" s="17" t="str">
        <x:v>DTO白名单；长度/枚举/归属/状态校验；禁止信任客户端派生值</x:v>
      </x:c>
      <x:c r="L153" s="17" t="str">
        <x:v>按实体version或审计日志保留变更证据</x:v>
      </x:c>
      <x:c r="M153" s="4" t="str">
        <x:v>M1</x:v>
      </x:c>
      <x:c r="N153" s="4" t="str">
        <x:v>P0-046,P0-047</x:v>
      </x:c>
      <x:c r="O153" s="4" t="str">
        <x:v>综合方案§13核心数据模型</x:v>
      </x:c>
      <x:c r="P153" s="4" t="str">
        <x:v>DRAFT_FROM_SCHEME</x:v>
      </x:c>
    </x:row>
    <x:row r="154" ht="23" customHeight="1">
      <x:c r="A154" s="4" t="str">
        <x:v>FieldAccessPolicy</x:v>
      </x:c>
      <x:c r="B154" s="4" t="str">
        <x:v>resource</x:v>
      </x:c>
      <x:c r="C154" s="17" t="str">
        <x:v>resource</x:v>
      </x:c>
      <x:c r="D154" s="4" t="str">
        <x:v>3</x:v>
      </x:c>
      <x:c r="E154" s="4" t="str">
        <x:v>String</x:v>
      </x:c>
      <x:c r="F154" s="4" t="str">
        <x:v>YES</x:v>
      </x:c>
      <x:c r="G154" s="4" t="str">
        <x:v>待M阶段冻结</x:v>
      </x:c>
      <x:c r="H154" s="17" t="str">
        <x:v>INTERNAL</x:v>
      </x:c>
      <x:c r="I154" s="17" t="str">
        <x:v>按资源权限与数据域访问；公开DTO另行白名单</x:v>
      </x:c>
      <x:c r="J154" s="17" t="str">
        <x:v>数据库实体不得直接序列化为响应</x:v>
      </x:c>
      <x:c r="K154" s="17" t="str">
        <x:v>DTO白名单；长度/枚举/归属/状态校验；禁止信任客户端派生值</x:v>
      </x:c>
      <x:c r="L154" s="17" t="str">
        <x:v>按实体version或审计日志保留变更证据</x:v>
      </x:c>
      <x:c r="M154" s="4" t="str">
        <x:v>M1</x:v>
      </x:c>
      <x:c r="N154" s="4" t="str">
        <x:v>P0-046,P0-047</x:v>
      </x:c>
      <x:c r="O154" s="4" t="str">
        <x:v>综合方案§13核心数据模型</x:v>
      </x:c>
      <x:c r="P154" s="4" t="str">
        <x:v>DRAFT_FROM_SCHEME</x:v>
      </x:c>
    </x:row>
    <x:row r="155" ht="23" customHeight="1">
      <x:c r="A155" s="4" t="str">
        <x:v>FieldAccessPolicy</x:v>
      </x:c>
      <x:c r="B155" s="4" t="str">
        <x:v>fieldGroup</x:v>
      </x:c>
      <x:c r="C155" s="17" t="str">
        <x:v>fieldGroup</x:v>
      </x:c>
      <x:c r="D155" s="4" t="str">
        <x:v>4</x:v>
      </x:c>
      <x:c r="E155" s="4" t="str">
        <x:v>String</x:v>
      </x:c>
      <x:c r="F155" s="4" t="str">
        <x:v>YES</x:v>
      </x:c>
      <x:c r="G155" s="4" t="str">
        <x:v>待M阶段冻结</x:v>
      </x:c>
      <x:c r="H155" s="17" t="str">
        <x:v>INTERNAL</x:v>
      </x:c>
      <x:c r="I155" s="17" t="str">
        <x:v>按资源权限与数据域访问；公开DTO另行白名单</x:v>
      </x:c>
      <x:c r="J155" s="17" t="str">
        <x:v>数据库实体不得直接序列化为响应</x:v>
      </x:c>
      <x:c r="K155" s="17" t="str">
        <x:v>DTO白名单；长度/枚举/归属/状态校验；禁止信任客户端派生值</x:v>
      </x:c>
      <x:c r="L155" s="17" t="str">
        <x:v>按实体version或审计日志保留变更证据</x:v>
      </x:c>
      <x:c r="M155" s="4" t="str">
        <x:v>M1</x:v>
      </x:c>
      <x:c r="N155" s="4" t="str">
        <x:v>P0-046,P0-047</x:v>
      </x:c>
      <x:c r="O155" s="4" t="str">
        <x:v>综合方案§13核心数据模型</x:v>
      </x:c>
      <x:c r="P155" s="4" t="str">
        <x:v>DRAFT_FROM_SCHEME</x:v>
      </x:c>
    </x:row>
    <x:row r="156" ht="23" customHeight="1">
      <x:c r="A156" s="4" t="str">
        <x:v>FieldAccessPolicy</x:v>
      </x:c>
      <x:c r="B156" s="4" t="str">
        <x:v>accessMode</x:v>
      </x:c>
      <x:c r="C156" s="17" t="str">
        <x:v>accessMode</x:v>
      </x:c>
      <x:c r="D156" s="4" t="str">
        <x:v>5</x:v>
      </x:c>
      <x:c r="E156" s="4" t="str">
        <x:v>Enum/String</x:v>
      </x:c>
      <x:c r="F156" s="4" t="str">
        <x:v>YES</x:v>
      </x:c>
      <x:c r="G156" s="4" t="str">
        <x:v>待M阶段冻结</x:v>
      </x:c>
      <x:c r="H156" s="17" t="str">
        <x:v>INTERNAL</x:v>
      </x:c>
      <x:c r="I156" s="17" t="str">
        <x:v>按资源权限与数据域访问；公开DTO另行白名单</x:v>
      </x:c>
      <x:c r="J156" s="17" t="str">
        <x:v>数据库实体不得直接序列化为响应</x:v>
      </x:c>
      <x:c r="K156" s="17" t="str">
        <x:v>DTO白名单；长度/枚举/归属/状态校验；禁止信任客户端派生值</x:v>
      </x:c>
      <x:c r="L156" s="17" t="str">
        <x:v>按实体version或审计日志保留变更证据</x:v>
      </x:c>
      <x:c r="M156" s="4" t="str">
        <x:v>M1</x:v>
      </x:c>
      <x:c r="N156" s="4" t="str">
        <x:v>P0-046,P0-047</x:v>
      </x:c>
      <x:c r="O156" s="4" t="str">
        <x:v>综合方案§13核心数据模型</x:v>
      </x:c>
      <x:c r="P156" s="4" t="str">
        <x:v>DRAFT_FROM_SCHEME</x:v>
      </x:c>
    </x:row>
    <x:row r="157" ht="23" customHeight="1">
      <x:c r="A157" s="4" t="str">
        <x:v>AuthSession</x:v>
      </x:c>
      <x:c r="B157" s="4" t="str">
        <x:v>id</x:v>
      </x:c>
      <x:c r="C157" s="17" t="str">
        <x:v>id</x:v>
      </x:c>
      <x:c r="D157" s="4" t="str">
        <x:v>1</x:v>
      </x:c>
      <x:c r="E157" s="4" t="str">
        <x:v>String/UUID</x:v>
      </x:c>
      <x:c r="F157" s="4" t="str">
        <x:v>YES</x:v>
      </x:c>
      <x:c r="G157" s="4" t="str">
        <x:v>待M阶段冻结</x:v>
      </x:c>
      <x:c r="H157" s="17" t="str">
        <x:v>INTERNAL</x:v>
      </x:c>
      <x:c r="I157" s="17" t="str">
        <x:v>按资源权限与数据域访问；公开DTO另行白名单</x:v>
      </x:c>
      <x:c r="J157" s="17" t="str">
        <x:v>数据库实体不得直接序列化为响应</x:v>
      </x:c>
      <x:c r="K157" s="17" t="str">
        <x:v>DTO白名单；长度/枚举/归属/状态校验；禁止信任客户端派生值</x:v>
      </x:c>
      <x:c r="L157" s="17" t="str">
        <x:v>按实体version或审计日志保留变更证据</x:v>
      </x:c>
      <x:c r="M157" s="4" t="str">
        <x:v>M1</x:v>
      </x:c>
      <x:c r="N157" s="4" t="str">
        <x:v>待切片细化</x:v>
      </x:c>
      <x:c r="O157" s="4" t="str">
        <x:v>综合方案§13核心数据模型</x:v>
      </x:c>
      <x:c r="P157" s="4" t="str">
        <x:v>DRAFT_FROM_SCHEME</x:v>
      </x:c>
    </x:row>
    <x:row r="158" ht="23" customHeight="1">
      <x:c r="A158" s="4" t="str">
        <x:v>AuthSession</x:v>
      </x:c>
      <x:c r="B158" s="4" t="str">
        <x:v>userType</x:v>
      </x:c>
      <x:c r="C158" s="17" t="str">
        <x:v>userType</x:v>
      </x:c>
      <x:c r="D158" s="4" t="str">
        <x:v>2</x:v>
      </x:c>
      <x:c r="E158" s="4" t="str">
        <x:v>Enum/String</x:v>
      </x:c>
      <x:c r="F158" s="4" t="str">
        <x:v>YES</x:v>
      </x:c>
      <x:c r="G158" s="4" t="str">
        <x:v>待M阶段冻结</x:v>
      </x:c>
      <x:c r="H158" s="17" t="str">
        <x:v>INTERNAL</x:v>
      </x:c>
      <x:c r="I158" s="17" t="str">
        <x:v>按资源权限与数据域访问；公开DTO另行白名单</x:v>
      </x:c>
      <x:c r="J158" s="17" t="str">
        <x:v>数据库实体不得直接序列化为响应</x:v>
      </x:c>
      <x:c r="K158" s="17" t="str">
        <x:v>DTO白名单；长度/枚举/归属/状态校验；禁止信任客户端派生值</x:v>
      </x:c>
      <x:c r="L158" s="17" t="str">
        <x:v>按实体version或审计日志保留变更证据</x:v>
      </x:c>
      <x:c r="M158" s="4" t="str">
        <x:v>M1</x:v>
      </x:c>
      <x:c r="N158" s="4" t="str">
        <x:v>待切片细化</x:v>
      </x:c>
      <x:c r="O158" s="4" t="str">
        <x:v>综合方案§13核心数据模型</x:v>
      </x:c>
      <x:c r="P158" s="4" t="str">
        <x:v>DRAFT_FROM_SCHEME</x:v>
      </x:c>
    </x:row>
    <x:row r="159" ht="23" customHeight="1">
      <x:c r="A159" s="4" t="str">
        <x:v>AuthSession</x:v>
      </x:c>
      <x:c r="B159" s="4" t="str">
        <x:v>userId</x:v>
      </x:c>
      <x:c r="C159" s="17" t="str">
        <x:v>userId</x:v>
      </x:c>
      <x:c r="D159" s="4" t="str">
        <x:v>3</x:v>
      </x:c>
      <x:c r="E159" s="4" t="str">
        <x:v>String/UUID</x:v>
      </x:c>
      <x:c r="F159" s="4" t="str">
        <x:v>YES</x:v>
      </x:c>
      <x:c r="G159" s="4" t="str">
        <x:v>待M阶段冻结</x:v>
      </x:c>
      <x:c r="H159" s="17" t="str">
        <x:v>INTERNAL</x:v>
      </x:c>
      <x:c r="I159" s="17" t="str">
        <x:v>按资源权限与数据域访问；公开DTO另行白名单</x:v>
      </x:c>
      <x:c r="J159" s="17" t="str">
        <x:v>数据库实体不得直接序列化为响应</x:v>
      </x:c>
      <x:c r="K159" s="17" t="str">
        <x:v>DTO白名单；长度/枚举/归属/状态校验；禁止信任客户端派生值</x:v>
      </x:c>
      <x:c r="L159" s="17" t="str">
        <x:v>按实体version或审计日志保留变更证据</x:v>
      </x:c>
      <x:c r="M159" s="4" t="str">
        <x:v>M1</x:v>
      </x:c>
      <x:c r="N159" s="4" t="str">
        <x:v>待切片细化</x:v>
      </x:c>
      <x:c r="O159" s="4" t="str">
        <x:v>综合方案§13核心数据模型</x:v>
      </x:c>
      <x:c r="P159" s="4" t="str">
        <x:v>DRAFT_FROM_SCHEME</x:v>
      </x:c>
    </x:row>
    <x:row r="160" ht="23" customHeight="1">
      <x:c r="A160" s="4" t="str">
        <x:v>AuthSession</x:v>
      </x:c>
      <x:c r="B160" s="4" t="str">
        <x:v>functionalAccountId</x:v>
      </x:c>
      <x:c r="C160" s="17" t="str">
        <x:v>functionalAccountId</x:v>
      </x:c>
      <x:c r="D160" s="4" t="str">
        <x:v>4</x:v>
      </x:c>
      <x:c r="E160" s="4" t="str">
        <x:v>String/UUID</x:v>
      </x:c>
      <x:c r="F160" s="4" t="str">
        <x:v>YES</x:v>
      </x:c>
      <x:c r="G160" s="4" t="str">
        <x:v>待M阶段冻结</x:v>
      </x:c>
      <x:c r="H160" s="17" t="str">
        <x:v>INTERNAL</x:v>
      </x:c>
      <x:c r="I160" s="17" t="str">
        <x:v>按资源权限与数据域访问；公开DTO另行白名单</x:v>
      </x:c>
      <x:c r="J160" s="17" t="str">
        <x:v>数据库实体不得直接序列化为响应</x:v>
      </x:c>
      <x:c r="K160" s="17" t="str">
        <x:v>DTO白名单；长度/枚举/归属/状态校验；禁止信任客户端派生值</x:v>
      </x:c>
      <x:c r="L160" s="17" t="str">
        <x:v>按实体version或审计日志保留变更证据</x:v>
      </x:c>
      <x:c r="M160" s="4" t="str">
        <x:v>M1</x:v>
      </x:c>
      <x:c r="N160" s="4" t="str">
        <x:v>待切片细化</x:v>
      </x:c>
      <x:c r="O160" s="4" t="str">
        <x:v>综合方案§13核心数据模型</x:v>
      </x:c>
      <x:c r="P160" s="4" t="str">
        <x:v>DRAFT_FROM_SCHEME</x:v>
      </x:c>
    </x:row>
    <x:row r="161" ht="23" customHeight="1">
      <x:c r="A161" s="4" t="str">
        <x:v>AuthSession</x:v>
      </x:c>
      <x:c r="B161" s="4" t="str">
        <x:v>workspaceRoute</x:v>
      </x:c>
      <x:c r="C161" s="17" t="str">
        <x:v>workspaceRoute</x:v>
      </x:c>
      <x:c r="D161" s="4" t="str">
        <x:v>5</x:v>
      </x:c>
      <x:c r="E161" s="4" t="str">
        <x:v>String</x:v>
      </x:c>
      <x:c r="F161" s="4" t="str">
        <x:v>YES</x:v>
      </x:c>
      <x:c r="G161" s="4" t="str">
        <x:v>待M阶段冻结</x:v>
      </x:c>
      <x:c r="H161" s="17" t="str">
        <x:v>INTERNAL</x:v>
      </x:c>
      <x:c r="I161" s="17" t="str">
        <x:v>按资源权限与数据域访问；公开DTO另行白名单</x:v>
      </x:c>
      <x:c r="J161" s="17" t="str">
        <x:v>数据库实体不得直接序列化为响应</x:v>
      </x:c>
      <x:c r="K161" s="17" t="str">
        <x:v>DTO白名单；长度/枚举/归属/状态校验；禁止信任客户端派生值</x:v>
      </x:c>
      <x:c r="L161" s="17" t="str">
        <x:v>按实体version或审计日志保留变更证据</x:v>
      </x:c>
      <x:c r="M161" s="4" t="str">
        <x:v>M1</x:v>
      </x:c>
      <x:c r="N161" s="4" t="str">
        <x:v>待切片细化</x:v>
      </x:c>
      <x:c r="O161" s="4" t="str">
        <x:v>综合方案§13核心数据模型</x:v>
      </x:c>
      <x:c r="P161" s="4" t="str">
        <x:v>DRAFT_FROM_SCHEME</x:v>
      </x:c>
    </x:row>
    <x:row r="162" ht="23" customHeight="1">
      <x:c r="A162" s="4" t="str">
        <x:v>AuthSession</x:v>
      </x:c>
      <x:c r="B162" s="4" t="str">
        <x:v>sessionHash</x:v>
      </x:c>
      <x:c r="C162" s="17" t="str">
        <x:v>sessionHash</x:v>
      </x:c>
      <x:c r="D162" s="4" t="str">
        <x:v>6</x:v>
      </x:c>
      <x:c r="E162" s="4" t="str">
        <x:v>String</x:v>
      </x:c>
      <x:c r="F162" s="4" t="str">
        <x:v>YES</x:v>
      </x:c>
      <x:c r="G162" s="4" t="str">
        <x:v>待M阶段冻结</x:v>
      </x:c>
      <x:c r="H162" s="17" t="str">
        <x:v>SECRET_OR_CREDENTIAL</x:v>
      </x:c>
      <x:c r="I162" s="17" t="str">
        <x:v>仅后端最小权限读取，响应永不返回</x:v>
      </x:c>
      <x:c r="J162" s="17" t="str">
        <x:v>禁止提交、日志、快照和前端下发</x:v>
      </x:c>
      <x:c r="K162" s="17" t="str">
        <x:v>DTO白名单；长度/枚举/归属/状态校验；禁止信任客户端派生值</x:v>
      </x:c>
      <x:c r="L162" s="17" t="str">
        <x:v>按实体version或审计日志保留变更证据</x:v>
      </x:c>
      <x:c r="M162" s="4" t="str">
        <x:v>M1</x:v>
      </x:c>
      <x:c r="N162" s="4" t="str">
        <x:v>待切片细化</x:v>
      </x:c>
      <x:c r="O162" s="4" t="str">
        <x:v>综合方案§13核心数据模型</x:v>
      </x:c>
      <x:c r="P162" s="4" t="str">
        <x:v>DRAFT_FROM_SCHEME</x:v>
      </x:c>
    </x:row>
    <x:row r="163" ht="23" customHeight="1">
      <x:c r="A163" s="4" t="str">
        <x:v>AuthSession</x:v>
      </x:c>
      <x:c r="B163" s="4" t="str">
        <x:v>deviceInfo</x:v>
      </x:c>
      <x:c r="C163" s="17" t="str">
        <x:v>deviceInfo</x:v>
      </x:c>
      <x:c r="D163" s="4" t="str">
        <x:v>7</x:v>
      </x:c>
      <x:c r="E163" s="4" t="str">
        <x:v>Json</x:v>
      </x:c>
      <x:c r="F163" s="4" t="str">
        <x:v>YES</x:v>
      </x:c>
      <x:c r="G163" s="4" t="str">
        <x:v>待M阶段冻结</x:v>
      </x:c>
      <x:c r="H163" s="17" t="str">
        <x:v>INTERNAL</x:v>
      </x:c>
      <x:c r="I163" s="17" t="str">
        <x:v>按资源权限与数据域访问；公开DTO另行白名单</x:v>
      </x:c>
      <x:c r="J163" s="17" t="str">
        <x:v>数据库实体不得直接序列化为响应</x:v>
      </x:c>
      <x:c r="K163" s="17" t="str">
        <x:v>DTO白名单；长度/枚举/归属/状态校验；禁止信任客户端派生值</x:v>
      </x:c>
      <x:c r="L163" s="17" t="str">
        <x:v>按实体version或审计日志保留变更证据</x:v>
      </x:c>
      <x:c r="M163" s="4" t="str">
        <x:v>M1</x:v>
      </x:c>
      <x:c r="N163" s="4" t="str">
        <x:v>待切片细化</x:v>
      </x:c>
      <x:c r="O163" s="4" t="str">
        <x:v>综合方案§13核心数据模型</x:v>
      </x:c>
      <x:c r="P163" s="4" t="str">
        <x:v>DRAFT_FROM_SCHEME</x:v>
      </x:c>
    </x:row>
    <x:row r="164" ht="23" customHeight="1">
      <x:c r="A164" s="4" t="str">
        <x:v>AuthSession</x:v>
      </x:c>
      <x:c r="B164" s="4" t="str">
        <x:v>ip</x:v>
      </x:c>
      <x:c r="C164" s="17" t="str">
        <x:v>ip</x:v>
      </x:c>
      <x:c r="D164" s="4" t="str">
        <x:v>8</x:v>
      </x:c>
      <x:c r="E164" s="4" t="str">
        <x:v>String</x:v>
      </x:c>
      <x:c r="F164" s="4" t="str">
        <x:v>YES</x:v>
      </x:c>
      <x:c r="G164" s="4" t="str">
        <x:v>待M阶段冻结</x:v>
      </x:c>
      <x:c r="H164" s="17" t="str">
        <x:v>PERSONAL_OR_SENSITIVE</x:v>
      </x:c>
      <x:c r="I164" s="17" t="str">
        <x:v>按角色、对象归属及配送阶段脱敏/解密</x:v>
      </x:c>
      <x:c r="J164" s="17" t="str">
        <x:v>禁止跨供应商、越阶段或批量无审批导出</x:v>
      </x:c>
      <x:c r="K164" s="17" t="str">
        <x:v>DTO白名单；长度/枚举/归属/状态校验；禁止信任客户端派生值</x:v>
      </x:c>
      <x:c r="L164" s="17" t="str">
        <x:v>按实体version或审计日志保留变更证据</x:v>
      </x:c>
      <x:c r="M164" s="4" t="str">
        <x:v>M1</x:v>
      </x:c>
      <x:c r="N164" s="4" t="str">
        <x:v>待切片细化</x:v>
      </x:c>
      <x:c r="O164" s="4" t="str">
        <x:v>综合方案§13核心数据模型</x:v>
      </x:c>
      <x:c r="P164" s="4" t="str">
        <x:v>DRAFT_FROM_SCHEME</x:v>
      </x:c>
    </x:row>
    <x:row r="165" ht="23" customHeight="1">
      <x:c r="A165" s="4" t="str">
        <x:v>AuthSession</x:v>
      </x:c>
      <x:c r="B165" s="4" t="str">
        <x:v>expiresAt</x:v>
      </x:c>
      <x:c r="C165" s="17" t="str">
        <x:v>expiresAt</x:v>
      </x:c>
      <x:c r="D165" s="4" t="str">
        <x:v>9</x:v>
      </x:c>
      <x:c r="E165" s="4" t="str">
        <x:v>DateTime</x:v>
      </x:c>
      <x:c r="F165" s="4" t="str">
        <x:v>YES</x:v>
      </x:c>
      <x:c r="G165" s="4" t="str">
        <x:v>ISO-8601+明确时区</x:v>
      </x:c>
      <x:c r="H165" s="17" t="str">
        <x:v>INTERNAL</x:v>
      </x:c>
      <x:c r="I165" s="17" t="str">
        <x:v>按资源权限与数据域访问；公开DTO另行白名单</x:v>
      </x:c>
      <x:c r="J165" s="17" t="str">
        <x:v>数据库实体不得直接序列化为响应</x:v>
      </x:c>
      <x:c r="K165" s="17" t="str">
        <x:v>DTO白名单；长度/枚举/归属/状态校验；禁止信任客户端派生值</x:v>
      </x:c>
      <x:c r="L165" s="17" t="str">
        <x:v>按实体version或审计日志保留变更证据</x:v>
      </x:c>
      <x:c r="M165" s="4" t="str">
        <x:v>M1</x:v>
      </x:c>
      <x:c r="N165" s="4" t="str">
        <x:v>待切片细化</x:v>
      </x:c>
      <x:c r="O165" s="4" t="str">
        <x:v>综合方案§13核心数据模型</x:v>
      </x:c>
      <x:c r="P165" s="4" t="str">
        <x:v>DRAFT_FROM_SCHEME</x:v>
      </x:c>
    </x:row>
    <x:row r="166" ht="23" customHeight="1">
      <x:c r="A166" s="4" t="str">
        <x:v>AuthSession</x:v>
      </x:c>
      <x:c r="B166" s="4" t="str">
        <x:v>revokedAt</x:v>
      </x:c>
      <x:c r="C166" s="17" t="str">
        <x:v>revokedAt?</x:v>
      </x:c>
      <x:c r="D166" s="4" t="str">
        <x:v>10</x:v>
      </x:c>
      <x:c r="E166" s="4" t="str">
        <x:v>DateTime</x:v>
      </x:c>
      <x:c r="F166" s="4" t="str">
        <x:v>NO</x:v>
      </x:c>
      <x:c r="G166" s="4" t="str">
        <x:v>ISO-8601+明确时区</x:v>
      </x:c>
      <x:c r="H166" s="17" t="str">
        <x:v>INTERNAL</x:v>
      </x:c>
      <x:c r="I166" s="17" t="str">
        <x:v>按资源权限与数据域访问；公开DTO另行白名单</x:v>
      </x:c>
      <x:c r="J166" s="17" t="str">
        <x:v>数据库实体不得直接序列化为响应</x:v>
      </x:c>
      <x:c r="K166" s="17" t="str">
        <x:v>DTO白名单；长度/枚举/归属/状态校验；禁止信任客户端派生值</x:v>
      </x:c>
      <x:c r="L166" s="17" t="str">
        <x:v>按实体version或审计日志保留变更证据</x:v>
      </x:c>
      <x:c r="M166" s="4" t="str">
        <x:v>M1</x:v>
      </x:c>
      <x:c r="N166" s="4" t="str">
        <x:v>待切片细化</x:v>
      </x:c>
      <x:c r="O166" s="4" t="str">
        <x:v>综合方案§13核心数据模型</x:v>
      </x:c>
      <x:c r="P166" s="4" t="str">
        <x:v>DRAFT_FROM_SCHEME</x:v>
      </x:c>
    </x:row>
    <x:row r="167" ht="23" customHeight="1">
      <x:c r="A167" s="4" t="str">
        <x:v>LoginAudit</x:v>
      </x:c>
      <x:c r="B167" s="4" t="str">
        <x:v>id</x:v>
      </x:c>
      <x:c r="C167" s="17" t="str">
        <x:v>id</x:v>
      </x:c>
      <x:c r="D167" s="4" t="str">
        <x:v>1</x:v>
      </x:c>
      <x:c r="E167" s="4" t="str">
        <x:v>String/UUID</x:v>
      </x:c>
      <x:c r="F167" s="4" t="str">
        <x:v>YES</x:v>
      </x:c>
      <x:c r="G167" s="4" t="str">
        <x:v>待M阶段冻结</x:v>
      </x:c>
      <x:c r="H167" s="17" t="str">
        <x:v>INTERNAL</x:v>
      </x:c>
      <x:c r="I167" s="17" t="str">
        <x:v>按资源权限与数据域访问；公开DTO另行白名单</x:v>
      </x:c>
      <x:c r="J167" s="17" t="str">
        <x:v>数据库实体不得直接序列化为响应</x:v>
      </x:c>
      <x:c r="K167" s="17" t="str">
        <x:v>DTO白名单；长度/枚举/归属/状态校验；禁止信任客户端派生值</x:v>
      </x:c>
      <x:c r="L167" s="17" t="str">
        <x:v>追加/版本/快照，不覆盖已生效历史</x:v>
      </x:c>
      <x:c r="M167" s="4" t="str">
        <x:v>M1</x:v>
      </x:c>
      <x:c r="N167" s="4" t="str">
        <x:v>待切片细化</x:v>
      </x:c>
      <x:c r="O167" s="4" t="str">
        <x:v>综合方案§13核心数据模型</x:v>
      </x:c>
      <x:c r="P167" s="4" t="str">
        <x:v>DRAFT_FROM_SCHEME</x:v>
      </x:c>
    </x:row>
    <x:row r="168" ht="23" customHeight="1">
      <x:c r="A168" s="4" t="str">
        <x:v>LoginAudit</x:v>
      </x:c>
      <x:c r="B168" s="4" t="str">
        <x:v>userType</x:v>
      </x:c>
      <x:c r="C168" s="17" t="str">
        <x:v>userType</x:v>
      </x:c>
      <x:c r="D168" s="4" t="str">
        <x:v>2</x:v>
      </x:c>
      <x:c r="E168" s="4" t="str">
        <x:v>Enum/String</x:v>
      </x:c>
      <x:c r="F168" s="4" t="str">
        <x:v>YES</x:v>
      </x:c>
      <x:c r="G168" s="4" t="str">
        <x:v>待M阶段冻结</x:v>
      </x:c>
      <x:c r="H168" s="17" t="str">
        <x:v>INTERNAL</x:v>
      </x:c>
      <x:c r="I168" s="17" t="str">
        <x:v>按资源权限与数据域访问；公开DTO另行白名单</x:v>
      </x:c>
      <x:c r="J168" s="17" t="str">
        <x:v>数据库实体不得直接序列化为响应</x:v>
      </x:c>
      <x:c r="K168" s="17" t="str">
        <x:v>DTO白名单；长度/枚举/归属/状态校验；禁止信任客户端派生值</x:v>
      </x:c>
      <x:c r="L168" s="17" t="str">
        <x:v>追加/版本/快照，不覆盖已生效历史</x:v>
      </x:c>
      <x:c r="M168" s="4" t="str">
        <x:v>M1</x:v>
      </x:c>
      <x:c r="N168" s="4" t="str">
        <x:v>待切片细化</x:v>
      </x:c>
      <x:c r="O168" s="4" t="str">
        <x:v>综合方案§13核心数据模型</x:v>
      </x:c>
      <x:c r="P168" s="4" t="str">
        <x:v>DRAFT_FROM_SCHEME</x:v>
      </x:c>
    </x:row>
    <x:row r="169" ht="23" customHeight="1">
      <x:c r="A169" s="4" t="str">
        <x:v>LoginAudit</x:v>
      </x:c>
      <x:c r="B169" s="4" t="str">
        <x:v>userId</x:v>
      </x:c>
      <x:c r="C169" s="17" t="str">
        <x:v>userId?</x:v>
      </x:c>
      <x:c r="D169" s="4" t="str">
        <x:v>3</x:v>
      </x:c>
      <x:c r="E169" s="4" t="str">
        <x:v>String/UUID</x:v>
      </x:c>
      <x:c r="F169" s="4" t="str">
        <x:v>NO</x:v>
      </x:c>
      <x:c r="G169" s="4" t="str">
        <x:v>待M阶段冻结</x:v>
      </x:c>
      <x:c r="H169" s="17" t="str">
        <x:v>INTERNAL</x:v>
      </x:c>
      <x:c r="I169" s="17" t="str">
        <x:v>按资源权限与数据域访问；公开DTO另行白名单</x:v>
      </x:c>
      <x:c r="J169" s="17" t="str">
        <x:v>数据库实体不得直接序列化为响应</x:v>
      </x:c>
      <x:c r="K169" s="17" t="str">
        <x:v>DTO白名单；长度/枚举/归属/状态校验；禁止信任客户端派生值</x:v>
      </x:c>
      <x:c r="L169" s="17" t="str">
        <x:v>追加/版本/快照，不覆盖已生效历史</x:v>
      </x:c>
      <x:c r="M169" s="4" t="str">
        <x:v>M1</x:v>
      </x:c>
      <x:c r="N169" s="4" t="str">
        <x:v>待切片细化</x:v>
      </x:c>
      <x:c r="O169" s="4" t="str">
        <x:v>综合方案§13核心数据模型</x:v>
      </x:c>
      <x:c r="P169" s="4" t="str">
        <x:v>DRAFT_FROM_SCHEME</x:v>
      </x:c>
    </x:row>
    <x:row r="170" ht="23" customHeight="1">
      <x:c r="A170" s="4" t="str">
        <x:v>LoginAudit</x:v>
      </x:c>
      <x:c r="B170" s="4" t="str">
        <x:v>functionalAccountId</x:v>
      </x:c>
      <x:c r="C170" s="17" t="str">
        <x:v>functionalAccountId?</x:v>
      </x:c>
      <x:c r="D170" s="4" t="str">
        <x:v>4</x:v>
      </x:c>
      <x:c r="E170" s="4" t="str">
        <x:v>String/UUID</x:v>
      </x:c>
      <x:c r="F170" s="4" t="str">
        <x:v>NO</x:v>
      </x:c>
      <x:c r="G170" s="4" t="str">
        <x:v>待M阶段冻结</x:v>
      </x:c>
      <x:c r="H170" s="17" t="str">
        <x:v>INTERNAL</x:v>
      </x:c>
      <x:c r="I170" s="17" t="str">
        <x:v>按资源权限与数据域访问；公开DTO另行白名单</x:v>
      </x:c>
      <x:c r="J170" s="17" t="str">
        <x:v>数据库实体不得直接序列化为响应</x:v>
      </x:c>
      <x:c r="K170" s="17" t="str">
        <x:v>DTO白名单；长度/枚举/归属/状态校验；禁止信任客户端派生值</x:v>
      </x:c>
      <x:c r="L170" s="17" t="str">
        <x:v>追加/版本/快照，不覆盖已生效历史</x:v>
      </x:c>
      <x:c r="M170" s="4" t="str">
        <x:v>M1</x:v>
      </x:c>
      <x:c r="N170" s="4" t="str">
        <x:v>待切片细化</x:v>
      </x:c>
      <x:c r="O170" s="4" t="str">
        <x:v>综合方案§13核心数据模型</x:v>
      </x:c>
      <x:c r="P170" s="4" t="str">
        <x:v>DRAFT_FROM_SCHEME</x:v>
      </x:c>
    </x:row>
    <x:row r="171" ht="23" customHeight="1">
      <x:c r="A171" s="4" t="str">
        <x:v>LoginAudit</x:v>
      </x:c>
      <x:c r="B171" s="4" t="str">
        <x:v>loginAccountHash</x:v>
      </x:c>
      <x:c r="C171" s="17" t="str">
        <x:v>loginAccountHash</x:v>
      </x:c>
      <x:c r="D171" s="4" t="str">
        <x:v>5</x:v>
      </x:c>
      <x:c r="E171" s="4" t="str">
        <x:v>Int</x:v>
      </x:c>
      <x:c r="F171" s="4" t="str">
        <x:v>YES</x:v>
      </x:c>
      <x:c r="G171" s="4" t="str">
        <x:v>待M阶段冻结</x:v>
      </x:c>
      <x:c r="H171" s="17" t="str">
        <x:v>INTERNAL</x:v>
      </x:c>
      <x:c r="I171" s="17" t="str">
        <x:v>按资源权限与数据域访问；公开DTO另行白名单</x:v>
      </x:c>
      <x:c r="J171" s="17" t="str">
        <x:v>数据库实体不得直接序列化为响应</x:v>
      </x:c>
      <x:c r="K171" s="17" t="str">
        <x:v>DTO白名单；长度/枚举/归属/状态校验；禁止信任客户端派生值</x:v>
      </x:c>
      <x:c r="L171" s="17" t="str">
        <x:v>追加/版本/快照，不覆盖已生效历史</x:v>
      </x:c>
      <x:c r="M171" s="4" t="str">
        <x:v>M1</x:v>
      </x:c>
      <x:c r="N171" s="4" t="str">
        <x:v>待切片细化</x:v>
      </x:c>
      <x:c r="O171" s="4" t="str">
        <x:v>综合方案§13核心数据模型</x:v>
      </x:c>
      <x:c r="P171" s="4" t="str">
        <x:v>DRAFT_FROM_SCHEME</x:v>
      </x:c>
    </x:row>
    <x:row r="172" ht="23" customHeight="1">
      <x:c r="A172" s="4" t="str">
        <x:v>LoginAudit</x:v>
      </x:c>
      <x:c r="B172" s="4" t="str">
        <x:v>result</x:v>
      </x:c>
      <x:c r="C172" s="17" t="str">
        <x:v>result</x:v>
      </x:c>
      <x:c r="D172" s="4" t="str">
        <x:v>6</x:v>
      </x:c>
      <x:c r="E172" s="4" t="str">
        <x:v>String</x:v>
      </x:c>
      <x:c r="F172" s="4" t="str">
        <x:v>YES</x:v>
      </x:c>
      <x:c r="G172" s="4" t="str">
        <x:v>待M阶段冻结</x:v>
      </x:c>
      <x:c r="H172" s="17" t="str">
        <x:v>INTERNAL</x:v>
      </x:c>
      <x:c r="I172" s="17" t="str">
        <x:v>按资源权限与数据域访问；公开DTO另行白名单</x:v>
      </x:c>
      <x:c r="J172" s="17" t="str">
        <x:v>数据库实体不得直接序列化为响应</x:v>
      </x:c>
      <x:c r="K172" s="17" t="str">
        <x:v>DTO白名单；长度/枚举/归属/状态校验；禁止信任客户端派生值</x:v>
      </x:c>
      <x:c r="L172" s="17" t="str">
        <x:v>追加/版本/快照，不覆盖已生效历史</x:v>
      </x:c>
      <x:c r="M172" s="4" t="str">
        <x:v>M1</x:v>
      </x:c>
      <x:c r="N172" s="4" t="str">
        <x:v>待切片细化</x:v>
      </x:c>
      <x:c r="O172" s="4" t="str">
        <x:v>综合方案§13核心数据模型</x:v>
      </x:c>
      <x:c r="P172" s="4" t="str">
        <x:v>DRAFT_FROM_SCHEME</x:v>
      </x:c>
    </x:row>
    <x:row r="173" ht="23" customHeight="1">
      <x:c r="A173" s="4" t="str">
        <x:v>LoginAudit</x:v>
      </x:c>
      <x:c r="B173" s="4" t="str">
        <x:v>riskReason</x:v>
      </x:c>
      <x:c r="C173" s="17" t="str">
        <x:v>riskReason</x:v>
      </x:c>
      <x:c r="D173" s="4" t="str">
        <x:v>7</x:v>
      </x:c>
      <x:c r="E173" s="4" t="str">
        <x:v>String</x:v>
      </x:c>
      <x:c r="F173" s="4" t="str">
        <x:v>YES</x:v>
      </x:c>
      <x:c r="G173" s="4" t="str">
        <x:v>待M阶段冻结</x:v>
      </x:c>
      <x:c r="H173" s="17" t="str">
        <x:v>INTERNAL</x:v>
      </x:c>
      <x:c r="I173" s="17" t="str">
        <x:v>按资源权限与数据域访问；公开DTO另行白名单</x:v>
      </x:c>
      <x:c r="J173" s="17" t="str">
        <x:v>数据库实体不得直接序列化为响应</x:v>
      </x:c>
      <x:c r="K173" s="17" t="str">
        <x:v>DTO白名单；长度/枚举/归属/状态校验；禁止信任客户端派生值</x:v>
      </x:c>
      <x:c r="L173" s="17" t="str">
        <x:v>追加/版本/快照，不覆盖已生效历史</x:v>
      </x:c>
      <x:c r="M173" s="4" t="str">
        <x:v>M1</x:v>
      </x:c>
      <x:c r="N173" s="4" t="str">
        <x:v>待切片细化</x:v>
      </x:c>
      <x:c r="O173" s="4" t="str">
        <x:v>综合方案§13核心数据模型</x:v>
      </x:c>
      <x:c r="P173" s="4" t="str">
        <x:v>DRAFT_FROM_SCHEME</x:v>
      </x:c>
    </x:row>
    <x:row r="174" ht="23" customHeight="1">
      <x:c r="A174" s="4" t="str">
        <x:v>LoginAudit</x:v>
      </x:c>
      <x:c r="B174" s="4" t="str">
        <x:v>deviceInfo</x:v>
      </x:c>
      <x:c r="C174" s="17" t="str">
        <x:v>deviceInfo</x:v>
      </x:c>
      <x:c r="D174" s="4" t="str">
        <x:v>8</x:v>
      </x:c>
      <x:c r="E174" s="4" t="str">
        <x:v>Json</x:v>
      </x:c>
      <x:c r="F174" s="4" t="str">
        <x:v>YES</x:v>
      </x:c>
      <x:c r="G174" s="4" t="str">
        <x:v>待M阶段冻结</x:v>
      </x:c>
      <x:c r="H174" s="17" t="str">
        <x:v>INTERNAL</x:v>
      </x:c>
      <x:c r="I174" s="17" t="str">
        <x:v>按资源权限与数据域访问；公开DTO另行白名单</x:v>
      </x:c>
      <x:c r="J174" s="17" t="str">
        <x:v>数据库实体不得直接序列化为响应</x:v>
      </x:c>
      <x:c r="K174" s="17" t="str">
        <x:v>DTO白名单；长度/枚举/归属/状态校验；禁止信任客户端派生值</x:v>
      </x:c>
      <x:c r="L174" s="17" t="str">
        <x:v>追加/版本/快照，不覆盖已生效历史</x:v>
      </x:c>
      <x:c r="M174" s="4" t="str">
        <x:v>M1</x:v>
      </x:c>
      <x:c r="N174" s="4" t="str">
        <x:v>待切片细化</x:v>
      </x:c>
      <x:c r="O174" s="4" t="str">
        <x:v>综合方案§13核心数据模型</x:v>
      </x:c>
      <x:c r="P174" s="4" t="str">
        <x:v>DRAFT_FROM_SCHEME</x:v>
      </x:c>
    </x:row>
    <x:row r="175" ht="23" customHeight="1">
      <x:c r="A175" s="4" t="str">
        <x:v>LoginAudit</x:v>
      </x:c>
      <x:c r="B175" s="4" t="str">
        <x:v>ip</x:v>
      </x:c>
      <x:c r="C175" s="17" t="str">
        <x:v>ip</x:v>
      </x:c>
      <x:c r="D175" s="4" t="str">
        <x:v>9</x:v>
      </x:c>
      <x:c r="E175" s="4" t="str">
        <x:v>String</x:v>
      </x:c>
      <x:c r="F175" s="4" t="str">
        <x:v>YES</x:v>
      </x:c>
      <x:c r="G175" s="4" t="str">
        <x:v>待M阶段冻结</x:v>
      </x:c>
      <x:c r="H175" s="17" t="str">
        <x:v>PERSONAL_OR_SENSITIVE</x:v>
      </x:c>
      <x:c r="I175" s="17" t="str">
        <x:v>按角色、对象归属及配送阶段脱敏/解密</x:v>
      </x:c>
      <x:c r="J175" s="17" t="str">
        <x:v>禁止跨供应商、越阶段或批量无审批导出</x:v>
      </x:c>
      <x:c r="K175" s="17" t="str">
        <x:v>DTO白名单；长度/枚举/归属/状态校验；禁止信任客户端派生值</x:v>
      </x:c>
      <x:c r="L175" s="17" t="str">
        <x:v>追加/版本/快照，不覆盖已生效历史</x:v>
      </x:c>
      <x:c r="M175" s="4" t="str">
        <x:v>M1</x:v>
      </x:c>
      <x:c r="N175" s="4" t="str">
        <x:v>待切片细化</x:v>
      </x:c>
      <x:c r="O175" s="4" t="str">
        <x:v>综合方案§13核心数据模型</x:v>
      </x:c>
      <x:c r="P175" s="4" t="str">
        <x:v>DRAFT_FROM_SCHEME</x:v>
      </x:c>
    </x:row>
    <x:row r="176" ht="23" customHeight="1">
      <x:c r="A176" s="4" t="str">
        <x:v>LoginAudit</x:v>
      </x:c>
      <x:c r="B176" s="4" t="str">
        <x:v>occurredAt</x:v>
      </x:c>
      <x:c r="C176" s="17" t="str">
        <x:v>occurredAt</x:v>
      </x:c>
      <x:c r="D176" s="4" t="str">
        <x:v>10</x:v>
      </x:c>
      <x:c r="E176" s="4" t="str">
        <x:v>DateTime</x:v>
      </x:c>
      <x:c r="F176" s="4" t="str">
        <x:v>YES</x:v>
      </x:c>
      <x:c r="G176" s="4" t="str">
        <x:v>ISO-8601+明确时区</x:v>
      </x:c>
      <x:c r="H176" s="17" t="str">
        <x:v>INTERNAL</x:v>
      </x:c>
      <x:c r="I176" s="17" t="str">
        <x:v>按资源权限与数据域访问；公开DTO另行白名单</x:v>
      </x:c>
      <x:c r="J176" s="17" t="str">
        <x:v>数据库实体不得直接序列化为响应</x:v>
      </x:c>
      <x:c r="K176" s="17" t="str">
        <x:v>DTO白名单；长度/枚举/归属/状态校验；禁止信任客户端派生值</x:v>
      </x:c>
      <x:c r="L176" s="17" t="str">
        <x:v>追加/版本/快照，不覆盖已生效历史</x:v>
      </x:c>
      <x:c r="M176" s="4" t="str">
        <x:v>M1</x:v>
      </x:c>
      <x:c r="N176" s="4" t="str">
        <x:v>待切片细化</x:v>
      </x:c>
      <x:c r="O176" s="4" t="str">
        <x:v>综合方案§13核心数据模型</x:v>
      </x:c>
      <x:c r="P176" s="4" t="str">
        <x:v>DRAFT_FROM_SCHEME</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String/UUID</x:v>
      </x:c>
      <x:c r="F215" s="4" t="str">
        <x:v>YES</x:v>
      </x:c>
      <x:c r="G215" s="4" t="str">
        <x:v>待M阶段冻结</x:v>
      </x:c>
      <x:c r="H215" s="17" t="str">
        <x:v>INTERNAL</x:v>
      </x:c>
      <x:c r="I215" s="17" t="str">
        <x:v>按资源权限与数据域访问；公开DTO另行白名单</x:v>
      </x:c>
      <x:c r="J215" s="17" t="str">
        <x:v>数据库实体不得直接序列化为响应</x:v>
      </x:c>
      <x:c r="K215" s="17" t="str">
        <x:v>DTO白名单；长度/枚举/归属/状态校验；禁止信任客户端派生值</x:v>
      </x:c>
      <x:c r="L215" s="17" t="str">
        <x:v>按实体version或审计日志保留变更证据</x:v>
      </x:c>
      <x:c r="M215" s="4" t="str">
        <x:v>M1</x:v>
      </x:c>
      <x:c r="N215" s="4" t="str">
        <x:v>P0-003,P0-004,P0-044</x:v>
      </x:c>
      <x:c r="O215" s="4" t="str">
        <x:v>综合方案§13核心数据模型</x:v>
      </x:c>
      <x:c r="P215" s="4" t="str">
        <x:v>DRAFT_FROM_SCHEME</x:v>
      </x:c>
    </x:row>
    <x:row r="216" ht="23" customHeight="1">
      <x:c r="A216" s="4" t="str">
        <x:v>Supplier</x:v>
      </x:c>
      <x:c r="B216" s="4" t="str">
        <x:v>companyId</x:v>
      </x:c>
      <x:c r="C216" s="17" t="str">
        <x:v>companyId</x:v>
      </x:c>
      <x:c r="D216" s="4" t="str">
        <x:v>2</x:v>
      </x:c>
      <x:c r="E216" s="4" t="str">
        <x:v>String/UUID</x:v>
      </x:c>
      <x:c r="F216" s="4" t="str">
        <x:v>YES</x:v>
      </x:c>
      <x:c r="G216" s="4" t="str">
        <x:v>待M阶段冻结</x:v>
      </x:c>
      <x:c r="H216" s="17" t="str">
        <x:v>INTERNAL</x:v>
      </x:c>
      <x:c r="I216" s="17" t="str">
        <x:v>按资源权限与数据域访问；公开DTO另行白名单</x:v>
      </x:c>
      <x:c r="J216" s="17" t="str">
        <x:v>数据库实体不得直接序列化为响应</x:v>
      </x:c>
      <x:c r="K216" s="17" t="str">
        <x:v>DTO白名单；长度/枚举/归属/状态校验；禁止信任客户端派生值</x:v>
      </x:c>
      <x:c r="L216" s="17" t="str">
        <x:v>按实体version或审计日志保留变更证据</x:v>
      </x:c>
      <x:c r="M216" s="4" t="str">
        <x:v>M1</x:v>
      </x:c>
      <x:c r="N216" s="4" t="str">
        <x:v>P0-003,P0-004,P0-044</x:v>
      </x:c>
      <x:c r="O216" s="4" t="str">
        <x:v>综合方案§13核心数据模型</x:v>
      </x:c>
      <x:c r="P216" s="4" t="str">
        <x:v>DRAFT_FROM_SCHEME</x:v>
      </x:c>
    </x:row>
    <x:row r="217" ht="23" customHeight="1">
      <x:c r="A217" s="4" t="str">
        <x:v>Supplier</x:v>
      </x:c>
      <x:c r="B217" s="4" t="str">
        <x:v>legalName</x:v>
      </x:c>
      <x:c r="C217" s="17" t="str">
        <x:v>legalName</x:v>
      </x:c>
      <x:c r="D217" s="4" t="str">
        <x:v>3</x:v>
      </x:c>
      <x:c r="E217" s="4" t="str">
        <x:v>String</x:v>
      </x:c>
      <x:c r="F217" s="4" t="str">
        <x:v>YES</x:v>
      </x:c>
      <x:c r="G217" s="4" t="str">
        <x:v>待M阶段冻结</x:v>
      </x:c>
      <x:c r="H217" s="17" t="str">
        <x:v>INTERNAL</x:v>
      </x:c>
      <x:c r="I217" s="17" t="str">
        <x:v>按资源权限与数据域访问；公开DTO另行白名单</x:v>
      </x:c>
      <x:c r="J217" s="17" t="str">
        <x:v>数据库实体不得直接序列化为响应</x:v>
      </x:c>
      <x:c r="K217" s="17" t="str">
        <x:v>DTO白名单；长度/枚举/归属/状态校验；禁止信任客户端派生值</x:v>
      </x:c>
      <x:c r="L217" s="17" t="str">
        <x:v>按实体version或审计日志保留变更证据</x:v>
      </x:c>
      <x:c r="M217" s="4" t="str">
        <x:v>M1</x:v>
      </x:c>
      <x:c r="N217" s="4" t="str">
        <x:v>P0-003,P0-004,P0-044</x:v>
      </x:c>
      <x:c r="O217" s="4" t="str">
        <x:v>综合方案§13核心数据模型</x:v>
      </x:c>
      <x:c r="P217" s="4" t="str">
        <x:v>DRAFT_FROM_SCHEME</x:v>
      </x:c>
    </x:row>
    <x:row r="218" ht="23" customHeight="1">
      <x:c r="A218" s="4" t="str">
        <x:v>Supplier</x:v>
      </x:c>
      <x:c r="B218" s="4" t="str">
        <x:v>creditCode</x:v>
      </x:c>
      <x:c r="C218" s="17" t="str">
        <x:v>creditCode</x:v>
      </x:c>
      <x:c r="D218" s="4" t="str">
        <x:v>4</x:v>
      </x:c>
      <x:c r="E218" s="4" t="str">
        <x:v>String</x:v>
      </x:c>
      <x:c r="F218" s="4" t="str">
        <x:v>YES</x:v>
      </x:c>
      <x:c r="G218" s="4" t="str">
        <x:v>待M阶段冻结</x:v>
      </x:c>
      <x:c r="H218" s="17" t="str">
        <x:v>INTERNAL</x:v>
      </x:c>
      <x:c r="I218" s="17" t="str">
        <x:v>按资源权限与数据域访问；公开DTO另行白名单</x:v>
      </x:c>
      <x:c r="J218" s="17" t="str">
        <x:v>数据库实体不得直接序列化为响应</x:v>
      </x:c>
      <x:c r="K218" s="17" t="str">
        <x:v>DTO白名单；长度/枚举/归属/状态校验；禁止信任客户端派生值</x:v>
      </x:c>
      <x:c r="L218" s="17" t="str">
        <x:v>按实体version或审计日志保留变更证据</x:v>
      </x:c>
      <x:c r="M218" s="4" t="str">
        <x:v>M1</x:v>
      </x:c>
      <x:c r="N218" s="4" t="str">
        <x:v>P0-003,P0-004,P0-044</x:v>
      </x:c>
      <x:c r="O218" s="4" t="str">
        <x:v>综合方案§13核心数据模型</x:v>
      </x:c>
      <x:c r="P218" s="4" t="str">
        <x:v>DRAFT_FROM_SCHEME</x:v>
      </x:c>
    </x:row>
    <x:row r="219" ht="23" customHeight="1">
      <x:c r="A219" s="4" t="str">
        <x:v>Supplier</x:v>
      </x:c>
      <x:c r="B219" s="4" t="str">
        <x:v>status</x:v>
      </x:c>
      <x:c r="C219" s="17" t="str">
        <x:v>status</x:v>
      </x:c>
      <x:c r="D219" s="4" t="str">
        <x:v>5</x:v>
      </x:c>
      <x:c r="E219" s="4" t="str">
        <x:v>Enum/String</x:v>
      </x:c>
      <x:c r="F219" s="4" t="str">
        <x:v>YES</x:v>
      </x:c>
      <x:c r="G219" s="4" t="str">
        <x:v>待M阶段冻结</x:v>
      </x:c>
      <x:c r="H219" s="17" t="str">
        <x:v>INTERNAL</x:v>
      </x:c>
      <x:c r="I219" s="17" t="str">
        <x:v>按资源权限与数据域访问；公开DTO另行白名单</x:v>
      </x:c>
      <x:c r="J219" s="17" t="str">
        <x:v>数据库实体不得直接序列化为响应</x:v>
      </x:c>
      <x:c r="K219" s="17" t="str">
        <x:v>DTO白名单；长度/枚举/归属/状态校验；禁止信任客户端派生值</x:v>
      </x:c>
      <x:c r="L219" s="17" t="str">
        <x:v>按实体version或审计日志保留变更证据</x:v>
      </x:c>
      <x:c r="M219" s="4" t="str">
        <x:v>M1</x:v>
      </x:c>
      <x:c r="N219" s="4" t="str">
        <x:v>P0-003,P0-004,P0-044</x:v>
      </x:c>
      <x:c r="O219" s="4" t="str">
        <x:v>综合方案§13核心数据模型</x:v>
      </x:c>
      <x:c r="P219" s="4" t="str">
        <x:v>DRAFT_FROM_SCHEME</x:v>
      </x:c>
    </x:row>
    <x:row r="220" ht="23" customHeight="1">
      <x:c r="A220" s="4" t="str">
        <x:v>Supplier</x:v>
      </x:c>
      <x:c r="B220" s="4" t="str">
        <x:v>pickupAddress</x:v>
      </x:c>
      <x:c r="C220" s="17" t="str">
        <x:v>pickupAddress</x:v>
      </x:c>
      <x:c r="D220" s="4" t="str">
        <x:v>6</x:v>
      </x:c>
      <x:c r="E220" s="4" t="str">
        <x:v>String</x:v>
      </x:c>
      <x:c r="F220" s="4" t="str">
        <x:v>YES</x:v>
      </x:c>
      <x:c r="G220" s="4" t="str">
        <x:v>待M阶段冻结</x:v>
      </x:c>
      <x:c r="H220" s="17" t="str">
        <x:v>PERSONAL_OR_SENSITIVE</x:v>
      </x:c>
      <x:c r="I220" s="17" t="str">
        <x:v>按角色、对象归属及配送阶段脱敏/解密</x:v>
      </x:c>
      <x:c r="J220" s="17" t="str">
        <x:v>禁止跨供应商、越阶段或批量无审批导出</x:v>
      </x:c>
      <x:c r="K220" s="17" t="str">
        <x:v>DTO白名单；长度/枚举/归属/状态校验；禁止信任客户端派生值</x:v>
      </x:c>
      <x:c r="L220" s="17" t="str">
        <x:v>按实体version或审计日志保留变更证据</x:v>
      </x:c>
      <x:c r="M220" s="4" t="str">
        <x:v>M1</x:v>
      </x:c>
      <x:c r="N220" s="4" t="str">
        <x:v>P0-003,P0-004,P0-044</x:v>
      </x:c>
      <x:c r="O220" s="4" t="str">
        <x:v>综合方案§13核心数据模型</x:v>
      </x:c>
      <x:c r="P220" s="4" t="str">
        <x:v>DRAFT_FROM_SCHEME</x:v>
      </x:c>
    </x:row>
    <x:row r="221" ht="23" customHeight="1">
      <x:c r="A221" s="4" t="str">
        <x:v>Supplier</x:v>
      </x:c>
      <x:c r="B221" s="4" t="str">
        <x:v>pickupLat</x:v>
      </x:c>
      <x:c r="C221" s="17" t="str">
        <x:v>pickupLat</x:v>
      </x:c>
      <x:c r="D221" s="4" t="str">
        <x:v>7</x:v>
      </x:c>
      <x:c r="E221" s="4" t="str">
        <x:v>DateTime</x:v>
      </x:c>
      <x:c r="F221" s="4" t="str">
        <x:v>YES</x:v>
      </x:c>
      <x:c r="G221" s="4" t="str">
        <x:v>ISO-8601+明确时区</x:v>
      </x:c>
      <x:c r="H221" s="17" t="str">
        <x:v>PERSONAL_OR_SENSITIVE</x:v>
      </x:c>
      <x:c r="I221" s="17" t="str">
        <x:v>按角色、对象归属及配送阶段脱敏/解密</x:v>
      </x:c>
      <x:c r="J221" s="17" t="str">
        <x:v>禁止跨供应商、越阶段或批量无审批导出</x:v>
      </x:c>
      <x:c r="K221" s="17" t="str">
        <x:v>DTO白名单；长度/枚举/归属/状态校验；禁止信任客户端派生值</x:v>
      </x:c>
      <x:c r="L221" s="17" t="str">
        <x:v>按实体version或审计日志保留变更证据</x:v>
      </x:c>
      <x:c r="M221" s="4" t="str">
        <x:v>M1</x:v>
      </x:c>
      <x:c r="N221" s="4" t="str">
        <x:v>P0-003,P0-004,P0-044</x:v>
      </x:c>
      <x:c r="O221" s="4" t="str">
        <x:v>综合方案§13核心数据模型</x:v>
      </x:c>
      <x:c r="P221" s="4" t="str">
        <x:v>DRAFT_FROM_SCHEME</x:v>
      </x:c>
    </x:row>
    <x:row r="222" ht="23" customHeight="1">
      <x:c r="A222" s="4" t="str">
        <x:v>Supplier</x:v>
      </x:c>
      <x:c r="B222" s="4" t="str">
        <x:v>pickupLng</x:v>
      </x:c>
      <x:c r="C222" s="17" t="str">
        <x:v>pickupLng</x:v>
      </x:c>
      <x:c r="D222" s="4" t="str">
        <x:v>8</x:v>
      </x:c>
      <x:c r="E222" s="4" t="str">
        <x:v>Decimal</x:v>
      </x:c>
      <x:c r="F222" s="4" t="str">
        <x:v>YES</x:v>
      </x:c>
      <x:c r="G222" s="4" t="str">
        <x:v>待M阶段冻结</x:v>
      </x:c>
      <x:c r="H222" s="17" t="str">
        <x:v>PERSONAL_OR_SENSITIVE</x:v>
      </x:c>
      <x:c r="I222" s="17" t="str">
        <x:v>按角色、对象归属及配送阶段脱敏/解密</x:v>
      </x:c>
      <x:c r="J222" s="17" t="str">
        <x:v>禁止跨供应商、越阶段或批量无审批导出</x:v>
      </x:c>
      <x:c r="K222" s="17" t="str">
        <x:v>DTO白名单；长度/枚举/归属/状态校验；禁止信任客户端派生值</x:v>
      </x:c>
      <x:c r="L222" s="17" t="str">
        <x:v>按实体version或审计日志保留变更证据</x:v>
      </x:c>
      <x:c r="M222" s="4" t="str">
        <x:v>M1</x:v>
      </x:c>
      <x:c r="N222" s="4" t="str">
        <x:v>P0-003,P0-004,P0-044</x:v>
      </x:c>
      <x:c r="O222" s="4" t="str">
        <x:v>综合方案§13核心数据模型</x:v>
      </x:c>
      <x:c r="P222" s="4" t="str">
        <x:v>DRAFT_FROM_SCHEME</x:v>
      </x:c>
    </x:row>
    <x:row r="223" ht="23" customHeight="1">
      <x:c r="A223" s="4" t="str">
        <x:v>Supplier</x:v>
      </x:c>
      <x:c r="B223" s="4" t="str">
        <x:v>settlementAccountMasked</x:v>
      </x:c>
      <x:c r="C223" s="17" t="str">
        <x:v>settlementAccountMasked</x:v>
      </x:c>
      <x:c r="D223" s="4" t="str">
        <x:v>9</x:v>
      </x:c>
      <x:c r="E223" s="4" t="str">
        <x:v>Int</x:v>
      </x:c>
      <x:c r="F223" s="4" t="str">
        <x:v>YES</x:v>
      </x:c>
      <x:c r="G223" s="4" t="str">
        <x:v>待M阶段冻结</x:v>
      </x:c>
      <x:c r="H223" s="17" t="str">
        <x:v>FINANCIAL</x:v>
      </x:c>
      <x:c r="I223" s="17" t="str">
        <x:v>公司财务与必要业务职能；供应商仅本供应商结算视图</x:v>
      </x:c>
      <x:c r="J223" s="17" t="str">
        <x:v>消费者响应仅返回自身交易白名单字段</x:v>
      </x:c>
      <x:c r="K223" s="17" t="str">
        <x:v>DTO白名单；长度/枚举/归属/状态校验；禁止信任客户端派生值</x:v>
      </x:c>
      <x:c r="L223" s="17" t="str">
        <x:v>按实体version或审计日志保留变更证据</x:v>
      </x:c>
      <x:c r="M223" s="4" t="str">
        <x:v>M1</x:v>
      </x:c>
      <x:c r="N223" s="4" t="str">
        <x:v>P0-003,P0-004,P0-044</x:v>
      </x:c>
      <x:c r="O223" s="4" t="str">
        <x:v>综合方案§13核心数据模型</x:v>
      </x:c>
      <x:c r="P223" s="4" t="str">
        <x:v>DRAFT_FROM_SCHEME</x:v>
      </x:c>
    </x:row>
    <x:row r="224" ht="23" customHeight="1">
      <x:c r="A224" s="4" t="str">
        <x:v>Supplier</x:v>
      </x:c>
      <x:c r="B224" s="4" t="str">
        <x:v>qualificationSnapshot</x:v>
      </x:c>
      <x:c r="C224" s="17" t="str">
        <x:v>qualificationSnapshot</x:v>
      </x:c>
      <x:c r="D224" s="4" t="str">
        <x:v>10</x:v>
      </x:c>
      <x:c r="E224" s="4" t="str">
        <x:v>Json</x:v>
      </x:c>
      <x:c r="F224" s="4" t="str">
        <x:v>YES</x:v>
      </x:c>
      <x:c r="G224" s="4" t="str">
        <x:v>待M阶段冻结</x:v>
      </x:c>
      <x:c r="H224" s="17" t="str">
        <x:v>INTERNAL</x:v>
      </x:c>
      <x:c r="I224" s="17" t="str">
        <x:v>按资源权限与数据域访问；公开DTO另行白名单</x:v>
      </x:c>
      <x:c r="J224" s="17" t="str">
        <x:v>数据库实体不得直接序列化为响应</x:v>
      </x:c>
      <x:c r="K224" s="17" t="str">
        <x:v>DTO白名单；长度/枚举/归属/状态校验；禁止信任客户端派生值</x:v>
      </x:c>
      <x:c r="L224" s="17" t="str">
        <x:v>按实体version或审计日志保留变更证据</x:v>
      </x:c>
      <x:c r="M224" s="4" t="str">
        <x:v>M1</x:v>
      </x:c>
      <x:c r="N224" s="4" t="str">
        <x:v>P0-003,P0-004,P0-044</x:v>
      </x:c>
      <x:c r="O224" s="4" t="str">
        <x:v>综合方案§13核心数据模型</x:v>
      </x:c>
      <x:c r="P224" s="4" t="str">
        <x:v>DRAFT_FROM_SCHEME</x:v>
      </x:c>
    </x:row>
    <x:row r="225" ht="23" customHeight="1">
      <x:c r="A225" s="4" t="str">
        <x:v>SupplierUser</x:v>
      </x:c>
      <x:c r="B225" s="4" t="str">
        <x:v>id</x:v>
      </x:c>
      <x:c r="C225" s="17" t="str">
        <x:v>id</x:v>
      </x:c>
      <x:c r="D225" s="4" t="str">
        <x:v>1</x:v>
      </x:c>
      <x:c r="E225" s="4" t="str">
        <x:v>String/UUID</x:v>
      </x:c>
      <x:c r="F225" s="4" t="str">
        <x:v>YES</x:v>
      </x:c>
      <x:c r="G225" s="4" t="str">
        <x:v>待M阶段冻结</x:v>
      </x:c>
      <x:c r="H225" s="17" t="str">
        <x:v>INTERNAL</x:v>
      </x:c>
      <x:c r="I225" s="17" t="str">
        <x:v>按资源权限与数据域访问；公开DTO另行白名单</x:v>
      </x:c>
      <x:c r="J225" s="17" t="str">
        <x:v>数据库实体不得直接序列化为响应</x:v>
      </x:c>
      <x:c r="K225" s="17" t="str">
        <x:v>DTO白名单；长度/枚举/归属/状态校验；禁止信任客户端派生值</x:v>
      </x:c>
      <x:c r="L225" s="17" t="str">
        <x:v>按实体version或审计日志保留变更证据</x:v>
      </x:c>
      <x:c r="M225" s="4" t="str">
        <x:v>M1</x:v>
      </x:c>
      <x:c r="N225" s="4" t="str">
        <x:v>P0-005,P0-069,P0-070</x:v>
      </x:c>
      <x:c r="O225" s="4" t="str">
        <x:v>综合方案§13核心数据模型</x:v>
      </x:c>
      <x:c r="P225" s="4" t="str">
        <x:v>DRAFT_FROM_SCHEME</x:v>
      </x:c>
    </x:row>
    <x:row r="226" ht="23" customHeight="1">
      <x:c r="A226" s="4" t="str">
        <x:v>SupplierUser</x:v>
      </x:c>
      <x:c r="B226" s="4" t="str">
        <x:v>supplierId</x:v>
      </x:c>
      <x:c r="C226" s="17" t="str">
        <x:v>supplierId</x:v>
      </x:c>
      <x:c r="D226" s="4" t="str">
        <x:v>2</x:v>
      </x:c>
      <x:c r="E226" s="4" t="str">
        <x:v>String/UUID</x:v>
      </x:c>
      <x:c r="F226" s="4" t="str">
        <x:v>YES</x:v>
      </x:c>
      <x:c r="G226" s="4" t="str">
        <x:v>待M阶段冻结</x:v>
      </x:c>
      <x:c r="H226" s="17" t="str">
        <x:v>INTERNAL</x:v>
      </x:c>
      <x:c r="I226" s="17" t="str">
        <x:v>按资源权限与数据域访问；公开DTO另行白名单</x:v>
      </x:c>
      <x:c r="J226" s="17" t="str">
        <x:v>数据库实体不得直接序列化为响应</x:v>
      </x:c>
      <x:c r="K226" s="17" t="str">
        <x:v>DTO白名单；长度/枚举/归属/状态校验；禁止信任客户端派生值</x:v>
      </x:c>
      <x:c r="L226" s="17" t="str">
        <x:v>按实体version或审计日志保留变更证据</x:v>
      </x:c>
      <x:c r="M226" s="4" t="str">
        <x:v>M1</x:v>
      </x:c>
      <x:c r="N226" s="4" t="str">
        <x:v>P0-005,P0-069,P0-070</x:v>
      </x:c>
      <x:c r="O226" s="4" t="str">
        <x:v>综合方案§13核心数据模型</x:v>
      </x:c>
      <x:c r="P226" s="4" t="str">
        <x:v>DRAFT_FROM_SCHEME</x:v>
      </x:c>
    </x:row>
    <x:row r="227" ht="23" customHeight="1">
      <x:c r="A227" s="4" t="str">
        <x:v>SupplierUser</x:v>
      </x:c>
      <x:c r="B227" s="4" t="str">
        <x:v>name</x:v>
      </x:c>
      <x:c r="C227" s="17" t="str">
        <x:v>name</x:v>
      </x:c>
      <x:c r="D227" s="4" t="str">
        <x:v>3</x:v>
      </x:c>
      <x:c r="E227" s="4" t="str">
        <x:v>String</x:v>
      </x:c>
      <x:c r="F227" s="4" t="str">
        <x:v>YES</x:v>
      </x:c>
      <x:c r="G227" s="4" t="str">
        <x:v>待M阶段冻结</x:v>
      </x:c>
      <x:c r="H227" s="17" t="str">
        <x:v>INTERNAL</x:v>
      </x:c>
      <x:c r="I227" s="17" t="str">
        <x:v>按资源权限与数据域访问；公开DTO另行白名单</x:v>
      </x:c>
      <x:c r="J227" s="17" t="str">
        <x:v>数据库实体不得直接序列化为响应</x:v>
      </x:c>
      <x:c r="K227" s="17" t="str">
        <x:v>DTO白名单；长度/枚举/归属/状态校验；禁止信任客户端派生值</x:v>
      </x:c>
      <x:c r="L227" s="17" t="str">
        <x:v>按实体version或审计日志保留变更证据</x:v>
      </x:c>
      <x:c r="M227" s="4" t="str">
        <x:v>M1</x:v>
      </x:c>
      <x:c r="N227" s="4" t="str">
        <x:v>P0-005,P0-069,P0-070</x:v>
      </x:c>
      <x:c r="O227" s="4" t="str">
        <x:v>综合方案§13核心数据模型</x:v>
      </x:c>
      <x:c r="P227" s="4" t="str">
        <x:v>DRAFT_FROM_SCHEME</x:v>
      </x:c>
    </x:row>
    <x:row r="228" ht="23" customHeight="1">
      <x:c r="A228" s="4" t="str">
        <x:v>SupplierUser</x:v>
      </x:c>
      <x:c r="B228" s="4" t="str">
        <x:v>mobile</x:v>
      </x:c>
      <x:c r="C228" s="17" t="str">
        <x:v>mobile</x:v>
      </x:c>
      <x:c r="D228" s="4" t="str">
        <x:v>4</x:v>
      </x:c>
      <x:c r="E228" s="4" t="str">
        <x:v>String</x:v>
      </x:c>
      <x:c r="F228" s="4" t="str">
        <x:v>YES</x:v>
      </x:c>
      <x:c r="G228" s="4" t="str">
        <x:v>待M阶段冻结</x:v>
      </x:c>
      <x:c r="H228" s="17" t="str">
        <x:v>PERSONAL_OR_SENSITIVE</x:v>
      </x:c>
      <x:c r="I228" s="17" t="str">
        <x:v>按角色、对象归属及配送阶段脱敏/解密</x:v>
      </x:c>
      <x:c r="J228" s="17" t="str">
        <x:v>禁止跨供应商、越阶段或批量无审批导出</x:v>
      </x:c>
      <x:c r="K228" s="17" t="str">
        <x:v>DTO白名单；长度/枚举/归属/状态校验；禁止信任客户端派生值</x:v>
      </x:c>
      <x:c r="L228" s="17" t="str">
        <x:v>按实体version或审计日志保留变更证据</x:v>
      </x:c>
      <x:c r="M228" s="4" t="str">
        <x:v>M1</x:v>
      </x:c>
      <x:c r="N228" s="4" t="str">
        <x:v>P0-005,P0-069,P0-070</x:v>
      </x:c>
      <x:c r="O228" s="4" t="str">
        <x:v>综合方案§13核心数据模型</x:v>
      </x:c>
      <x:c r="P228" s="4" t="str">
        <x:v>DRAFT_FROM_SCHEME</x:v>
      </x:c>
    </x:row>
    <x:row r="229" ht="23" customHeight="1">
      <x:c r="A229" s="4" t="str">
        <x:v>SupplierUser</x:v>
      </x:c>
      <x:c r="B229" s="4" t="str">
        <x:v>email</x:v>
      </x:c>
      <x:c r="C229" s="17" t="str">
        <x:v>email</x:v>
      </x:c>
      <x:c r="D229" s="4" t="str">
        <x:v>5</x:v>
      </x:c>
      <x:c r="E229" s="4" t="str">
        <x:v>String</x:v>
      </x:c>
      <x:c r="F229" s="4" t="str">
        <x:v>YES</x:v>
      </x:c>
      <x:c r="G229" s="4" t="str">
        <x:v>待M阶段冻结</x:v>
      </x:c>
      <x:c r="H229" s="17" t="str">
        <x:v>PERSONAL_OR_SENSITIVE</x:v>
      </x:c>
      <x:c r="I229" s="17" t="str">
        <x:v>按角色、对象归属及配送阶段脱敏/解密</x:v>
      </x:c>
      <x:c r="J229" s="17" t="str">
        <x:v>禁止跨供应商、越阶段或批量无审批导出</x:v>
      </x:c>
      <x:c r="K229" s="17" t="str">
        <x:v>DTO白名单；长度/枚举/归属/状态校验；禁止信任客户端派生值</x:v>
      </x:c>
      <x:c r="L229" s="17" t="str">
        <x:v>按实体version或审计日志保留变更证据</x:v>
      </x:c>
      <x:c r="M229" s="4" t="str">
        <x:v>M1</x:v>
      </x:c>
      <x:c r="N229" s="4" t="str">
        <x:v>P0-005,P0-069,P0-070</x:v>
      </x:c>
      <x:c r="O229" s="4" t="str">
        <x:v>综合方案§13核心数据模型</x:v>
      </x:c>
      <x:c r="P229" s="4" t="str">
        <x:v>DRAFT_FROM_SCHEME</x:v>
      </x:c>
    </x:row>
    <x:row r="230" ht="23" customHeight="1">
      <x:c r="A230" s="4" t="str">
        <x:v>SupplierUser</x:v>
      </x:c>
      <x:c r="B230" s="4" t="str">
        <x:v>status</x:v>
      </x:c>
      <x:c r="C230" s="17" t="str">
        <x:v>status</x:v>
      </x:c>
      <x:c r="D230" s="4" t="str">
        <x:v>6</x:v>
      </x:c>
      <x:c r="E230" s="4" t="str">
        <x:v>Enum/String</x:v>
      </x:c>
      <x:c r="F230" s="4" t="str">
        <x:v>YES</x:v>
      </x:c>
      <x:c r="G230" s="4" t="str">
        <x:v>待M阶段冻结</x:v>
      </x:c>
      <x:c r="H230" s="17" t="str">
        <x:v>INTERNAL</x:v>
      </x:c>
      <x:c r="I230" s="17" t="str">
        <x:v>按资源权限与数据域访问；公开DTO另行白名单</x:v>
      </x:c>
      <x:c r="J230" s="17" t="str">
        <x:v>数据库实体不得直接序列化为响应</x:v>
      </x:c>
      <x:c r="K230" s="17" t="str">
        <x:v>DTO白名单；长度/枚举/归属/状态校验；禁止信任客户端派生值</x:v>
      </x:c>
      <x:c r="L230" s="17" t="str">
        <x:v>按实体version或审计日志保留变更证据</x:v>
      </x:c>
      <x:c r="M230" s="4" t="str">
        <x:v>M1</x:v>
      </x:c>
      <x:c r="N230" s="4" t="str">
        <x:v>P0-005,P0-069,P0-070</x:v>
      </x:c>
      <x:c r="O230" s="4" t="str">
        <x:v>综合方案§13核心数据模型</x:v>
      </x:c>
      <x:c r="P230" s="4" t="str">
        <x:v>DRAFT_FROM_SCHEME</x:v>
      </x:c>
    </x:row>
    <x:row r="231" ht="23" customHeight="1">
      <x:c r="A231" s="4" t="str">
        <x:v>SupplierUser</x:v>
      </x:c>
      <x:c r="B231" s="4" t="str">
        <x:v>lastLoginAt</x:v>
      </x:c>
      <x:c r="C231" s="17" t="str">
        <x:v>lastLoginAt</x:v>
      </x:c>
      <x:c r="D231" s="4" t="str">
        <x:v>7</x:v>
      </x:c>
      <x:c r="E231" s="4" t="str">
        <x:v>DateTime</x:v>
      </x:c>
      <x:c r="F231" s="4" t="str">
        <x:v>YES</x:v>
      </x:c>
      <x:c r="G231" s="4" t="str">
        <x:v>ISO-8601+明确时区</x:v>
      </x:c>
      <x:c r="H231" s="17" t="str">
        <x:v>INTERNAL</x:v>
      </x:c>
      <x:c r="I231" s="17" t="str">
        <x:v>按资源权限与数据域访问；公开DTO另行白名单</x:v>
      </x:c>
      <x:c r="J231" s="17" t="str">
        <x:v>数据库实体不得直接序列化为响应</x:v>
      </x:c>
      <x:c r="K231" s="17" t="str">
        <x:v>DTO白名单；长度/枚举/归属/状态校验；禁止信任客户端派生值</x:v>
      </x:c>
      <x:c r="L231" s="17" t="str">
        <x:v>按实体version或审计日志保留变更证据</x:v>
      </x:c>
      <x:c r="M231" s="4" t="str">
        <x:v>M1</x:v>
      </x:c>
      <x:c r="N231" s="4" t="str">
        <x:v>P0-005,P0-069,P0-070</x:v>
      </x:c>
      <x:c r="O231" s="4" t="str">
        <x:v>综合方案§13核心数据模型</x:v>
      </x:c>
      <x:c r="P231" s="4" t="str">
        <x:v>DRAFT_FROM_SCHEME</x:v>
      </x:c>
    </x:row>
    <x:row r="232" ht="23" customHeight="1">
      <x:c r="A232" s="4" t="str">
        <x:v>SupplierUser</x:v>
      </x:c>
      <x:c r="B232" s="4" t="str">
        <x:v>version</x:v>
      </x:c>
      <x:c r="C232" s="17" t="str">
        <x:v>version</x:v>
      </x:c>
      <x:c r="D232" s="4" t="str">
        <x:v>8</x:v>
      </x:c>
      <x:c r="E232" s="4" t="str">
        <x:v>Int</x:v>
      </x:c>
      <x:c r="F232" s="4" t="str">
        <x:v>YES</x:v>
      </x:c>
      <x:c r="G232" s="4" t="str">
        <x:v>待M阶段冻结</x:v>
      </x:c>
      <x:c r="H232" s="17" t="str">
        <x:v>INTERNAL</x:v>
      </x:c>
      <x:c r="I232" s="17" t="str">
        <x:v>按资源权限与数据域访问；公开DTO另行白名单</x:v>
      </x:c>
      <x:c r="J232" s="17" t="str">
        <x:v>数据库实体不得直接序列化为响应</x:v>
      </x:c>
      <x:c r="K232" s="17" t="str">
        <x:v>DTO白名单；长度/枚举/归属/状态校验；禁止信任客户端派生值</x:v>
      </x:c>
      <x:c r="L232" s="17" t="str">
        <x:v>按实体version或审计日志保留变更证据</x:v>
      </x:c>
      <x:c r="M232" s="4" t="str">
        <x:v>M1</x:v>
      </x:c>
      <x:c r="N232" s="4" t="str">
        <x:v>P0-005,P0-069,P0-070</x:v>
      </x:c>
      <x:c r="O232" s="4" t="str">
        <x:v>综合方案§13核心数据模型</x:v>
      </x:c>
      <x:c r="P232" s="4" t="str">
        <x:v>DRAFT_FROM_SCHEME</x:v>
      </x:c>
    </x:row>
    <x:row r="233" ht="23" customHeight="1">
      <x:c r="A233" s="4" t="str">
        <x:v>Category</x:v>
      </x:c>
      <x:c r="B233" s="4" t="str">
        <x:v>id</x:v>
      </x:c>
      <x:c r="C233" s="17" t="str">
        <x:v>id</x:v>
      </x:c>
      <x:c r="D233" s="4" t="str">
        <x:v>1</x:v>
      </x:c>
      <x:c r="E233" s="4" t="str">
        <x:v>String/UUID</x:v>
      </x:c>
      <x:c r="F233" s="4" t="str">
        <x:v>YES</x:v>
      </x:c>
      <x:c r="G233" s="4" t="str">
        <x:v>待M阶段冻结</x:v>
      </x:c>
      <x:c r="H233" s="17" t="str">
        <x:v>INTERNAL</x:v>
      </x:c>
      <x:c r="I233" s="17" t="str">
        <x:v>按资源权限与数据域访问；公开DTO另行白名单</x:v>
      </x:c>
      <x:c r="J233" s="17" t="str">
        <x:v>数据库实体不得直接序列化为响应</x:v>
      </x:c>
      <x:c r="K233" s="17" t="str">
        <x:v>DTO白名单；长度/枚举/归属/状态校验；禁止信任客户端派生值</x:v>
      </x:c>
      <x:c r="L233" s="17" t="str">
        <x:v>按实体version或审计日志保留变更证据</x:v>
      </x:c>
      <x:c r="M233" s="4" t="str">
        <x:v>M2</x:v>
      </x:c>
      <x:c r="N233" s="4" t="str">
        <x:v>P0-011</x:v>
      </x:c>
      <x:c r="O233" s="4" t="str">
        <x:v>综合方案§13核心数据模型</x:v>
      </x:c>
      <x:c r="P233" s="4" t="str">
        <x:v>DRAFT_FROM_SCHEME</x:v>
      </x:c>
    </x:row>
    <x:row r="234" ht="23" customHeight="1">
      <x:c r="A234" s="4" t="str">
        <x:v>Category</x:v>
      </x:c>
      <x:c r="B234" s="4" t="str">
        <x:v>parentId</x:v>
      </x:c>
      <x:c r="C234" s="17" t="str">
        <x:v>parentId</x:v>
      </x:c>
      <x:c r="D234" s="4" t="str">
        <x:v>2</x:v>
      </x:c>
      <x:c r="E234" s="4" t="str">
        <x:v>String/UUID</x:v>
      </x:c>
      <x:c r="F234" s="4" t="str">
        <x:v>YES</x:v>
      </x:c>
      <x:c r="G234" s="4" t="str">
        <x:v>待M阶段冻结</x:v>
      </x:c>
      <x:c r="H234" s="17" t="str">
        <x:v>INTERNAL</x:v>
      </x:c>
      <x:c r="I234" s="17" t="str">
        <x:v>按资源权限与数据域访问；公开DTO另行白名单</x:v>
      </x:c>
      <x:c r="J234" s="17" t="str">
        <x:v>数据库实体不得直接序列化为响应</x:v>
      </x:c>
      <x:c r="K234" s="17" t="str">
        <x:v>DTO白名单；长度/枚举/归属/状态校验；禁止信任客户端派生值</x:v>
      </x:c>
      <x:c r="L234" s="17" t="str">
        <x:v>按实体version或审计日志保留变更证据</x:v>
      </x:c>
      <x:c r="M234" s="4" t="str">
        <x:v>M2</x:v>
      </x:c>
      <x:c r="N234" s="4" t="str">
        <x:v>P0-011</x:v>
      </x:c>
      <x:c r="O234" s="4" t="str">
        <x:v>综合方案§13核心数据模型</x:v>
      </x:c>
      <x:c r="P234" s="4" t="str">
        <x:v>DRAFT_FROM_SCHEME</x:v>
      </x:c>
    </x:row>
    <x:row r="235" ht="23" customHeight="1">
      <x:c r="A235" s="4" t="str">
        <x:v>Category</x:v>
      </x:c>
      <x:c r="B235" s="4" t="str">
        <x:v>name</x:v>
      </x:c>
      <x:c r="C235" s="17" t="str">
        <x:v>name</x:v>
      </x:c>
      <x:c r="D235" s="4" t="str">
        <x:v>3</x:v>
      </x:c>
      <x:c r="E235" s="4" t="str">
        <x:v>String</x:v>
      </x:c>
      <x:c r="F235" s="4" t="str">
        <x:v>YES</x:v>
      </x:c>
      <x:c r="G235" s="4" t="str">
        <x:v>待M阶段冻结</x:v>
      </x:c>
      <x:c r="H235" s="17" t="str">
        <x:v>INTERNAL</x:v>
      </x:c>
      <x:c r="I235" s="17" t="str">
        <x:v>按资源权限与数据域访问；公开DTO另行白名单</x:v>
      </x:c>
      <x:c r="J235" s="17" t="str">
        <x:v>数据库实体不得直接序列化为响应</x:v>
      </x:c>
      <x:c r="K235" s="17" t="str">
        <x:v>DTO白名单；长度/枚举/归属/状态校验；禁止信任客户端派生值</x:v>
      </x:c>
      <x:c r="L235" s="17" t="str">
        <x:v>按实体version或审计日志保留变更证据</x:v>
      </x:c>
      <x:c r="M235" s="4" t="str">
        <x:v>M2</x:v>
      </x:c>
      <x:c r="N235" s="4" t="str">
        <x:v>P0-011</x:v>
      </x:c>
      <x:c r="O235" s="4" t="str">
        <x:v>综合方案§13核心数据模型</x:v>
      </x:c>
      <x:c r="P235" s="4" t="str">
        <x:v>DRAFT_FROM_SCHEME</x:v>
      </x:c>
    </x:row>
    <x:row r="236" ht="23" customHeight="1">
      <x:c r="A236" s="4" t="str">
        <x:v>Category</x:v>
      </x:c>
      <x:c r="B236" s="4" t="str">
        <x:v>level</x:v>
      </x:c>
      <x:c r="C236" s="17" t="str">
        <x:v>level</x:v>
      </x:c>
      <x:c r="D236" s="4" t="str">
        <x:v>4</x:v>
      </x:c>
      <x:c r="E236" s="4" t="str">
        <x:v>Int</x:v>
      </x:c>
      <x:c r="F236" s="4" t="str">
        <x:v>YES</x:v>
      </x:c>
      <x:c r="G236" s="4" t="str">
        <x:v>待M阶段冻结</x:v>
      </x:c>
      <x:c r="H236" s="17" t="str">
        <x:v>INTERNAL</x:v>
      </x:c>
      <x:c r="I236" s="17" t="str">
        <x:v>按资源权限与数据域访问；公开DTO另行白名单</x:v>
      </x:c>
      <x:c r="J236" s="17" t="str">
        <x:v>数据库实体不得直接序列化为响应</x:v>
      </x:c>
      <x:c r="K236" s="17" t="str">
        <x:v>DTO白名单；长度/枚举/归属/状态校验；禁止信任客户端派生值</x:v>
      </x:c>
      <x:c r="L236" s="17" t="str">
        <x:v>按实体version或审计日志保留变更证据</x:v>
      </x:c>
      <x:c r="M236" s="4" t="str">
        <x:v>M2</x:v>
      </x:c>
      <x:c r="N236" s="4" t="str">
        <x:v>P0-011</x:v>
      </x:c>
      <x:c r="O236" s="4" t="str">
        <x:v>综合方案§13核心数据模型</x:v>
      </x:c>
      <x:c r="P236" s="4" t="str">
        <x:v>DRAFT_FROM_SCHEME</x:v>
      </x:c>
    </x:row>
    <x:row r="237" ht="23" customHeight="1">
      <x:c r="A237" s="4" t="str">
        <x:v>Category</x:v>
      </x:c>
      <x:c r="B237" s="4" t="str">
        <x:v>sortWeight</x:v>
      </x:c>
      <x:c r="C237" s="17" t="str">
        <x:v>sortWeight</x:v>
      </x:c>
      <x:c r="D237" s="4" t="str">
        <x:v>5</x:v>
      </x:c>
      <x:c r="E237" s="4" t="str">
        <x:v>Int</x:v>
      </x:c>
      <x:c r="F237" s="4" t="str">
        <x:v>YES</x:v>
      </x:c>
      <x:c r="G237" s="4" t="str">
        <x:v>待M阶段冻结</x:v>
      </x:c>
      <x:c r="H237" s="17" t="str">
        <x:v>INTERNAL</x:v>
      </x:c>
      <x:c r="I237" s="17" t="str">
        <x:v>按资源权限与数据域访问；公开DTO另行白名单</x:v>
      </x:c>
      <x:c r="J237" s="17" t="str">
        <x:v>数据库实体不得直接序列化为响应</x:v>
      </x:c>
      <x:c r="K237" s="17" t="str">
        <x:v>DTO白名单；长度/枚举/归属/状态校验；禁止信任客户端派生值</x:v>
      </x:c>
      <x:c r="L237" s="17" t="str">
        <x:v>按实体version或审计日志保留变更证据</x:v>
      </x:c>
      <x:c r="M237" s="4" t="str">
        <x:v>M2</x:v>
      </x:c>
      <x:c r="N237" s="4" t="str">
        <x:v>P0-011</x:v>
      </x:c>
      <x:c r="O237" s="4" t="str">
        <x:v>综合方案§13核心数据模型</x:v>
      </x:c>
      <x:c r="P237" s="4" t="str">
        <x:v>DRAFT_FROM_SCHEME</x:v>
      </x:c>
    </x:row>
    <x:row r="238" ht="23" customHeight="1">
      <x:c r="A238" s="4" t="str">
        <x:v>Category</x:v>
      </x:c>
      <x:c r="B238" s="4" t="str">
        <x:v>status</x:v>
      </x:c>
      <x:c r="C238" s="17" t="str">
        <x:v>status</x:v>
      </x:c>
      <x:c r="D238" s="4" t="str">
        <x:v>6</x:v>
      </x:c>
      <x:c r="E238" s="4" t="str">
        <x:v>Enum/String</x:v>
      </x:c>
      <x:c r="F238" s="4" t="str">
        <x:v>YES</x:v>
      </x:c>
      <x:c r="G238" s="4" t="str">
        <x:v>待M阶段冻结</x:v>
      </x:c>
      <x:c r="H238" s="17" t="str">
        <x:v>INTERNAL</x:v>
      </x:c>
      <x:c r="I238" s="17" t="str">
        <x:v>按资源权限与数据域访问；公开DTO另行白名单</x:v>
      </x:c>
      <x:c r="J238" s="17" t="str">
        <x:v>数据库实体不得直接序列化为响应</x:v>
      </x:c>
      <x:c r="K238" s="17" t="str">
        <x:v>DTO白名单；长度/枚举/归属/状态校验；禁止信任客户端派生值</x:v>
      </x:c>
      <x:c r="L238" s="17" t="str">
        <x:v>按实体version或审计日志保留变更证据</x:v>
      </x:c>
      <x:c r="M238" s="4" t="str">
        <x:v>M2</x:v>
      </x:c>
      <x:c r="N238" s="4" t="str">
        <x:v>P0-011</x:v>
      </x:c>
      <x:c r="O238" s="4" t="str">
        <x:v>综合方案§13核心数据模型</x:v>
      </x:c>
      <x:c r="P238" s="4" t="str">
        <x:v>DRAFT_FROM_SCHEME</x:v>
      </x:c>
    </x:row>
    <x:row r="239" ht="23" customHeight="1">
      <x:c r="A239" s="4" t="str">
        <x:v>CategoryTemplate</x:v>
      </x:c>
      <x:c r="B239" s="4" t="str">
        <x:v>id</x:v>
      </x:c>
      <x:c r="C239" s="17" t="str">
        <x:v>id</x:v>
      </x:c>
      <x:c r="D239" s="4" t="str">
        <x:v>1</x:v>
      </x:c>
      <x:c r="E239" s="4" t="str">
        <x:v>String/UUID</x:v>
      </x:c>
      <x:c r="F239" s="4" t="str">
        <x:v>YES</x:v>
      </x:c>
      <x:c r="G239" s="4" t="str">
        <x:v>待M阶段冻结</x:v>
      </x:c>
      <x:c r="H239" s="17" t="str">
        <x:v>PERSONAL_OR_SENSITIVE</x:v>
      </x:c>
      <x:c r="I239" s="17" t="str">
        <x:v>按角色、对象归属及配送阶段脱敏/解密</x:v>
      </x:c>
      <x:c r="J239" s="17" t="str">
        <x:v>禁止跨供应商、越阶段或批量无审批导出</x:v>
      </x:c>
      <x:c r="K239" s="17" t="str">
        <x:v>DTO白名单；长度/枚举/归属/状态校验；禁止信任客户端派生值</x:v>
      </x:c>
      <x:c r="L239" s="17" t="str">
        <x:v>按实体version或审计日志保留变更证据</x:v>
      </x:c>
      <x:c r="M239" s="4" t="str">
        <x:v>M2</x:v>
      </x:c>
      <x:c r="N239" s="4" t="str">
        <x:v>P0-012,P0-013,P0-014,P0-015,P0-016,P0-017,P0-018</x:v>
      </x:c>
      <x:c r="O239" s="4" t="str">
        <x:v>综合方案§13核心数据模型</x:v>
      </x:c>
      <x:c r="P239" s="4" t="str">
        <x:v>DRAFT_FROM_SCHEME</x:v>
      </x:c>
    </x:row>
    <x:row r="240" ht="23" customHeight="1">
      <x:c r="A240" s="4" t="str">
        <x:v>CategoryTemplate</x:v>
      </x:c>
      <x:c r="B240" s="4" t="str">
        <x:v>categoryId</x:v>
      </x:c>
      <x:c r="C240" s="17" t="str">
        <x:v>categoryId</x:v>
      </x:c>
      <x:c r="D240" s="4" t="str">
        <x:v>2</x:v>
      </x:c>
      <x:c r="E240" s="4" t="str">
        <x:v>String/UUID</x:v>
      </x:c>
      <x:c r="F240" s="4" t="str">
        <x:v>YES</x:v>
      </x:c>
      <x:c r="G240" s="4" t="str">
        <x:v>待M阶段冻结</x:v>
      </x:c>
      <x:c r="H240" s="17" t="str">
        <x:v>PERSONAL_OR_SENSITIVE</x:v>
      </x:c>
      <x:c r="I240" s="17" t="str">
        <x:v>按角色、对象归属及配送阶段脱敏/解密</x:v>
      </x:c>
      <x:c r="J240" s="17" t="str">
        <x:v>禁止跨供应商、越阶段或批量无审批导出</x:v>
      </x:c>
      <x:c r="K240" s="17" t="str">
        <x:v>DTO白名单；长度/枚举/归属/状态校验；禁止信任客户端派生值</x:v>
      </x:c>
      <x:c r="L240" s="17" t="str">
        <x:v>按实体version或审计日志保留变更证据</x:v>
      </x:c>
      <x:c r="M240" s="4" t="str">
        <x:v>M2</x:v>
      </x:c>
      <x:c r="N240" s="4" t="str">
        <x:v>P0-012,P0-013,P0-014,P0-015,P0-016,P0-017,P0-018</x:v>
      </x:c>
      <x:c r="O240" s="4" t="str">
        <x:v>综合方案§13核心数据模型</x:v>
      </x:c>
      <x:c r="P240" s="4" t="str">
        <x:v>DRAFT_FROM_SCHEME</x:v>
      </x:c>
    </x:row>
    <x:row r="241" ht="23" customHeight="1">
      <x:c r="A241" s="4" t="str">
        <x:v>CategoryTemplate</x:v>
      </x:c>
      <x:c r="B241" s="4" t="str">
        <x:v>version</x:v>
      </x:c>
      <x:c r="C241" s="17" t="str">
        <x:v>version</x:v>
      </x:c>
      <x:c r="D241" s="4" t="str">
        <x:v>3</x:v>
      </x:c>
      <x:c r="E241" s="4" t="str">
        <x:v>Int</x:v>
      </x:c>
      <x:c r="F241" s="4" t="str">
        <x:v>YES</x:v>
      </x:c>
      <x:c r="G241" s="4" t="str">
        <x:v>待M阶段冻结</x:v>
      </x:c>
      <x:c r="H241" s="17" t="str">
        <x:v>PERSONAL_OR_SENSITIVE</x:v>
      </x:c>
      <x:c r="I241" s="17" t="str">
        <x:v>按角色、对象归属及配送阶段脱敏/解密</x:v>
      </x:c>
      <x:c r="J241" s="17" t="str">
        <x:v>禁止跨供应商、越阶段或批量无审批导出</x:v>
      </x:c>
      <x:c r="K241" s="17" t="str">
        <x:v>DTO白名单；长度/枚举/归属/状态校验；禁止信任客户端派生值</x:v>
      </x:c>
      <x:c r="L241" s="17" t="str">
        <x:v>按实体version或审计日志保留变更证据</x:v>
      </x:c>
      <x:c r="M241" s="4" t="str">
        <x:v>M2</x:v>
      </x:c>
      <x:c r="N241" s="4" t="str">
        <x:v>P0-012,P0-013,P0-014,P0-015,P0-016,P0-017,P0-018</x:v>
      </x:c>
      <x:c r="O241" s="4" t="str">
        <x:v>综合方案§13核心数据模型</x:v>
      </x:c>
      <x:c r="P241" s="4" t="str">
        <x:v>DRAFT_FROM_SCHEME</x:v>
      </x:c>
    </x:row>
    <x:row r="242" ht="23" customHeight="1">
      <x:c r="A242" s="4" t="str">
        <x:v>CategoryTemplate</x:v>
      </x:c>
      <x:c r="B242" s="4" t="str">
        <x:v>fieldSchema</x:v>
      </x:c>
      <x:c r="C242" s="17" t="str">
        <x:v>fieldSchema</x:v>
      </x:c>
      <x:c r="D242" s="4" t="str">
        <x:v>4</x:v>
      </x:c>
      <x:c r="E242" s="4" t="str">
        <x:v>Json</x:v>
      </x:c>
      <x:c r="F242" s="4" t="str">
        <x:v>YES</x:v>
      </x:c>
      <x:c r="G242" s="4" t="str">
        <x:v>待M阶段冻结</x:v>
      </x:c>
      <x:c r="H242" s="17" t="str">
        <x:v>PERSONAL_OR_SENSITIVE</x:v>
      </x:c>
      <x:c r="I242" s="17" t="str">
        <x:v>按角色、对象归属及配送阶段脱敏/解密</x:v>
      </x:c>
      <x:c r="J242" s="17" t="str">
        <x:v>禁止跨供应商、越阶段或批量无审批导出</x:v>
      </x:c>
      <x:c r="K242" s="17" t="str">
        <x:v>DTO白名单；长度/枚举/归属/状态校验；禁止信任客户端派生值</x:v>
      </x:c>
      <x:c r="L242" s="17" t="str">
        <x:v>按实体version或审计日志保留变更证据</x:v>
      </x:c>
      <x:c r="M242" s="4" t="str">
        <x:v>M2</x:v>
      </x:c>
      <x:c r="N242" s="4" t="str">
        <x:v>P0-012,P0-013,P0-014,P0-015,P0-016,P0-017,P0-018</x:v>
      </x:c>
      <x:c r="O242" s="4" t="str">
        <x:v>综合方案§13核心数据模型</x:v>
      </x:c>
      <x:c r="P242" s="4" t="str">
        <x:v>DRAFT_FROM_SCHEME</x:v>
      </x:c>
    </x:row>
    <x:row r="243" ht="23" customHeight="1">
      <x:c r="A243" s="4" t="str">
        <x:v>CategoryTemplate</x:v>
      </x:c>
      <x:c r="B243" s="4" t="str">
        <x:v>skuDimensions</x:v>
      </x:c>
      <x:c r="C243" s="17" t="str">
        <x:v>skuDimensions</x:v>
      </x:c>
      <x:c r="D243" s="4" t="str">
        <x:v>5</x:v>
      </x:c>
      <x:c r="E243" s="4" t="str">
        <x:v>String</x:v>
      </x:c>
      <x:c r="F243" s="4" t="str">
        <x:v>YES</x:v>
      </x:c>
      <x:c r="G243" s="4" t="str">
        <x:v>待M阶段冻结</x:v>
      </x:c>
      <x:c r="H243" s="17" t="str">
        <x:v>PERSONAL_OR_SENSITIVE</x:v>
      </x:c>
      <x:c r="I243" s="17" t="str">
        <x:v>按角色、对象归属及配送阶段脱敏/解密</x:v>
      </x:c>
      <x:c r="J243" s="17" t="str">
        <x:v>禁止跨供应商、越阶段或批量无审批导出</x:v>
      </x:c>
      <x:c r="K243" s="17" t="str">
        <x:v>DTO白名单；长度/枚举/归属/状态校验；禁止信任客户端派生值</x:v>
      </x:c>
      <x:c r="L243" s="17" t="str">
        <x:v>按实体version或审计日志保留变更证据</x:v>
      </x:c>
      <x:c r="M243" s="4" t="str">
        <x:v>M2</x:v>
      </x:c>
      <x:c r="N243" s="4" t="str">
        <x:v>P0-012,P0-013,P0-014,P0-015,P0-016,P0-017,P0-018</x:v>
      </x:c>
      <x:c r="O243" s="4" t="str">
        <x:v>综合方案§13核心数据模型</x:v>
      </x:c>
      <x:c r="P243" s="4" t="str">
        <x:v>DRAFT_FROM_SCHEME</x:v>
      </x:c>
    </x:row>
    <x:row r="244" ht="23" customHeight="1">
      <x:c r="A244" s="4" t="str">
        <x:v>CategoryTemplate</x:v>
      </x:c>
      <x:c r="B244" s="4" t="str">
        <x:v>qualificationRules</x:v>
      </x:c>
      <x:c r="C244" s="17" t="str">
        <x:v>qualificationRules</x:v>
      </x:c>
      <x:c r="D244" s="4" t="str">
        <x:v>6</x:v>
      </x:c>
      <x:c r="E244" s="4" t="str">
        <x:v>Json</x:v>
      </x:c>
      <x:c r="F244" s="4" t="str">
        <x:v>YES</x:v>
      </x:c>
      <x:c r="G244" s="4" t="str">
        <x:v>待M阶段冻结</x:v>
      </x:c>
      <x:c r="H244" s="17" t="str">
        <x:v>PERSONAL_OR_SENSITIVE</x:v>
      </x:c>
      <x:c r="I244" s="17" t="str">
        <x:v>按角色、对象归属及配送阶段脱敏/解密</x:v>
      </x:c>
      <x:c r="J244" s="17" t="str">
        <x:v>禁止跨供应商、越阶段或批量无审批导出</x:v>
      </x:c>
      <x:c r="K244" s="17" t="str">
        <x:v>DTO白名单；长度/枚举/归属/状态校验；禁止信任客户端派生值</x:v>
      </x:c>
      <x:c r="L244" s="17" t="str">
        <x:v>按实体version或审计日志保留变更证据</x:v>
      </x:c>
      <x:c r="M244" s="4" t="str">
        <x:v>M2</x:v>
      </x:c>
      <x:c r="N244" s="4" t="str">
        <x:v>P0-012,P0-013,P0-014,P0-015,P0-016,P0-017,P0-018</x:v>
      </x:c>
      <x:c r="O244" s="4" t="str">
        <x:v>综合方案§13核心数据模型</x:v>
      </x:c>
      <x:c r="P244" s="4" t="str">
        <x:v>DRAFT_FROM_SCHEME</x:v>
      </x:c>
    </x:row>
    <x:row r="245" ht="23" customHeight="1">
      <x:c r="A245" s="4" t="str">
        <x:v>CategoryTemplate</x:v>
      </x:c>
      <x:c r="B245" s="4" t="str">
        <x:v>detailModules</x:v>
      </x:c>
      <x:c r="C245" s="17" t="str">
        <x:v>detailModules</x:v>
      </x:c>
      <x:c r="D245" s="4" t="str">
        <x:v>7</x:v>
      </x:c>
      <x:c r="E245" s="4" t="str">
        <x:v>Json</x:v>
      </x:c>
      <x:c r="F245" s="4" t="str">
        <x:v>YES</x:v>
      </x:c>
      <x:c r="G245" s="4" t="str">
        <x:v>待M阶段冻结</x:v>
      </x:c>
      <x:c r="H245" s="17" t="str">
        <x:v>PERSONAL_OR_SENSITIVE</x:v>
      </x:c>
      <x:c r="I245" s="17" t="str">
        <x:v>按角色、对象归属及配送阶段脱敏/解密</x:v>
      </x:c>
      <x:c r="J245" s="17" t="str">
        <x:v>禁止跨供应商、越阶段或批量无审批导出</x:v>
      </x:c>
      <x:c r="K245" s="17" t="str">
        <x:v>DTO白名单；长度/枚举/归属/状态校验；禁止信任客户端派生值</x:v>
      </x:c>
      <x:c r="L245" s="17" t="str">
        <x:v>按实体version或审计日志保留变更证据</x:v>
      </x:c>
      <x:c r="M245" s="4" t="str">
        <x:v>M2</x:v>
      </x:c>
      <x:c r="N245" s="4" t="str">
        <x:v>P0-012,P0-013,P0-014,P0-015,P0-016,P0-017,P0-018</x:v>
      </x:c>
      <x:c r="O245" s="4" t="str">
        <x:v>综合方案§13核心数据模型</x:v>
      </x:c>
      <x:c r="P245" s="4" t="str">
        <x:v>DRAFT_FROM_SCHEME</x:v>
      </x:c>
    </x:row>
    <x:row r="246" ht="23" customHeight="1">
      <x:c r="A246" s="4" t="str">
        <x:v>CategoryTemplate</x:v>
      </x:c>
      <x:c r="B246" s="4" t="str">
        <x:v>afterSaleRules</x:v>
      </x:c>
      <x:c r="C246" s="17" t="str">
        <x:v>afterSaleRules</x:v>
      </x:c>
      <x:c r="D246" s="4" t="str">
        <x:v>8</x:v>
      </x:c>
      <x:c r="E246" s="4" t="str">
        <x:v>Json</x:v>
      </x:c>
      <x:c r="F246" s="4" t="str">
        <x:v>YES</x:v>
      </x:c>
      <x:c r="G246" s="4" t="str">
        <x:v>待M阶段冻结</x:v>
      </x:c>
      <x:c r="H246" s="17" t="str">
        <x:v>PERSONAL_OR_SENSITIVE</x:v>
      </x:c>
      <x:c r="I246" s="17" t="str">
        <x:v>按角色、对象归属及配送阶段脱敏/解密</x:v>
      </x:c>
      <x:c r="J246" s="17" t="str">
        <x:v>禁止跨供应商、越阶段或批量无审批导出</x:v>
      </x:c>
      <x:c r="K246" s="17" t="str">
        <x:v>DTO白名单；长度/枚举/归属/状态校验；禁止信任客户端派生值</x:v>
      </x:c>
      <x:c r="L246" s="17" t="str">
        <x:v>按实体version或审计日志保留变更证据</x:v>
      </x:c>
      <x:c r="M246" s="4" t="str">
        <x:v>M2</x:v>
      </x:c>
      <x:c r="N246" s="4" t="str">
        <x:v>P0-012,P0-013,P0-014,P0-015,P0-016,P0-017,P0-018</x:v>
      </x:c>
      <x:c r="O246" s="4" t="str">
        <x:v>综合方案§13核心数据模型</x:v>
      </x:c>
      <x:c r="P246" s="4" t="str">
        <x:v>DRAFT_FROM_SCHEME</x:v>
      </x:c>
    </x:row>
    <x:row r="247" ht="23" customHeight="1">
      <x:c r="A247" s="4" t="str">
        <x:v>CategoryTemplate</x:v>
      </x:c>
      <x:c r="B247" s="4" t="str">
        <x:v>status</x:v>
      </x:c>
      <x:c r="C247" s="17" t="str">
        <x:v>status</x:v>
      </x:c>
      <x:c r="D247" s="4" t="str">
        <x:v>9</x:v>
      </x:c>
      <x:c r="E247" s="4" t="str">
        <x:v>Enum/String</x:v>
      </x:c>
      <x:c r="F247" s="4" t="str">
        <x:v>YES</x:v>
      </x:c>
      <x:c r="G247" s="4" t="str">
        <x:v>待M阶段冻结</x:v>
      </x:c>
      <x:c r="H247" s="17" t="str">
        <x:v>PERSONAL_OR_SENSITIVE</x:v>
      </x:c>
      <x:c r="I247" s="17" t="str">
        <x:v>按角色、对象归属及配送阶段脱敏/解密</x:v>
      </x:c>
      <x:c r="J247" s="17" t="str">
        <x:v>禁止跨供应商、越阶段或批量无审批导出</x:v>
      </x:c>
      <x:c r="K247" s="17" t="str">
        <x:v>DTO白名单；长度/枚举/归属/状态校验；禁止信任客户端派生值</x:v>
      </x:c>
      <x:c r="L247" s="17" t="str">
        <x:v>按实体version或审计日志保留变更证据</x:v>
      </x:c>
      <x:c r="M247" s="4" t="str">
        <x:v>M2</x:v>
      </x:c>
      <x:c r="N247" s="4" t="str">
        <x:v>P0-012,P0-013,P0-014,P0-015,P0-016,P0-017,P0-018</x:v>
      </x:c>
      <x:c r="O247" s="4" t="str">
        <x:v>综合方案§13核心数据模型</x:v>
      </x:c>
      <x:c r="P247" s="4" t="str">
        <x:v>DRAFT_FROM_SCHEME</x:v>
      </x:c>
    </x:row>
    <x:row r="248" ht="23" customHeight="1">
      <x:c r="A248" s="4" t="str">
        <x:v>SupplierProduct</x:v>
      </x:c>
      <x:c r="B248" s="4" t="str">
        <x:v>id</x:v>
      </x:c>
      <x:c r="C248" s="17" t="str">
        <x:v>id</x:v>
      </x:c>
      <x:c r="D248" s="4" t="str">
        <x:v>1</x:v>
      </x:c>
      <x:c r="E248" s="4" t="str">
        <x:v>String/UUID</x:v>
      </x:c>
      <x:c r="F248" s="4" t="str">
        <x:v>YES</x:v>
      </x:c>
      <x:c r="G248" s="4" t="str">
        <x:v>待M阶段冻结</x:v>
      </x:c>
      <x:c r="H248" s="17" t="str">
        <x:v>INTERNAL</x:v>
      </x:c>
      <x:c r="I248" s="17" t="str">
        <x:v>按资源权限与数据域访问；公开DTO另行白名单</x:v>
      </x:c>
      <x:c r="J248" s="17" t="str">
        <x:v>数据库实体不得直接序列化为响应</x:v>
      </x:c>
      <x:c r="K248" s="17" t="str">
        <x:v>DTO白名单；长度/枚举/归属/状态校验；禁止信任客户端派生值</x:v>
      </x:c>
      <x:c r="L248" s="17" t="str">
        <x:v>按实体version或审计日志保留变更证据</x:v>
      </x:c>
      <x:c r="M248" s="4" t="str">
        <x:v>M2</x:v>
      </x:c>
      <x:c r="N248" s="4" t="str">
        <x:v>P0-006,P0-007,P0-008,P0-061</x:v>
      </x:c>
      <x:c r="O248" s="4" t="str">
        <x:v>综合方案§13核心数据模型</x:v>
      </x:c>
      <x:c r="P248" s="4" t="str">
        <x:v>DRAFT_FROM_SCHEME</x:v>
      </x:c>
    </x:row>
    <x:row r="249" ht="23" customHeight="1">
      <x:c r="A249" s="4" t="str">
        <x:v>SupplierProduct</x:v>
      </x:c>
      <x:c r="B249" s="4" t="str">
        <x:v>supplierId</x:v>
      </x:c>
      <x:c r="C249" s="17" t="str">
        <x:v>supplierId</x:v>
      </x:c>
      <x:c r="D249" s="4" t="str">
        <x:v>2</x:v>
      </x:c>
      <x:c r="E249" s="4" t="str">
        <x:v>String/UUID</x:v>
      </x:c>
      <x:c r="F249" s="4" t="str">
        <x:v>YES</x:v>
      </x:c>
      <x:c r="G249" s="4" t="str">
        <x:v>待M阶段冻结</x:v>
      </x:c>
      <x:c r="H249" s="17" t="str">
        <x:v>INTERNAL</x:v>
      </x:c>
      <x:c r="I249" s="17" t="str">
        <x:v>按资源权限与数据域访问；公开DTO另行白名单</x:v>
      </x:c>
      <x:c r="J249" s="17" t="str">
        <x:v>数据库实体不得直接序列化为响应</x:v>
      </x:c>
      <x:c r="K249" s="17" t="str">
        <x:v>DTO白名单；长度/枚举/归属/状态校验；禁止信任客户端派生值</x:v>
      </x:c>
      <x:c r="L249" s="17" t="str">
        <x:v>按实体version或审计日志保留变更证据</x:v>
      </x:c>
      <x:c r="M249" s="4" t="str">
        <x:v>M2</x:v>
      </x:c>
      <x:c r="N249" s="4" t="str">
        <x:v>P0-006,P0-007,P0-008,P0-061</x:v>
      </x:c>
      <x:c r="O249" s="4" t="str">
        <x:v>综合方案§13核心数据模型</x:v>
      </x:c>
      <x:c r="P249" s="4" t="str">
        <x:v>DRAFT_FROM_SCHEME</x:v>
      </x:c>
    </x:row>
    <x:row r="250" ht="23" customHeight="1">
      <x:c r="A250" s="4" t="str">
        <x:v>SupplierProduct</x:v>
      </x:c>
      <x:c r="B250" s="4" t="str">
        <x:v>categoryId</x:v>
      </x:c>
      <x:c r="C250" s="17" t="str">
        <x:v>categoryId</x:v>
      </x:c>
      <x:c r="D250" s="4" t="str">
        <x:v>3</x:v>
      </x:c>
      <x:c r="E250" s="4" t="str">
        <x:v>String/UUID</x:v>
      </x:c>
      <x:c r="F250" s="4" t="str">
        <x:v>YES</x:v>
      </x:c>
      <x:c r="G250" s="4" t="str">
        <x:v>待M阶段冻结</x:v>
      </x:c>
      <x:c r="H250" s="17" t="str">
        <x:v>INTERNAL</x:v>
      </x:c>
      <x:c r="I250" s="17" t="str">
        <x:v>按资源权限与数据域访问；公开DTO另行白名单</x:v>
      </x:c>
      <x:c r="J250" s="17" t="str">
        <x:v>数据库实体不得直接序列化为响应</x:v>
      </x:c>
      <x:c r="K250" s="17" t="str">
        <x:v>DTO白名单；长度/枚举/归属/状态校验；禁止信任客户端派生值</x:v>
      </x:c>
      <x:c r="L250" s="17" t="str">
        <x:v>按实体version或审计日志保留变更证据</x:v>
      </x:c>
      <x:c r="M250" s="4" t="str">
        <x:v>M2</x:v>
      </x:c>
      <x:c r="N250" s="4" t="str">
        <x:v>P0-006,P0-007,P0-008,P0-061</x:v>
      </x:c>
      <x:c r="O250" s="4" t="str">
        <x:v>综合方案§13核心数据模型</x:v>
      </x:c>
      <x:c r="P250" s="4" t="str">
        <x:v>DRAFT_FROM_SCHEME</x:v>
      </x:c>
    </x:row>
    <x:row r="251" ht="23" customHeight="1">
      <x:c r="A251" s="4" t="str">
        <x:v>SupplierProduct</x:v>
      </x:c>
      <x:c r="B251" s="4" t="str">
        <x:v>templateVersion</x:v>
      </x:c>
      <x:c r="C251" s="17" t="str">
        <x:v>templateVersion</x:v>
      </x:c>
      <x:c r="D251" s="4" t="str">
        <x:v>4</x:v>
      </x:c>
      <x:c r="E251" s="4" t="str">
        <x:v>Int</x:v>
      </x:c>
      <x:c r="F251" s="4" t="str">
        <x:v>YES</x:v>
      </x:c>
      <x:c r="G251" s="4" t="str">
        <x:v>待M阶段冻结</x:v>
      </x:c>
      <x:c r="H251" s="17" t="str">
        <x:v>PERSONAL_OR_SENSITIVE</x:v>
      </x:c>
      <x:c r="I251" s="17" t="str">
        <x:v>按角色、对象归属及配送阶段脱敏/解密</x:v>
      </x:c>
      <x:c r="J251" s="17" t="str">
        <x:v>禁止跨供应商、越阶段或批量无审批导出</x:v>
      </x:c>
      <x:c r="K251" s="17" t="str">
        <x:v>DTO白名单；长度/枚举/归属/状态校验；禁止信任客户端派生值</x:v>
      </x:c>
      <x:c r="L251" s="17" t="str">
        <x:v>按实体version或审计日志保留变更证据</x:v>
      </x:c>
      <x:c r="M251" s="4" t="str">
        <x:v>M2</x:v>
      </x:c>
      <x:c r="N251" s="4" t="str">
        <x:v>P0-006,P0-007,P0-008,P0-061</x:v>
      </x:c>
      <x:c r="O251" s="4" t="str">
        <x:v>综合方案§13核心数据模型</x:v>
      </x:c>
      <x:c r="P251" s="4" t="str">
        <x:v>DRAFT_FROM_SCHEME</x:v>
      </x:c>
    </x:row>
    <x:row r="252" ht="23" customHeight="1">
      <x:c r="A252" s="4" t="str">
        <x:v>SupplierProduct</x:v>
      </x:c>
      <x:c r="B252" s="4" t="str">
        <x:v>name</x:v>
      </x:c>
      <x:c r="C252" s="17" t="str">
        <x:v>name</x:v>
      </x:c>
      <x:c r="D252" s="4" t="str">
        <x:v>5</x:v>
      </x:c>
      <x:c r="E252" s="4" t="str">
        <x:v>String</x:v>
      </x:c>
      <x:c r="F252" s="4" t="str">
        <x:v>YES</x:v>
      </x:c>
      <x:c r="G252" s="4" t="str">
        <x:v>待M阶段冻结</x:v>
      </x:c>
      <x:c r="H252" s="17" t="str">
        <x:v>INTERNAL</x:v>
      </x:c>
      <x:c r="I252" s="17" t="str">
        <x:v>按资源权限与数据域访问；公开DTO另行白名单</x:v>
      </x:c>
      <x:c r="J252" s="17" t="str">
        <x:v>数据库实体不得直接序列化为响应</x:v>
      </x:c>
      <x:c r="K252" s="17" t="str">
        <x:v>DTO白名单；长度/枚举/归属/状态校验；禁止信任客户端派生值</x:v>
      </x:c>
      <x:c r="L252" s="17" t="str">
        <x:v>按实体version或审计日志保留变更证据</x:v>
      </x:c>
      <x:c r="M252" s="4" t="str">
        <x:v>M2</x:v>
      </x:c>
      <x:c r="N252" s="4" t="str">
        <x:v>P0-006,P0-007,P0-008,P0-061</x:v>
      </x:c>
      <x:c r="O252" s="4" t="str">
        <x:v>综合方案§13核心数据模型</x:v>
      </x:c>
      <x:c r="P252" s="4" t="str">
        <x:v>DRAFT_FROM_SCHEME</x:v>
      </x:c>
    </x:row>
    <x:row r="253" ht="23" customHeight="1">
      <x:c r="A253" s="4" t="str">
        <x:v>SupplierProduct</x:v>
      </x:c>
      <x:c r="B253" s="4" t="str">
        <x:v>brand</x:v>
      </x:c>
      <x:c r="C253" s="17" t="str">
        <x:v>brand?</x:v>
      </x:c>
      <x:c r="D253" s="4" t="str">
        <x:v>6</x:v>
      </x:c>
      <x:c r="E253" s="4" t="str">
        <x:v>String</x:v>
      </x:c>
      <x:c r="F253" s="4" t="str">
        <x:v>NO</x:v>
      </x:c>
      <x:c r="G253" s="4" t="str">
        <x:v>待M阶段冻结</x:v>
      </x:c>
      <x:c r="H253" s="17" t="str">
        <x:v>INTERNAL</x:v>
      </x:c>
      <x:c r="I253" s="17" t="str">
        <x:v>按资源权限与数据域访问；公开DTO另行白名单</x:v>
      </x:c>
      <x:c r="J253" s="17" t="str">
        <x:v>数据库实体不得直接序列化为响应</x:v>
      </x:c>
      <x:c r="K253" s="17" t="str">
        <x:v>DTO白名单；长度/枚举/归属/状态校验；禁止信任客户端派生值</x:v>
      </x:c>
      <x:c r="L253" s="17" t="str">
        <x:v>按实体version或审计日志保留变更证据</x:v>
      </x:c>
      <x:c r="M253" s="4" t="str">
        <x:v>M2</x:v>
      </x:c>
      <x:c r="N253" s="4" t="str">
        <x:v>P0-006,P0-007,P0-008,P0-061</x:v>
      </x:c>
      <x:c r="O253" s="4" t="str">
        <x:v>综合方案§13核心数据模型</x:v>
      </x:c>
      <x:c r="P253" s="4" t="str">
        <x:v>DRAFT_FROM_SCHEME</x:v>
      </x:c>
    </x:row>
    <x:row r="254" ht="23" customHeight="1">
      <x:c r="A254" s="4" t="str">
        <x:v>SupplierProduct</x:v>
      </x:c>
      <x:c r="B254" s="4" t="str">
        <x:v>attributes</x:v>
      </x:c>
      <x:c r="C254" s="17" t="str">
        <x:v>attributes</x:v>
      </x:c>
      <x:c r="D254" s="4" t="str">
        <x:v>7</x:v>
      </x:c>
      <x:c r="E254" s="4" t="str">
        <x:v>Json</x:v>
      </x:c>
      <x:c r="F254" s="4" t="str">
        <x:v>YES</x:v>
      </x:c>
      <x:c r="G254" s="4" t="str">
        <x:v>待M阶段冻结</x:v>
      </x:c>
      <x:c r="H254" s="17" t="str">
        <x:v>INTERNAL</x:v>
      </x:c>
      <x:c r="I254" s="17" t="str">
        <x:v>按资源权限与数据域访问；公开DTO另行白名单</x:v>
      </x:c>
      <x:c r="J254" s="17" t="str">
        <x:v>数据库实体不得直接序列化为响应</x:v>
      </x:c>
      <x:c r="K254" s="17" t="str">
        <x:v>DTO白名单；长度/枚举/归属/状态校验；禁止信任客户端派生值</x:v>
      </x:c>
      <x:c r="L254" s="17" t="str">
        <x:v>按实体version或审计日志保留变更证据</x:v>
      </x:c>
      <x:c r="M254" s="4" t="str">
        <x:v>M2</x:v>
      </x:c>
      <x:c r="N254" s="4" t="str">
        <x:v>P0-006,P0-007,P0-008,P0-061</x:v>
      </x:c>
      <x:c r="O254" s="4" t="str">
        <x:v>综合方案§13核心数据模型</x:v>
      </x:c>
      <x:c r="P254" s="4" t="str">
        <x:v>DRAFT_FROM_SCHEME</x:v>
      </x:c>
    </x:row>
    <x:row r="255" ht="23" customHeight="1">
      <x:c r="A255" s="4" t="str">
        <x:v>SupplierProduct</x:v>
      </x:c>
      <x:c r="B255" s="4" t="str">
        <x:v>qualificationSnapshot</x:v>
      </x:c>
      <x:c r="C255" s="17" t="str">
        <x:v>qualificationSnapshot</x:v>
      </x:c>
      <x:c r="D255" s="4" t="str">
        <x:v>8</x:v>
      </x:c>
      <x:c r="E255" s="4" t="str">
        <x:v>Json</x:v>
      </x:c>
      <x:c r="F255" s="4" t="str">
        <x:v>YES</x:v>
      </x:c>
      <x:c r="G255" s="4" t="str">
        <x:v>待M阶段冻结</x:v>
      </x:c>
      <x:c r="H255" s="17" t="str">
        <x:v>INTERNAL</x:v>
      </x:c>
      <x:c r="I255" s="17" t="str">
        <x:v>按资源权限与数据域访问；公开DTO另行白名单</x:v>
      </x:c>
      <x:c r="J255" s="17" t="str">
        <x:v>数据库实体不得直接序列化为响应</x:v>
      </x:c>
      <x:c r="K255" s="17" t="str">
        <x:v>DTO白名单；长度/枚举/归属/状态校验；禁止信任客户端派生值</x:v>
      </x:c>
      <x:c r="L255" s="17" t="str">
        <x:v>按实体version或审计日志保留变更证据</x:v>
      </x:c>
      <x:c r="M255" s="4" t="str">
        <x:v>M2</x:v>
      </x:c>
      <x:c r="N255" s="4" t="str">
        <x:v>P0-006,P0-007,P0-008,P0-061</x:v>
      </x:c>
      <x:c r="O255" s="4" t="str">
        <x:v>综合方案§13核心数据模型</x:v>
      </x:c>
      <x:c r="P255" s="4" t="str">
        <x:v>DRAFT_FROM_SCHEME</x:v>
      </x:c>
    </x:row>
    <x:row r="256" ht="23" customHeight="1">
      <x:c r="A256" s="4" t="str">
        <x:v>SupplierProduct</x:v>
      </x:c>
      <x:c r="B256" s="4" t="str">
        <x:v>isRetailEnabled</x:v>
      </x:c>
      <x:c r="C256" s="17" t="str">
        <x:v>isRetailEnabled</x:v>
      </x:c>
      <x:c r="D256" s="4" t="str">
        <x:v>9</x:v>
      </x:c>
      <x:c r="E256" s="4" t="str">
        <x:v>Boolean</x:v>
      </x:c>
      <x:c r="F256" s="4" t="str">
        <x:v>YES</x:v>
      </x:c>
      <x:c r="G256" s="4" t="str">
        <x:v>待M阶段冻结</x:v>
      </x:c>
      <x:c r="H256" s="17" t="str">
        <x:v>INTERNAL</x:v>
      </x:c>
      <x:c r="I256" s="17" t="str">
        <x:v>按资源权限与数据域访问；公开DTO另行白名单</x:v>
      </x:c>
      <x:c r="J256" s="17" t="str">
        <x:v>数据库实体不得直接序列化为响应</x:v>
      </x:c>
      <x:c r="K256" s="17" t="str">
        <x:v>DTO白名单；长度/枚举/归属/状态校验；禁止信任客户端派生值</x:v>
      </x:c>
      <x:c r="L256" s="17" t="str">
        <x:v>按实体version或审计日志保留变更证据</x:v>
      </x:c>
      <x:c r="M256" s="4" t="str">
        <x:v>M2</x:v>
      </x:c>
      <x:c r="N256" s="4" t="str">
        <x:v>P0-006,P0-007,P0-008,P0-061</x:v>
      </x:c>
      <x:c r="O256" s="4" t="str">
        <x:v>综合方案§13核心数据模型</x:v>
      </x:c>
      <x:c r="P256" s="4" t="str">
        <x:v>DRAFT_FROM_SCHEME</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待M阶段冻结</x:v>
      </x:c>
      <x:c r="H257" s="17" t="str">
        <x:v>INTERNAL</x:v>
      </x:c>
      <x:c r="I257" s="17" t="str">
        <x:v>按资源权限与数据域访问；公开DTO另行白名单</x:v>
      </x:c>
      <x:c r="J257" s="17" t="str">
        <x:v>数据库实体不得直接序列化为响应</x:v>
      </x:c>
      <x:c r="K257" s="17" t="str">
        <x:v>DTO白名单；长度/枚举/归属/状态校验；禁止信任客户端派生值</x:v>
      </x:c>
      <x:c r="L257" s="17" t="str">
        <x:v>按实体version或审计日志保留变更证据</x:v>
      </x:c>
      <x:c r="M257" s="4" t="str">
        <x:v>M2</x:v>
      </x:c>
      <x:c r="N257" s="4" t="str">
        <x:v>P0-006,P0-007,P0-008,P0-061</x:v>
      </x:c>
      <x:c r="O257" s="4" t="str">
        <x:v>综合方案§13核心数据模型</x:v>
      </x:c>
      <x:c r="P257" s="4" t="str">
        <x:v>DRAFT_FROM_SCHEME</x:v>
      </x:c>
    </x:row>
    <x:row r="258" ht="23" customHeight="1">
      <x:c r="A258" s="4" t="str">
        <x:v>SupplierProduct</x:v>
      </x:c>
      <x:c r="B258" s="4" t="str">
        <x:v>enterpriseMinOrderQty</x:v>
      </x:c>
      <x:c r="C258" s="17" t="str">
        <x:v>enterpriseMinOrderQty</x:v>
      </x:c>
      <x:c r="D258" s="4" t="str">
        <x:v>11</x:v>
      </x:c>
      <x:c r="E258" s="4" t="str">
        <x:v>Int</x:v>
      </x:c>
      <x:c r="F258" s="4" t="str">
        <x:v>YES</x:v>
      </x:c>
      <x:c r="G258" s="4" t="str">
        <x:v>待M阶段冻结</x:v>
      </x:c>
      <x:c r="H258" s="17" t="str">
        <x:v>INTERNAL</x:v>
      </x:c>
      <x:c r="I258" s="17" t="str">
        <x:v>按资源权限与数据域访问；公开DTO另行白名单</x:v>
      </x:c>
      <x:c r="J258" s="17" t="str">
        <x:v>数据库实体不得直接序列化为响应</x:v>
      </x:c>
      <x:c r="K258" s="17" t="str">
        <x:v>DTO白名单；长度/枚举/归属/状态校验；禁止信任客户端派生值</x:v>
      </x:c>
      <x:c r="L258" s="17" t="str">
        <x:v>按实体version或审计日志保留变更证据</x:v>
      </x:c>
      <x:c r="M258" s="4" t="str">
        <x:v>M2</x:v>
      </x:c>
      <x:c r="N258" s="4" t="str">
        <x:v>P0-006,P0-007,P0-008,P0-061</x:v>
      </x:c>
      <x:c r="O258" s="4" t="str">
        <x:v>综合方案§13核心数据模型</x:v>
      </x:c>
      <x:c r="P258" s="4" t="str">
        <x:v>DRAFT_FROM_SCHEME</x:v>
      </x:c>
    </x:row>
    <x:row r="259" ht="23" customHeight="1">
      <x:c r="A259" s="4" t="str">
        <x:v>SupplierProduct</x:v>
      </x:c>
      <x:c r="B259" s="4" t="str">
        <x:v>enterprisePackageMultiple</x:v>
      </x:c>
      <x:c r="C259" s="17" t="str">
        <x:v>enterprisePackageMultiple</x:v>
      </x:c>
      <x:c r="D259" s="4" t="str">
        <x:v>12</x:v>
      </x:c>
      <x:c r="E259" s="4" t="str">
        <x:v>String</x:v>
      </x:c>
      <x:c r="F259" s="4" t="str">
        <x:v>YES</x:v>
      </x:c>
      <x:c r="G259" s="4" t="str">
        <x:v>待M阶段冻结</x:v>
      </x:c>
      <x:c r="H259" s="17" t="str">
        <x:v>PERSONAL_OR_SENSITIVE</x:v>
      </x:c>
      <x:c r="I259" s="17" t="str">
        <x:v>按角色、对象归属及配送阶段脱敏/解密</x:v>
      </x:c>
      <x:c r="J259" s="17" t="str">
        <x:v>禁止跨供应商、越阶段或批量无审批导出</x:v>
      </x:c>
      <x:c r="K259" s="17" t="str">
        <x:v>DTO白名单；长度/枚举/归属/状态校验；禁止信任客户端派生值</x:v>
      </x:c>
      <x:c r="L259" s="17" t="str">
        <x:v>按实体version或审计日志保留变更证据</x:v>
      </x:c>
      <x:c r="M259" s="4" t="str">
        <x:v>M2</x:v>
      </x:c>
      <x:c r="N259" s="4" t="str">
        <x:v>P0-006,P0-007,P0-008,P0-061</x:v>
      </x:c>
      <x:c r="O259" s="4" t="str">
        <x:v>综合方案§13核心数据模型</x:v>
      </x:c>
      <x:c r="P259" s="4" t="str">
        <x:v>DRAFT_FROM_SCHEME</x:v>
      </x:c>
    </x:row>
    <x:row r="260" ht="23" customHeight="1">
      <x:c r="A260" s="4" t="str">
        <x:v>SupplierProduct</x:v>
      </x:c>
      <x:c r="B260" s="4" t="str">
        <x:v>preparationMinutes</x:v>
      </x:c>
      <x:c r="C260" s="17" t="str">
        <x:v>preparationMinutes</x:v>
      </x:c>
      <x:c r="D260" s="4" t="str">
        <x:v>13</x:v>
      </x:c>
      <x:c r="E260" s="4" t="str">
        <x:v>Int</x:v>
      </x:c>
      <x:c r="F260" s="4" t="str">
        <x:v>YES</x:v>
      </x:c>
      <x:c r="G260" s="4" t="str">
        <x:v>待M阶段冻结</x:v>
      </x:c>
      <x:c r="H260" s="17" t="str">
        <x:v>INTERNAL</x:v>
      </x:c>
      <x:c r="I260" s="17" t="str">
        <x:v>按资源权限与数据域访问；公开DTO另行白名单</x:v>
      </x:c>
      <x:c r="J260" s="17" t="str">
        <x:v>数据库实体不得直接序列化为响应</x:v>
      </x:c>
      <x:c r="K260" s="17" t="str">
        <x:v>DTO白名单；长度/枚举/归属/状态校验；禁止信任客户端派生值</x:v>
      </x:c>
      <x:c r="L260" s="17" t="str">
        <x:v>按实体version或审计日志保留变更证据</x:v>
      </x:c>
      <x:c r="M260" s="4" t="str">
        <x:v>M2</x:v>
      </x:c>
      <x:c r="N260" s="4" t="str">
        <x:v>P0-006,P0-007,P0-008,P0-061</x:v>
      </x:c>
      <x:c r="O260" s="4" t="str">
        <x:v>综合方案§13核心数据模型</x:v>
      </x:c>
      <x:c r="P260" s="4" t="str">
        <x:v>DRAFT_FROM_SCHEME</x:v>
      </x:c>
    </x:row>
    <x:row r="261" ht="23" customHeight="1">
      <x:c r="A261" s="4" t="str">
        <x:v>SupplierProduct</x:v>
      </x:c>
      <x:c r="B261" s="4" t="str">
        <x:v>status</x:v>
      </x:c>
      <x:c r="C261" s="17" t="str">
        <x:v>status</x:v>
      </x:c>
      <x:c r="D261" s="4" t="str">
        <x:v>14</x:v>
      </x:c>
      <x:c r="E261" s="4" t="str">
        <x:v>Enum/String</x:v>
      </x:c>
      <x:c r="F261" s="4" t="str">
        <x:v>YES</x:v>
      </x:c>
      <x:c r="G261" s="4" t="str">
        <x:v>待M阶段冻结</x:v>
      </x:c>
      <x:c r="H261" s="17" t="str">
        <x:v>INTERNAL</x:v>
      </x:c>
      <x:c r="I261" s="17" t="str">
        <x:v>按资源权限与数据域访问；公开DTO另行白名单</x:v>
      </x:c>
      <x:c r="J261" s="17" t="str">
        <x:v>数据库实体不得直接序列化为响应</x:v>
      </x:c>
      <x:c r="K261" s="17" t="str">
        <x:v>DTO白名单；长度/枚举/归属/状态校验；禁止信任客户端派生值</x:v>
      </x:c>
      <x:c r="L261" s="17" t="str">
        <x:v>按实体version或审计日志保留变更证据</x:v>
      </x:c>
      <x:c r="M261" s="4" t="str">
        <x:v>M2</x:v>
      </x:c>
      <x:c r="N261" s="4" t="str">
        <x:v>P0-006,P0-007,P0-008,P0-061</x:v>
      </x:c>
      <x:c r="O261" s="4" t="str">
        <x:v>综合方案§13核心数据模型</x:v>
      </x:c>
      <x:c r="P261" s="4" t="str">
        <x:v>DRAFT_FROM_SCHEME</x:v>
      </x:c>
    </x:row>
    <x:row r="262" ht="23" customHeight="1">
      <x:c r="A262" s="4" t="str">
        <x:v>SupplierProduct</x:v>
      </x:c>
      <x:c r="B262" s="4" t="str">
        <x:v>version</x:v>
      </x:c>
      <x:c r="C262" s="17" t="str">
        <x:v>version</x:v>
      </x:c>
      <x:c r="D262" s="4" t="str">
        <x:v>15</x:v>
      </x:c>
      <x:c r="E262" s="4" t="str">
        <x:v>Int</x:v>
      </x:c>
      <x:c r="F262" s="4" t="str">
        <x:v>YES</x:v>
      </x:c>
      <x:c r="G262" s="4" t="str">
        <x:v>待M阶段冻结</x:v>
      </x:c>
      <x:c r="H262" s="17" t="str">
        <x:v>INTERNAL</x:v>
      </x:c>
      <x:c r="I262" s="17" t="str">
        <x:v>按资源权限与数据域访问；公开DTO另行白名单</x:v>
      </x:c>
      <x:c r="J262" s="17" t="str">
        <x:v>数据库实体不得直接序列化为响应</x:v>
      </x:c>
      <x:c r="K262" s="17" t="str">
        <x:v>DTO白名单；长度/枚举/归属/状态校验；禁止信任客户端派生值</x:v>
      </x:c>
      <x:c r="L262" s="17" t="str">
        <x:v>按实体version或审计日志保留变更证据</x:v>
      </x:c>
      <x:c r="M262" s="4" t="str">
        <x:v>M2</x:v>
      </x:c>
      <x:c r="N262" s="4" t="str">
        <x:v>P0-006,P0-007,P0-008,P0-061</x:v>
      </x:c>
      <x:c r="O262" s="4" t="str">
        <x:v>综合方案§13核心数据模型</x:v>
      </x:c>
      <x:c r="P262" s="4" t="str">
        <x:v>DRAFT_FROM_SCHEME</x:v>
      </x:c>
    </x:row>
    <x:row r="263" ht="23" customHeight="1">
      <x:c r="A263" s="4" t="str">
        <x:v>SupplierProductSku</x:v>
      </x:c>
      <x:c r="B263" s="4" t="str">
        <x:v>id</x:v>
      </x:c>
      <x:c r="C263" s="17" t="str">
        <x:v>id</x:v>
      </x:c>
      <x:c r="D263" s="4" t="str">
        <x:v>1</x:v>
      </x:c>
      <x:c r="E263" s="4" t="str">
        <x:v>String/UUID</x:v>
      </x:c>
      <x:c r="F263" s="4" t="str">
        <x:v>YES</x:v>
      </x:c>
      <x:c r="G263" s="4" t="str">
        <x:v>待M阶段冻结</x:v>
      </x:c>
      <x:c r="H263" s="17" t="str">
        <x:v>INTERNAL</x:v>
      </x:c>
      <x:c r="I263" s="17" t="str">
        <x:v>按资源权限与数据域访问；公开DTO另行白名单</x:v>
      </x:c>
      <x:c r="J263" s="17" t="str">
        <x:v>数据库实体不得直接序列化为响应</x:v>
      </x:c>
      <x:c r="K263" s="17" t="str">
        <x:v>DTO白名单；长度/枚举/归属/状态校验；禁止信任客户端派生值</x:v>
      </x:c>
      <x:c r="L263" s="17" t="str">
        <x:v>按实体version或审计日志保留变更证据</x:v>
      </x:c>
      <x:c r="M263" s="4" t="str">
        <x:v>M2</x:v>
      </x:c>
      <x:c r="N263" s="4" t="str">
        <x:v>待切片细化</x:v>
      </x:c>
      <x:c r="O263" s="4" t="str">
        <x:v>综合方案§13核心数据模型</x:v>
      </x:c>
      <x:c r="P263" s="4" t="str">
        <x:v>DRAFT_FROM_SCHEME</x:v>
      </x:c>
    </x:row>
    <x:row r="264" ht="23" customHeight="1">
      <x:c r="A264" s="4" t="str">
        <x:v>SupplierProductSku</x:v>
      </x:c>
      <x:c r="B264" s="4" t="str">
        <x:v>supplierProductId</x:v>
      </x:c>
      <x:c r="C264" s="17" t="str">
        <x:v>supplierProductId</x:v>
      </x:c>
      <x:c r="D264" s="4" t="str">
        <x:v>2</x:v>
      </x:c>
      <x:c r="E264" s="4" t="str">
        <x:v>String/UUID</x:v>
      </x:c>
      <x:c r="F264" s="4" t="str">
        <x:v>YES</x:v>
      </x:c>
      <x:c r="G264" s="4" t="str">
        <x:v>待M阶段冻结</x:v>
      </x:c>
      <x:c r="H264" s="17" t="str">
        <x:v>INTERNAL</x:v>
      </x:c>
      <x:c r="I264" s="17" t="str">
        <x:v>按资源权限与数据域访问；公开DTO另行白名单</x:v>
      </x:c>
      <x:c r="J264" s="17" t="str">
        <x:v>数据库实体不得直接序列化为响应</x:v>
      </x:c>
      <x:c r="K264" s="17" t="str">
        <x:v>DTO白名单；长度/枚举/归属/状态校验；禁止信任客户端派生值</x:v>
      </x:c>
      <x:c r="L264" s="17" t="str">
        <x:v>按实体version或审计日志保留变更证据</x:v>
      </x:c>
      <x:c r="M264" s="4" t="str">
        <x:v>M2</x:v>
      </x:c>
      <x:c r="N264" s="4" t="str">
        <x:v>待切片细化</x:v>
      </x:c>
      <x:c r="O264" s="4" t="str">
        <x:v>综合方案§13核心数据模型</x:v>
      </x:c>
      <x:c r="P264" s="4" t="str">
        <x:v>DRAFT_FROM_SCHEME</x:v>
      </x:c>
    </x:row>
    <x:row r="265" ht="23" customHeight="1">
      <x:c r="A265" s="4" t="str">
        <x:v>SupplierProductSku</x:v>
      </x:c>
      <x:c r="B265" s="4" t="str">
        <x:v>supplierSkuCode</x:v>
      </x:c>
      <x:c r="C265" s="17" t="str">
        <x:v>supplierSkuCode</x:v>
      </x:c>
      <x:c r="D265" s="4" t="str">
        <x:v>3</x:v>
      </x:c>
      <x:c r="E265" s="4" t="str">
        <x:v>String</x:v>
      </x:c>
      <x:c r="F265" s="4" t="str">
        <x:v>YES</x:v>
      </x:c>
      <x:c r="G265" s="4" t="str">
        <x:v>待M阶段冻结</x:v>
      </x:c>
      <x:c r="H265" s="17" t="str">
        <x:v>INTERNAL</x:v>
      </x:c>
      <x:c r="I265" s="17" t="str">
        <x:v>按资源权限与数据域访问；公开DTO另行白名单</x:v>
      </x:c>
      <x:c r="J265" s="17" t="str">
        <x:v>数据库实体不得直接序列化为响应</x:v>
      </x:c>
      <x:c r="K265" s="17" t="str">
        <x:v>DTO白名单；长度/枚举/归属/状态校验；禁止信任客户端派生值</x:v>
      </x:c>
      <x:c r="L265" s="17" t="str">
        <x:v>按实体version或审计日志保留变更证据</x:v>
      </x:c>
      <x:c r="M265" s="4" t="str">
        <x:v>M2</x:v>
      </x:c>
      <x:c r="N265" s="4" t="str">
        <x:v>待切片细化</x:v>
      </x:c>
      <x:c r="O265" s="4" t="str">
        <x:v>综合方案§13核心数据模型</x:v>
      </x:c>
      <x:c r="P265" s="4" t="str">
        <x:v>DRAFT_FROM_SCHEME</x:v>
      </x:c>
    </x:row>
    <x:row r="266" ht="23" customHeight="1">
      <x:c r="A266" s="4" t="str">
        <x:v>SupplierProductSku</x:v>
      </x:c>
      <x:c r="B266" s="4" t="str">
        <x:v>attributes</x:v>
      </x:c>
      <x:c r="C266" s="17" t="str">
        <x:v>attributes</x:v>
      </x:c>
      <x:c r="D266" s="4" t="str">
        <x:v>4</x:v>
      </x:c>
      <x:c r="E266" s="4" t="str">
        <x:v>Json</x:v>
      </x:c>
      <x:c r="F266" s="4" t="str">
        <x:v>YES</x:v>
      </x:c>
      <x:c r="G266" s="4" t="str">
        <x:v>待M阶段冻结</x:v>
      </x:c>
      <x:c r="H266" s="17" t="str">
        <x:v>INTERNAL</x:v>
      </x:c>
      <x:c r="I266" s="17" t="str">
        <x:v>按资源权限与数据域访问；公开DTO另行白名单</x:v>
      </x:c>
      <x:c r="J266" s="17" t="str">
        <x:v>数据库实体不得直接序列化为响应</x:v>
      </x:c>
      <x:c r="K266" s="17" t="str">
        <x:v>DTO白名单；长度/枚举/归属/状态校验；禁止信任客户端派生值</x:v>
      </x:c>
      <x:c r="L266" s="17" t="str">
        <x:v>按实体version或审计日志保留变更证据</x:v>
      </x:c>
      <x:c r="M266" s="4" t="str">
        <x:v>M2</x:v>
      </x:c>
      <x:c r="N266" s="4" t="str">
        <x:v>待切片细化</x:v>
      </x:c>
      <x:c r="O266" s="4" t="str">
        <x:v>综合方案§13核心数据模型</x:v>
      </x:c>
      <x:c r="P266" s="4" t="str">
        <x:v>DRAFT_FROM_SCHEME</x:v>
      </x:c>
    </x:row>
    <x:row r="267" ht="23" customHeight="1">
      <x:c r="A267" s="4" t="str">
        <x:v>SupplierProductSku</x:v>
      </x:c>
      <x:c r="B267" s="4" t="str">
        <x:v>requestedSupplyPrice</x:v>
      </x:c>
      <x:c r="C267" s="17" t="str">
        <x:v>requestedSupplyPrice</x:v>
      </x:c>
      <x:c r="D267" s="4" t="str">
        <x:v>5</x:v>
      </x:c>
      <x:c r="E267" s="4" t="str">
        <x:v>Int(分)</x:v>
      </x:c>
      <x:c r="F267" s="4" t="str">
        <x:v>YES</x:v>
      </x:c>
      <x:c r="G267" s="4" t="str">
        <x:v>整数分</x:v>
      </x:c>
      <x:c r="H267" s="17" t="str">
        <x:v>STRICT_INTERNAL_SUPPLY_PRICE</x:v>
      </x:c>
      <x:c r="I267" s="17" t="str">
        <x:v>仅公司价格/财务及本供应商价格/财务职能可见</x:v>
      </x:c>
      <x:c r="J267" s="17" t="str">
        <x:v>禁止出现在消费者端、企业采购端、门户公开端及非授权日志</x:v>
      </x:c>
      <x:c r="K267" s="17" t="str">
        <x:v>DTO白名单；长度/枚举/归属/状态校验；禁止信任客户端派生值</x:v>
      </x:c>
      <x:c r="L267" s="17" t="str">
        <x:v>按实体version或审计日志保留变更证据</x:v>
      </x:c>
      <x:c r="M267" s="4" t="str">
        <x:v>M2</x:v>
      </x:c>
      <x:c r="N267" s="4" t="str">
        <x:v>待切片细化</x:v>
      </x:c>
      <x:c r="O267" s="4" t="str">
        <x:v>综合方案§13核心数据模型</x:v>
      </x:c>
      <x:c r="P267" s="4" t="str">
        <x:v>DRAFT_FROM_SCHEME</x:v>
      </x:c>
    </x:row>
    <x:row r="268" ht="23" customHeight="1">
      <x:c r="A268" s="4" t="str">
        <x:v>SupplierProductSku</x:v>
      </x:c>
      <x:c r="B268" s="4" t="str">
        <x:v>requestedRetailSalePrice</x:v>
      </x:c>
      <x:c r="C268" s="17" t="str">
        <x:v>requestedRetailSalePrice</x:v>
      </x:c>
      <x:c r="D268" s="4" t="str">
        <x:v>6</x:v>
      </x:c>
      <x:c r="E268" s="4" t="str">
        <x:v>Int(分)</x:v>
      </x:c>
      <x:c r="F268" s="4" t="str">
        <x:v>YES</x:v>
      </x:c>
      <x:c r="G268" s="4" t="str">
        <x:v>整数分</x:v>
      </x:c>
      <x:c r="H268" s="17" t="str">
        <x:v>INTERNAL</x:v>
      </x:c>
      <x:c r="I268" s="17" t="str">
        <x:v>按资源权限与数据域访问；公开DTO另行白名单</x:v>
      </x:c>
      <x:c r="J268" s="17" t="str">
        <x:v>数据库实体不得直接序列化为响应</x:v>
      </x:c>
      <x:c r="K268" s="17" t="str">
        <x:v>DTO白名单；长度/枚举/归属/状态校验；禁止信任客户端派生值</x:v>
      </x:c>
      <x:c r="L268" s="17" t="str">
        <x:v>按实体version或审计日志保留变更证据</x:v>
      </x:c>
      <x:c r="M268" s="4" t="str">
        <x:v>M2</x:v>
      </x:c>
      <x:c r="N268" s="4" t="str">
        <x:v>待切片细化</x:v>
      </x:c>
      <x:c r="O268" s="4" t="str">
        <x:v>综合方案§13核心数据模型</x:v>
      </x:c>
      <x:c r="P268" s="4" t="str">
        <x:v>DRAFT_FROM_SCHEME</x:v>
      </x:c>
    </x:row>
    <x:row r="269" ht="23" customHeight="1">
      <x:c r="A269" s="4" t="str">
        <x:v>SupplierProductSku</x:v>
      </x:c>
      <x:c r="B269" s="4" t="str">
        <x:v>requestedEnterpriseSalePrice</x:v>
      </x:c>
      <x:c r="C269" s="17" t="str">
        <x:v>requestedEnterpriseSalePrice</x:v>
      </x:c>
      <x:c r="D269" s="4" t="str">
        <x:v>7</x:v>
      </x:c>
      <x:c r="E269" s="4" t="str">
        <x:v>Int(分)</x:v>
      </x:c>
      <x:c r="F269" s="4" t="str">
        <x:v>YES</x:v>
      </x:c>
      <x:c r="G269" s="4" t="str">
        <x:v>整数分</x:v>
      </x:c>
      <x:c r="H269" s="17" t="str">
        <x:v>INTERNAL</x:v>
      </x:c>
      <x:c r="I269" s="17" t="str">
        <x:v>按资源权限与数据域访问；公开DTO另行白名单</x:v>
      </x:c>
      <x:c r="J269" s="17" t="str">
        <x:v>数据库实体不得直接序列化为响应</x:v>
      </x:c>
      <x:c r="K269" s="17" t="str">
        <x:v>DTO白名单；长度/枚举/归属/状态校验；禁止信任客户端派生值</x:v>
      </x:c>
      <x:c r="L269" s="17" t="str">
        <x:v>按实体version或审计日志保留变更证据</x:v>
      </x:c>
      <x:c r="M269" s="4" t="str">
        <x:v>M2</x:v>
      </x:c>
      <x:c r="N269" s="4" t="str">
        <x:v>待切片细化</x:v>
      </x:c>
      <x:c r="O269" s="4" t="str">
        <x:v>综合方案§13核心数据模型</x:v>
      </x:c>
      <x:c r="P269" s="4" t="str">
        <x:v>DRAFT_FROM_SCHEME</x:v>
      </x:c>
    </x:row>
    <x:row r="270" ht="23" customHeight="1">
      <x:c r="A270" s="4" t="str">
        <x:v>SupplierProductSku</x:v>
      </x:c>
      <x:c r="B270" s="4" t="str">
        <x:v>initialStock</x:v>
      </x:c>
      <x:c r="C270" s="17" t="str">
        <x:v>initialStock</x:v>
      </x:c>
      <x:c r="D270" s="4" t="str">
        <x:v>8</x:v>
      </x:c>
      <x:c r="E270" s="4" t="str">
        <x:v>String</x:v>
      </x:c>
      <x:c r="F270" s="4" t="str">
        <x:v>YES</x:v>
      </x:c>
      <x:c r="G270" s="4" t="str">
        <x:v>待M阶段冻结</x:v>
      </x:c>
      <x:c r="H270" s="17" t="str">
        <x:v>INTERNAL</x:v>
      </x:c>
      <x:c r="I270" s="17" t="str">
        <x:v>按资源权限与数据域访问；公开DTO另行白名单</x:v>
      </x:c>
      <x:c r="J270" s="17" t="str">
        <x:v>数据库实体不得直接序列化为响应</x:v>
      </x:c>
      <x:c r="K270" s="17" t="str">
        <x:v>DTO白名单；长度/枚举/归属/状态校验；禁止信任客户端派生值</x:v>
      </x:c>
      <x:c r="L270" s="17" t="str">
        <x:v>按实体version或审计日志保留变更证据</x:v>
      </x:c>
      <x:c r="M270" s="4" t="str">
        <x:v>M2</x:v>
      </x:c>
      <x:c r="N270" s="4" t="str">
        <x:v>待切片细化</x:v>
      </x:c>
      <x:c r="O270" s="4" t="str">
        <x:v>综合方案§13核心数据模型</x:v>
      </x:c>
      <x:c r="P270" s="4" t="str">
        <x:v>DRAFT_FROM_SCHEME</x:v>
      </x:c>
    </x:row>
    <x:row r="271" ht="23" customHeight="1">
      <x:c r="A271" s="4" t="str">
        <x:v>SupplierProductSku</x:v>
      </x:c>
      <x:c r="B271" s="4" t="str">
        <x:v>status</x:v>
      </x:c>
      <x:c r="C271" s="17" t="str">
        <x:v>status</x:v>
      </x:c>
      <x:c r="D271" s="4" t="str">
        <x:v>9</x:v>
      </x:c>
      <x:c r="E271" s="4" t="str">
        <x:v>Enum/String</x:v>
      </x:c>
      <x:c r="F271" s="4" t="str">
        <x:v>YES</x:v>
      </x:c>
      <x:c r="G271" s="4" t="str">
        <x:v>待M阶段冻结</x:v>
      </x:c>
      <x:c r="H271" s="17" t="str">
        <x:v>INTERNAL</x:v>
      </x:c>
      <x:c r="I271" s="17" t="str">
        <x:v>按资源权限与数据域访问；公开DTO另行白名单</x:v>
      </x:c>
      <x:c r="J271" s="17" t="str">
        <x:v>数据库实体不得直接序列化为响应</x:v>
      </x:c>
      <x:c r="K271" s="17" t="str">
        <x:v>DTO白名单；长度/枚举/归属/状态校验；禁止信任客户端派生值</x:v>
      </x:c>
      <x:c r="L271" s="17" t="str">
        <x:v>按实体version或审计日志保留变更证据</x:v>
      </x:c>
      <x:c r="M271" s="4" t="str">
        <x:v>M2</x:v>
      </x:c>
      <x:c r="N271" s="4" t="str">
        <x:v>待切片细化</x:v>
      </x:c>
      <x:c r="O271" s="4" t="str">
        <x:v>综合方案§13核心数据模型</x:v>
      </x:c>
      <x:c r="P271" s="4" t="str">
        <x:v>DRAFT_FROM_SCHEME</x:v>
      </x:c>
    </x:row>
    <x:row r="272" ht="23" customHeight="1">
      <x:c r="A272" s="4" t="str">
        <x:v>Product</x:v>
      </x:c>
      <x:c r="B272" s="4" t="str">
        <x:v>id</x:v>
      </x:c>
      <x:c r="C272" s="17" t="str">
        <x:v>id</x:v>
      </x:c>
      <x:c r="D272" s="4" t="str">
        <x:v>1</x:v>
      </x:c>
      <x:c r="E272" s="4" t="str">
        <x:v>String/UUID</x:v>
      </x:c>
      <x:c r="F272" s="4" t="str">
        <x:v>YES</x:v>
      </x:c>
      <x:c r="G272" s="4" t="str">
        <x:v>待M阶段冻结</x:v>
      </x:c>
      <x:c r="H272" s="17" t="str">
        <x:v>INTERNAL</x:v>
      </x:c>
      <x:c r="I272" s="17" t="str">
        <x:v>按资源权限与数据域访问；公开DTO另行白名单</x:v>
      </x:c>
      <x:c r="J272" s="17" t="str">
        <x:v>数据库实体不得直接序列化为响应</x:v>
      </x:c>
      <x:c r="K272" s="17" t="str">
        <x:v>DTO白名单；长度/枚举/归属/状态校验；禁止信任客户端派生值</x:v>
      </x:c>
      <x:c r="L272" s="17" t="str">
        <x:v>按实体version或审计日志保留变更证据</x:v>
      </x:c>
      <x:c r="M272" s="4" t="str">
        <x:v>M2</x:v>
      </x:c>
      <x:c r="N272" s="4" t="str">
        <x:v>待切片细化</x:v>
      </x:c>
      <x:c r="O272" s="4" t="str">
        <x:v>综合方案§13核心数据模型</x:v>
      </x:c>
      <x:c r="P272" s="4" t="str">
        <x:v>DRAFT_FROM_SCHEME</x:v>
      </x:c>
    </x:row>
    <x:row r="273" ht="23" customHeight="1">
      <x:c r="A273" s="4" t="str">
        <x:v>Product</x:v>
      </x:c>
      <x:c r="B273" s="4" t="str">
        <x:v>companyId</x:v>
      </x:c>
      <x:c r="C273" s="17" t="str">
        <x:v>companyId</x:v>
      </x:c>
      <x:c r="D273" s="4" t="str">
        <x:v>2</x:v>
      </x:c>
      <x:c r="E273" s="4" t="str">
        <x:v>String/UUID</x:v>
      </x:c>
      <x:c r="F273" s="4" t="str">
        <x:v>YES</x:v>
      </x:c>
      <x:c r="G273" s="4" t="str">
        <x:v>待M阶段冻结</x:v>
      </x:c>
      <x:c r="H273" s="17" t="str">
        <x:v>INTERNAL</x:v>
      </x:c>
      <x:c r="I273" s="17" t="str">
        <x:v>按资源权限与数据域访问；公开DTO另行白名单</x:v>
      </x:c>
      <x:c r="J273" s="17" t="str">
        <x:v>数据库实体不得直接序列化为响应</x:v>
      </x:c>
      <x:c r="K273" s="17" t="str">
        <x:v>DTO白名单；长度/枚举/归属/状态校验；禁止信任客户端派生值</x:v>
      </x:c>
      <x:c r="L273" s="17" t="str">
        <x:v>按实体version或审计日志保留变更证据</x:v>
      </x:c>
      <x:c r="M273" s="4" t="str">
        <x:v>M2</x:v>
      </x:c>
      <x:c r="N273" s="4" t="str">
        <x:v>待切片细化</x:v>
      </x:c>
      <x:c r="O273" s="4" t="str">
        <x:v>综合方案§13核心数据模型</x:v>
      </x:c>
      <x:c r="P273" s="4" t="str">
        <x:v>DRAFT_FROM_SCHEME</x:v>
      </x:c>
    </x:row>
    <x:row r="274" ht="23" customHeight="1">
      <x:c r="A274" s="4" t="str">
        <x:v>Product</x:v>
      </x:c>
      <x:c r="B274" s="4" t="str">
        <x:v>supplierId</x:v>
      </x:c>
      <x:c r="C274" s="17" t="str">
        <x:v>supplierId</x:v>
      </x:c>
      <x:c r="D274" s="4" t="str">
        <x:v>3</x:v>
      </x:c>
      <x:c r="E274" s="4" t="str">
        <x:v>String/UUID</x:v>
      </x:c>
      <x:c r="F274" s="4" t="str">
        <x:v>YES</x:v>
      </x:c>
      <x:c r="G274" s="4" t="str">
        <x:v>待M阶段冻结</x:v>
      </x:c>
      <x:c r="H274" s="17" t="str">
        <x:v>INTERNAL</x:v>
      </x:c>
      <x:c r="I274" s="17" t="str">
        <x:v>按资源权限与数据域访问；公开DTO另行白名单</x:v>
      </x:c>
      <x:c r="J274" s="17" t="str">
        <x:v>数据库实体不得直接序列化为响应</x:v>
      </x:c>
      <x:c r="K274" s="17" t="str">
        <x:v>DTO白名单；长度/枚举/归属/状态校验；禁止信任客户端派生值</x:v>
      </x:c>
      <x:c r="L274" s="17" t="str">
        <x:v>按实体version或审计日志保留变更证据</x:v>
      </x:c>
      <x:c r="M274" s="4" t="str">
        <x:v>M2</x:v>
      </x:c>
      <x:c r="N274" s="4" t="str">
        <x:v>待切片细化</x:v>
      </x:c>
      <x:c r="O274" s="4" t="str">
        <x:v>综合方案§13核心数据模型</x:v>
      </x:c>
      <x:c r="P274" s="4" t="str">
        <x:v>DRAFT_FROM_SCHEME</x:v>
      </x:c>
    </x:row>
    <x:row r="275" ht="23" customHeight="1">
      <x:c r="A275" s="4" t="str">
        <x:v>Product</x:v>
      </x:c>
      <x:c r="B275" s="4" t="str">
        <x:v>supplierProductId</x:v>
      </x:c>
      <x:c r="C275" s="17" t="str">
        <x:v>supplierProductId</x:v>
      </x:c>
      <x:c r="D275" s="4" t="str">
        <x:v>4</x:v>
      </x:c>
      <x:c r="E275" s="4" t="str">
        <x:v>String/UUID</x:v>
      </x:c>
      <x:c r="F275" s="4" t="str">
        <x:v>YES</x:v>
      </x:c>
      <x:c r="G275" s="4" t="str">
        <x:v>待M阶段冻结</x:v>
      </x:c>
      <x:c r="H275" s="17" t="str">
        <x:v>INTERNAL</x:v>
      </x:c>
      <x:c r="I275" s="17" t="str">
        <x:v>按资源权限与数据域访问；公开DTO另行白名单</x:v>
      </x:c>
      <x:c r="J275" s="17" t="str">
        <x:v>数据库实体不得直接序列化为响应</x:v>
      </x:c>
      <x:c r="K275" s="17" t="str">
        <x:v>DTO白名单；长度/枚举/归属/状态校验；禁止信任客户端派生值</x:v>
      </x:c>
      <x:c r="L275" s="17" t="str">
        <x:v>按实体version或审计日志保留变更证据</x:v>
      </x:c>
      <x:c r="M275" s="4" t="str">
        <x:v>M2</x:v>
      </x:c>
      <x:c r="N275" s="4" t="str">
        <x:v>待切片细化</x:v>
      </x:c>
      <x:c r="O275" s="4" t="str">
        <x:v>综合方案§13核心数据模型</x:v>
      </x:c>
      <x:c r="P275" s="4" t="str">
        <x:v>DRAFT_FROM_SCHEME</x:v>
      </x:c>
    </x:row>
    <x:row r="276" ht="23" customHeight="1">
      <x:c r="A276" s="4" t="str">
        <x:v>Product</x:v>
      </x:c>
      <x:c r="B276" s="4" t="str">
        <x:v>categoryId</x:v>
      </x:c>
      <x:c r="C276" s="17" t="str">
        <x:v>categoryId</x:v>
      </x:c>
      <x:c r="D276" s="4" t="str">
        <x:v>5</x:v>
      </x:c>
      <x:c r="E276" s="4" t="str">
        <x:v>String/UUID</x:v>
      </x:c>
      <x:c r="F276" s="4" t="str">
        <x:v>YES</x:v>
      </x:c>
      <x:c r="G276" s="4" t="str">
        <x:v>待M阶段冻结</x:v>
      </x:c>
      <x:c r="H276" s="17" t="str">
        <x:v>INTERNAL</x:v>
      </x:c>
      <x:c r="I276" s="17" t="str">
        <x:v>按资源权限与数据域访问；公开DTO另行白名单</x:v>
      </x:c>
      <x:c r="J276" s="17" t="str">
        <x:v>数据库实体不得直接序列化为响应</x:v>
      </x:c>
      <x:c r="K276" s="17" t="str">
        <x:v>DTO白名单；长度/枚举/归属/状态校验；禁止信任客户端派生值</x:v>
      </x:c>
      <x:c r="L276" s="17" t="str">
        <x:v>按实体version或审计日志保留变更证据</x:v>
      </x:c>
      <x:c r="M276" s="4" t="str">
        <x:v>M2</x:v>
      </x:c>
      <x:c r="N276" s="4" t="str">
        <x:v>待切片细化</x:v>
      </x:c>
      <x:c r="O276" s="4" t="str">
        <x:v>综合方案§13核心数据模型</x:v>
      </x:c>
      <x:c r="P276" s="4" t="str">
        <x:v>DRAFT_FROM_SCHEME</x:v>
      </x:c>
    </x:row>
    <x:row r="277" ht="23" customHeight="1">
      <x:c r="A277" s="4" t="str">
        <x:v>Product</x:v>
      </x:c>
      <x:c r="B277" s="4" t="str">
        <x:v>templateVersion</x:v>
      </x:c>
      <x:c r="C277" s="17" t="str">
        <x:v>templateVersion</x:v>
      </x:c>
      <x:c r="D277" s="4" t="str">
        <x:v>6</x:v>
      </x:c>
      <x:c r="E277" s="4" t="str">
        <x:v>Int</x:v>
      </x:c>
      <x:c r="F277" s="4" t="str">
        <x:v>YES</x:v>
      </x:c>
      <x:c r="G277" s="4" t="str">
        <x:v>待M阶段冻结</x:v>
      </x:c>
      <x:c r="H277" s="17" t="str">
        <x:v>PERSONAL_OR_SENSITIVE</x:v>
      </x:c>
      <x:c r="I277" s="17" t="str">
        <x:v>按角色、对象归属及配送阶段脱敏/解密</x:v>
      </x:c>
      <x:c r="J277" s="17" t="str">
        <x:v>禁止跨供应商、越阶段或批量无审批导出</x:v>
      </x:c>
      <x:c r="K277" s="17" t="str">
        <x:v>DTO白名单；长度/枚举/归属/状态校验；禁止信任客户端派生值</x:v>
      </x:c>
      <x:c r="L277" s="17" t="str">
        <x:v>按实体version或审计日志保留变更证据</x:v>
      </x:c>
      <x:c r="M277" s="4" t="str">
        <x:v>M2</x:v>
      </x:c>
      <x:c r="N277" s="4" t="str">
        <x:v>待切片细化</x:v>
      </x:c>
      <x:c r="O277" s="4" t="str">
        <x:v>综合方案§13核心数据模型</x:v>
      </x:c>
      <x:c r="P277" s="4" t="str">
        <x:v>DRAFT_FROM_SCHEME</x:v>
      </x:c>
    </x:row>
    <x:row r="278" ht="23" customHeight="1">
      <x:c r="A278" s="4" t="str">
        <x:v>Product</x:v>
      </x:c>
      <x:c r="B278" s="4" t="str">
        <x:v>name</x:v>
      </x:c>
      <x:c r="C278" s="17" t="str">
        <x:v>name</x:v>
      </x:c>
      <x:c r="D278" s="4" t="str">
        <x:v>7</x:v>
      </x:c>
      <x:c r="E278" s="4" t="str">
        <x:v>String</x:v>
      </x:c>
      <x:c r="F278" s="4" t="str">
        <x:v>YES</x:v>
      </x:c>
      <x:c r="G278" s="4" t="str">
        <x:v>待M阶段冻结</x:v>
      </x:c>
      <x:c r="H278" s="17" t="str">
        <x:v>INTERNAL</x:v>
      </x:c>
      <x:c r="I278" s="17" t="str">
        <x:v>按资源权限与数据域访问；公开DTO另行白名单</x:v>
      </x:c>
      <x:c r="J278" s="17" t="str">
        <x:v>数据库实体不得直接序列化为响应</x:v>
      </x:c>
      <x:c r="K278" s="17" t="str">
        <x:v>DTO白名单；长度/枚举/归属/状态校验；禁止信任客户端派生值</x:v>
      </x:c>
      <x:c r="L278" s="17" t="str">
        <x:v>按实体version或审计日志保留变更证据</x:v>
      </x:c>
      <x:c r="M278" s="4" t="str">
        <x:v>M2</x:v>
      </x:c>
      <x:c r="N278" s="4" t="str">
        <x:v>待切片细化</x:v>
      </x:c>
      <x:c r="O278" s="4" t="str">
        <x:v>综合方案§13核心数据模型</x:v>
      </x:c>
      <x:c r="P278" s="4" t="str">
        <x:v>DRAFT_FROM_SCHEME</x:v>
      </x:c>
    </x:row>
    <x:row r="279" ht="23" customHeight="1">
      <x:c r="A279" s="4" t="str">
        <x:v>Product</x:v>
      </x:c>
      <x:c r="B279" s="4" t="str">
        <x:v>saleStatus</x:v>
      </x:c>
      <x:c r="C279" s="17" t="str">
        <x:v>saleStatus</x:v>
      </x:c>
      <x:c r="D279" s="4" t="str">
        <x:v>8</x:v>
      </x:c>
      <x:c r="E279" s="4" t="str">
        <x:v>Enum/String</x:v>
      </x:c>
      <x:c r="F279" s="4" t="str">
        <x:v>YES</x:v>
      </x:c>
      <x:c r="G279" s="4" t="str">
        <x:v>待M阶段冻结</x:v>
      </x:c>
      <x:c r="H279" s="17" t="str">
        <x:v>INTERNAL</x:v>
      </x:c>
      <x:c r="I279" s="17" t="str">
        <x:v>按资源权限与数据域访问；公开DTO另行白名单</x:v>
      </x:c>
      <x:c r="J279" s="17" t="str">
        <x:v>数据库实体不得直接序列化为响应</x:v>
      </x:c>
      <x:c r="K279" s="17" t="str">
        <x:v>DTO白名单；长度/枚举/归属/状态校验；禁止信任客户端派生值</x:v>
      </x:c>
      <x:c r="L279" s="17" t="str">
        <x:v>按实体version或审计日志保留变更证据</x:v>
      </x:c>
      <x:c r="M279" s="4" t="str">
        <x:v>M2</x:v>
      </x:c>
      <x:c r="N279" s="4" t="str">
        <x:v>待切片细化</x:v>
      </x:c>
      <x:c r="O279" s="4" t="str">
        <x:v>综合方案§13核心数据模型</x:v>
      </x:c>
      <x:c r="P279" s="4" t="str">
        <x:v>DRAFT_FROM_SCHEME</x:v>
      </x:c>
    </x:row>
    <x:row r="280" ht="23" customHeight="1">
      <x:c r="A280" s="4" t="str">
        <x:v>Product</x:v>
      </x:c>
      <x:c r="B280" s="4" t="str">
        <x:v>isRetailEnabled</x:v>
      </x:c>
      <x:c r="C280" s="17" t="str">
        <x:v>isRetailEnabled</x:v>
      </x:c>
      <x:c r="D280" s="4" t="str">
        <x:v>9</x:v>
      </x:c>
      <x:c r="E280" s="4" t="str">
        <x:v>Boolean</x:v>
      </x:c>
      <x:c r="F280" s="4" t="str">
        <x:v>YES</x:v>
      </x:c>
      <x:c r="G280" s="4" t="str">
        <x:v>待M阶段冻结</x:v>
      </x:c>
      <x:c r="H280" s="17" t="str">
        <x:v>INTERNAL</x:v>
      </x:c>
      <x:c r="I280" s="17" t="str">
        <x:v>按资源权限与数据域访问；公开DTO另行白名单</x:v>
      </x:c>
      <x:c r="J280" s="17" t="str">
        <x:v>数据库实体不得直接序列化为响应</x:v>
      </x:c>
      <x:c r="K280" s="17" t="str">
        <x:v>DTO白名单；长度/枚举/归属/状态校验；禁止信任客户端派生值</x:v>
      </x:c>
      <x:c r="L280" s="17" t="str">
        <x:v>按实体version或审计日志保留变更证据</x:v>
      </x:c>
      <x:c r="M280" s="4" t="str">
        <x:v>M2</x:v>
      </x:c>
      <x:c r="N280" s="4" t="str">
        <x:v>待切片细化</x:v>
      </x:c>
      <x:c r="O280" s="4" t="str">
        <x:v>综合方案§13核心数据模型</x:v>
      </x:c>
      <x:c r="P280" s="4" t="str">
        <x:v>DRAFT_FROM_SCHEME</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待M阶段冻结</x:v>
      </x:c>
      <x:c r="H281" s="17" t="str">
        <x:v>INTERNAL</x:v>
      </x:c>
      <x:c r="I281" s="17" t="str">
        <x:v>按资源权限与数据域访问；公开DTO另行白名单</x:v>
      </x:c>
      <x:c r="J281" s="17" t="str">
        <x:v>数据库实体不得直接序列化为响应</x:v>
      </x:c>
      <x:c r="K281" s="17" t="str">
        <x:v>DTO白名单；长度/枚举/归属/状态校验；禁止信任客户端派生值</x:v>
      </x:c>
      <x:c r="L281" s="17" t="str">
        <x:v>按实体version或审计日志保留变更证据</x:v>
      </x:c>
      <x:c r="M281" s="4" t="str">
        <x:v>M2</x:v>
      </x:c>
      <x:c r="N281" s="4" t="str">
        <x:v>待切片细化</x:v>
      </x:c>
      <x:c r="O281" s="4" t="str">
        <x:v>综合方案§13核心数据模型</x:v>
      </x:c>
      <x:c r="P281" s="4" t="str">
        <x:v>DRAFT_FROM_SCHEME</x:v>
      </x:c>
    </x:row>
    <x:row r="282" ht="23" customHeight="1">
      <x:c r="A282" s="4" t="str">
        <x:v>Product</x:v>
      </x:c>
      <x:c r="B282" s="4" t="str">
        <x:v>detailSnapshot</x:v>
      </x:c>
      <x:c r="C282" s="17" t="str">
        <x:v>detailSnapshot</x:v>
      </x:c>
      <x:c r="D282" s="4" t="str">
        <x:v>11</x:v>
      </x:c>
      <x:c r="E282" s="4" t="str">
        <x:v>Json</x:v>
      </x:c>
      <x:c r="F282" s="4" t="str">
        <x:v>YES</x:v>
      </x:c>
      <x:c r="G282" s="4" t="str">
        <x:v>待M阶段冻结</x:v>
      </x:c>
      <x:c r="H282" s="17" t="str">
        <x:v>INTERNAL</x:v>
      </x:c>
      <x:c r="I282" s="17" t="str">
        <x:v>按资源权限与数据域访问；公开DTO另行白名单</x:v>
      </x:c>
      <x:c r="J282" s="17" t="str">
        <x:v>数据库实体不得直接序列化为响应</x:v>
      </x:c>
      <x:c r="K282" s="17" t="str">
        <x:v>DTO白名单；长度/枚举/归属/状态校验；禁止信任客户端派生值</x:v>
      </x:c>
      <x:c r="L282" s="17" t="str">
        <x:v>按实体version或审计日志保留变更证据</x:v>
      </x:c>
      <x:c r="M282" s="4" t="str">
        <x:v>M2</x:v>
      </x:c>
      <x:c r="N282" s="4" t="str">
        <x:v>待切片细化</x:v>
      </x:c>
      <x:c r="O282" s="4" t="str">
        <x:v>综合方案§13核心数据模型</x:v>
      </x:c>
      <x:c r="P282" s="4" t="str">
        <x:v>DRAFT_FROM_SCHEME</x:v>
      </x:c>
    </x:row>
    <x:row r="283" ht="23" customHeight="1">
      <x:c r="A283" s="4" t="str">
        <x:v>Product</x:v>
      </x:c>
      <x:c r="B283" s="4" t="str">
        <x:v>afterSaleSnapshot</x:v>
      </x:c>
      <x:c r="C283" s="17" t="str">
        <x:v>afterSaleSnapshot</x:v>
      </x:c>
      <x:c r="D283" s="4" t="str">
        <x:v>12</x:v>
      </x:c>
      <x:c r="E283" s="4" t="str">
        <x:v>Json</x:v>
      </x:c>
      <x:c r="F283" s="4" t="str">
        <x:v>YES</x:v>
      </x:c>
      <x:c r="G283" s="4" t="str">
        <x:v>待M阶段冻结</x:v>
      </x:c>
      <x:c r="H283" s="17" t="str">
        <x:v>INTERNAL</x:v>
      </x:c>
      <x:c r="I283" s="17" t="str">
        <x:v>按资源权限与数据域访问；公开DTO另行白名单</x:v>
      </x:c>
      <x:c r="J283" s="17" t="str">
        <x:v>数据库实体不得直接序列化为响应</x:v>
      </x:c>
      <x:c r="K283" s="17" t="str">
        <x:v>DTO白名单；长度/枚举/归属/状态校验；禁止信任客户端派生值</x:v>
      </x:c>
      <x:c r="L283" s="17" t="str">
        <x:v>按实体version或审计日志保留变更证据</x:v>
      </x:c>
      <x:c r="M283" s="4" t="str">
        <x:v>M2</x:v>
      </x:c>
      <x:c r="N283" s="4" t="str">
        <x:v>待切片细化</x:v>
      </x:c>
      <x:c r="O283" s="4" t="str">
        <x:v>综合方案§13核心数据模型</x:v>
      </x:c>
      <x:c r="P283" s="4" t="str">
        <x:v>DRAFT_FROM_SCHEME</x:v>
      </x:c>
    </x:row>
    <x:row r="284" ht="23" customHeight="1">
      <x:c r="A284" s="4" t="str">
        <x:v>Product</x:v>
      </x:c>
      <x:c r="B284" s="4" t="str">
        <x:v>deliveryRuleId</x:v>
      </x:c>
      <x:c r="C284" s="17" t="str">
        <x:v>deliveryRuleId</x:v>
      </x:c>
      <x:c r="D284" s="4" t="str">
        <x:v>13</x:v>
      </x:c>
      <x:c r="E284" s="4" t="str">
        <x:v>String/UUID</x:v>
      </x:c>
      <x:c r="F284" s="4" t="str">
        <x:v>YES</x:v>
      </x:c>
      <x:c r="G284" s="4" t="str">
        <x:v>待M阶段冻结</x:v>
      </x:c>
      <x:c r="H284" s="17" t="str">
        <x:v>INTERNAL</x:v>
      </x:c>
      <x:c r="I284" s="17" t="str">
        <x:v>按资源权限与数据域访问；公开DTO另行白名单</x:v>
      </x:c>
      <x:c r="J284" s="17" t="str">
        <x:v>数据库实体不得直接序列化为响应</x:v>
      </x:c>
      <x:c r="K284" s="17" t="str">
        <x:v>DTO白名单；长度/枚举/归属/状态校验；禁止信任客户端派生值</x:v>
      </x:c>
      <x:c r="L284" s="17" t="str">
        <x:v>按实体version或审计日志保留变更证据</x:v>
      </x:c>
      <x:c r="M284" s="4" t="str">
        <x:v>M2</x:v>
      </x:c>
      <x:c r="N284" s="4" t="str">
        <x:v>待切片细化</x:v>
      </x:c>
      <x:c r="O284" s="4" t="str">
        <x:v>综合方案§13核心数据模型</x:v>
      </x:c>
      <x:c r="P284" s="4" t="str">
        <x:v>DRAFT_FROM_SCHEME</x:v>
      </x:c>
    </x:row>
    <x:row r="285" ht="23" customHeight="1">
      <x:c r="A285" s="4" t="str">
        <x:v>Product</x:v>
      </x:c>
      <x:c r="B285" s="4" t="str">
        <x:v>version</x:v>
      </x:c>
      <x:c r="C285" s="17" t="str">
        <x:v>version</x:v>
      </x:c>
      <x:c r="D285" s="4" t="str">
        <x:v>14</x:v>
      </x:c>
      <x:c r="E285" s="4" t="str">
        <x:v>Int</x:v>
      </x:c>
      <x:c r="F285" s="4" t="str">
        <x:v>YES</x:v>
      </x:c>
      <x:c r="G285" s="4" t="str">
        <x:v>待M阶段冻结</x:v>
      </x:c>
      <x:c r="H285" s="17" t="str">
        <x:v>INTERNAL</x:v>
      </x:c>
      <x:c r="I285" s="17" t="str">
        <x:v>按资源权限与数据域访问；公开DTO另行白名单</x:v>
      </x:c>
      <x:c r="J285" s="17" t="str">
        <x:v>数据库实体不得直接序列化为响应</x:v>
      </x:c>
      <x:c r="K285" s="17" t="str">
        <x:v>DTO白名单；长度/枚举/归属/状态校验；禁止信任客户端派生值</x:v>
      </x:c>
      <x:c r="L285" s="17" t="str">
        <x:v>按实体version或审计日志保留变更证据</x:v>
      </x:c>
      <x:c r="M285" s="4" t="str">
        <x:v>M2</x:v>
      </x:c>
      <x:c r="N285" s="4" t="str">
        <x:v>待切片细化</x:v>
      </x:c>
      <x:c r="O285" s="4" t="str">
        <x:v>综合方案§13核心数据模型</x:v>
      </x:c>
      <x:c r="P285" s="4" t="str">
        <x:v>DRAFT_FROM_SCHEME</x:v>
      </x:c>
    </x:row>
    <x:row r="286" ht="23" customHeight="1">
      <x:c r="A286" s="4" t="str">
        <x:v>Sku</x:v>
      </x:c>
      <x:c r="B286" s="4" t="str">
        <x:v>id</x:v>
      </x:c>
      <x:c r="C286" s="17" t="str">
        <x:v>id</x:v>
      </x:c>
      <x:c r="D286" s="4" t="str">
        <x:v>1</x:v>
      </x:c>
      <x:c r="E286" s="4" t="str">
        <x:v>String/UUID</x:v>
      </x:c>
      <x:c r="F286" s="4" t="str">
        <x:v>YES</x:v>
      </x:c>
      <x:c r="G286" s="4" t="str">
        <x:v>待M阶段冻结</x:v>
      </x:c>
      <x:c r="H286" s="17" t="str">
        <x:v>INTERNAL</x:v>
      </x:c>
      <x:c r="I286" s="17" t="str">
        <x:v>按资源权限与数据域访问；公开DTO另行白名单</x:v>
      </x:c>
      <x:c r="J286" s="17" t="str">
        <x:v>数据库实体不得直接序列化为响应</x:v>
      </x:c>
      <x:c r="K286" s="17" t="str">
        <x:v>DTO白名单；长度/枚举/归属/状态校验；禁止信任客户端派生值</x:v>
      </x:c>
      <x:c r="L286" s="17" t="str">
        <x:v>按实体version或审计日志保留变更证据</x:v>
      </x:c>
      <x:c r="M286" s="4" t="str">
        <x:v>M2</x:v>
      </x:c>
      <x:c r="N286" s="4" t="str">
        <x:v>P0-019,P0-021,P0-063,P0-071</x:v>
      </x:c>
      <x:c r="O286" s="4" t="str">
        <x:v>综合方案§13核心数据模型</x:v>
      </x:c>
      <x:c r="P286" s="4" t="str">
        <x:v>DRAFT_FROM_SCHEME</x:v>
      </x:c>
    </x:row>
    <x:row r="287" ht="23" customHeight="1">
      <x:c r="A287" s="4" t="str">
        <x:v>Sku</x:v>
      </x:c>
      <x:c r="B287" s="4" t="str">
        <x:v>productId</x:v>
      </x:c>
      <x:c r="C287" s="17" t="str">
        <x:v>productId</x:v>
      </x:c>
      <x:c r="D287" s="4" t="str">
        <x:v>2</x:v>
      </x:c>
      <x:c r="E287" s="4" t="str">
        <x:v>String/UUID</x:v>
      </x:c>
      <x:c r="F287" s="4" t="str">
        <x:v>YES</x:v>
      </x:c>
      <x:c r="G287" s="4" t="str">
        <x:v>待M阶段冻结</x:v>
      </x:c>
      <x:c r="H287" s="17" t="str">
        <x:v>INTERNAL</x:v>
      </x:c>
      <x:c r="I287" s="17" t="str">
        <x:v>按资源权限与数据域访问；公开DTO另行白名单</x:v>
      </x:c>
      <x:c r="J287" s="17" t="str">
        <x:v>数据库实体不得直接序列化为响应</x:v>
      </x:c>
      <x:c r="K287" s="17" t="str">
        <x:v>DTO白名单；长度/枚举/归属/状态校验；禁止信任客户端派生值</x:v>
      </x:c>
      <x:c r="L287" s="17" t="str">
        <x:v>按实体version或审计日志保留变更证据</x:v>
      </x:c>
      <x:c r="M287" s="4" t="str">
        <x:v>M2</x:v>
      </x:c>
      <x:c r="N287" s="4" t="str">
        <x:v>P0-019,P0-021,P0-063,P0-071</x:v>
      </x:c>
      <x:c r="O287" s="4" t="str">
        <x:v>综合方案§13核心数据模型</x:v>
      </x:c>
      <x:c r="P287" s="4" t="str">
        <x:v>DRAFT_FROM_SCHEME</x:v>
      </x:c>
    </x:row>
    <x:row r="288" ht="23" customHeight="1">
      <x:c r="A288" s="4" t="str">
        <x:v>Sku</x:v>
      </x:c>
      <x:c r="B288" s="4" t="str">
        <x:v>supplierProductSkuId</x:v>
      </x:c>
      <x:c r="C288" s="17" t="str">
        <x:v>supplierProductSkuId</x:v>
      </x:c>
      <x:c r="D288" s="4" t="str">
        <x:v>3</x:v>
      </x:c>
      <x:c r="E288" s="4" t="str">
        <x:v>String/UUID</x:v>
      </x:c>
      <x:c r="F288" s="4" t="str">
        <x:v>YES</x:v>
      </x:c>
      <x:c r="G288" s="4" t="str">
        <x:v>待M阶段冻结</x:v>
      </x:c>
      <x:c r="H288" s="17" t="str">
        <x:v>INTERNAL</x:v>
      </x:c>
      <x:c r="I288" s="17" t="str">
        <x:v>按资源权限与数据域访问；公开DTO另行白名单</x:v>
      </x:c>
      <x:c r="J288" s="17" t="str">
        <x:v>数据库实体不得直接序列化为响应</x:v>
      </x:c>
      <x:c r="K288" s="17" t="str">
        <x:v>DTO白名单；长度/枚举/归属/状态校验；禁止信任客户端派生值</x:v>
      </x:c>
      <x:c r="L288" s="17" t="str">
        <x:v>按实体version或审计日志保留变更证据</x:v>
      </x:c>
      <x:c r="M288" s="4" t="str">
        <x:v>M2</x:v>
      </x:c>
      <x:c r="N288" s="4" t="str">
        <x:v>P0-019,P0-021,P0-063,P0-071</x:v>
      </x:c>
      <x:c r="O288" s="4" t="str">
        <x:v>综合方案§13核心数据模型</x:v>
      </x:c>
      <x:c r="P288" s="4" t="str">
        <x:v>DRAFT_FROM_SCHEME</x:v>
      </x:c>
    </x:row>
    <x:row r="289" ht="23" customHeight="1">
      <x:c r="A289" s="4" t="str">
        <x:v>Sku</x:v>
      </x:c>
      <x:c r="B289" s="4" t="str">
        <x:v>skuCode</x:v>
      </x:c>
      <x:c r="C289" s="17" t="str">
        <x:v>skuCode</x:v>
      </x:c>
      <x:c r="D289" s="4" t="str">
        <x:v>4</x:v>
      </x:c>
      <x:c r="E289" s="4" t="str">
        <x:v>String</x:v>
      </x:c>
      <x:c r="F289" s="4" t="str">
        <x:v>YES</x:v>
      </x:c>
      <x:c r="G289" s="4" t="str">
        <x:v>待M阶段冻结</x:v>
      </x:c>
      <x:c r="H289" s="17" t="str">
        <x:v>INTERNAL</x:v>
      </x:c>
      <x:c r="I289" s="17" t="str">
        <x:v>按资源权限与数据域访问；公开DTO另行白名单</x:v>
      </x:c>
      <x:c r="J289" s="17" t="str">
        <x:v>数据库实体不得直接序列化为响应</x:v>
      </x:c>
      <x:c r="K289" s="17" t="str">
        <x:v>DTO白名单；长度/枚举/归属/状态校验；禁止信任客户端派生值</x:v>
      </x:c>
      <x:c r="L289" s="17" t="str">
        <x:v>按实体version或审计日志保留变更证据</x:v>
      </x:c>
      <x:c r="M289" s="4" t="str">
        <x:v>M2</x:v>
      </x:c>
      <x:c r="N289" s="4" t="str">
        <x:v>P0-019,P0-021,P0-063,P0-071</x:v>
      </x:c>
      <x:c r="O289" s="4" t="str">
        <x:v>综合方案§13核心数据模型</x:v>
      </x:c>
      <x:c r="P289" s="4" t="str">
        <x:v>DRAFT_FROM_SCHEME</x:v>
      </x:c>
    </x:row>
    <x:row r="290" ht="23" customHeight="1">
      <x:c r="A290" s="4" t="str">
        <x:v>Sku</x:v>
      </x:c>
      <x:c r="B290" s="4" t="str">
        <x:v>approvedSupplyPrice</x:v>
      </x:c>
      <x:c r="C290" s="17" t="str">
        <x:v>approvedSupplyPrice</x:v>
      </x:c>
      <x:c r="D290" s="4" t="str">
        <x:v>5</x:v>
      </x:c>
      <x:c r="E290" s="4" t="str">
        <x:v>Int(分)</x:v>
      </x:c>
      <x:c r="F290" s="4" t="str">
        <x:v>YES</x:v>
      </x:c>
      <x:c r="G290" s="4" t="str">
        <x:v>整数分</x:v>
      </x:c>
      <x:c r="H290" s="17" t="str">
        <x:v>STRICT_INTERNAL_SUPPLY_PRICE</x:v>
      </x:c>
      <x:c r="I290" s="17" t="str">
        <x:v>仅公司价格/财务及本供应商价格/财务职能可见</x:v>
      </x:c>
      <x:c r="J290" s="17" t="str">
        <x:v>禁止出现在消费者端、企业采购端、门户公开端及非授权日志</x:v>
      </x:c>
      <x:c r="K290" s="17" t="str">
        <x:v>DTO白名单；长度/枚举/归属/状态校验；禁止信任客户端派生值</x:v>
      </x:c>
      <x:c r="L290" s="17" t="str">
        <x:v>按实体version或审计日志保留变更证据</x:v>
      </x:c>
      <x:c r="M290" s="4" t="str">
        <x:v>M2</x:v>
      </x:c>
      <x:c r="N290" s="4" t="str">
        <x:v>P0-019,P0-021,P0-063,P0-071</x:v>
      </x:c>
      <x:c r="O290" s="4" t="str">
        <x:v>综合方案§13核心数据模型</x:v>
      </x:c>
      <x:c r="P290" s="4" t="str">
        <x:v>DRAFT_FROM_SCHEME</x:v>
      </x:c>
    </x:row>
    <x:row r="291" ht="23" customHeight="1">
      <x:c r="A291" s="4" t="str">
        <x:v>Sku</x:v>
      </x:c>
      <x:c r="B291" s="4" t="str">
        <x:v>currentRetailSalePrice</x:v>
      </x:c>
      <x:c r="C291" s="17" t="str">
        <x:v>currentRetailSalePrice</x:v>
      </x:c>
      <x:c r="D291" s="4" t="str">
        <x:v>6</x:v>
      </x:c>
      <x:c r="E291" s="4" t="str">
        <x:v>Int(分)</x:v>
      </x:c>
      <x:c r="F291" s="4" t="str">
        <x:v>YES</x:v>
      </x:c>
      <x:c r="G291" s="4" t="str">
        <x:v>整数分</x:v>
      </x:c>
      <x:c r="H291" s="17" t="str">
        <x:v>INTERNAL</x:v>
      </x:c>
      <x:c r="I291" s="17" t="str">
        <x:v>按资源权限与数据域访问；公开DTO另行白名单</x:v>
      </x:c>
      <x:c r="J291" s="17" t="str">
        <x:v>数据库实体不得直接序列化为响应</x:v>
      </x:c>
      <x:c r="K291" s="17" t="str">
        <x:v>DTO白名单；长度/枚举/归属/状态校验；禁止信任客户端派生值</x:v>
      </x:c>
      <x:c r="L291" s="17" t="str">
        <x:v>按实体version或审计日志保留变更证据</x:v>
      </x:c>
      <x:c r="M291" s="4" t="str">
        <x:v>M2</x:v>
      </x:c>
      <x:c r="N291" s="4" t="str">
        <x:v>P0-019,P0-021,P0-063,P0-071</x:v>
      </x:c>
      <x:c r="O291" s="4" t="str">
        <x:v>综合方案§13核心数据模型</x:v>
      </x:c>
      <x:c r="P291" s="4" t="str">
        <x:v>DRAFT_FROM_SCHEME</x:v>
      </x:c>
    </x:row>
    <x:row r="292" ht="23" customHeight="1">
      <x:c r="A292" s="4" t="str">
        <x:v>Sku</x:v>
      </x:c>
      <x:c r="B292" s="4" t="str">
        <x:v>currentEnterpriseSalePrice</x:v>
      </x:c>
      <x:c r="C292" s="17" t="str">
        <x:v>currentEnterpriseSalePrice</x:v>
      </x:c>
      <x:c r="D292" s="4" t="str">
        <x:v>7</x:v>
      </x:c>
      <x:c r="E292" s="4" t="str">
        <x:v>Int(分)</x:v>
      </x:c>
      <x:c r="F292" s="4" t="str">
        <x:v>YES</x:v>
      </x:c>
      <x:c r="G292" s="4" t="str">
        <x:v>整数分</x:v>
      </x:c>
      <x:c r="H292" s="17" t="str">
        <x:v>INTERNAL</x:v>
      </x:c>
      <x:c r="I292" s="17" t="str">
        <x:v>按资源权限与数据域访问；公开DTO另行白名单</x:v>
      </x:c>
      <x:c r="J292" s="17" t="str">
        <x:v>数据库实体不得直接序列化为响应</x:v>
      </x:c>
      <x:c r="K292" s="17" t="str">
        <x:v>DTO白名单；长度/枚举/归属/状态校验；禁止信任客户端派生值</x:v>
      </x:c>
      <x:c r="L292" s="17" t="str">
        <x:v>按实体version或审计日志保留变更证据</x:v>
      </x:c>
      <x:c r="M292" s="4" t="str">
        <x:v>M2</x:v>
      </x:c>
      <x:c r="N292" s="4" t="str">
        <x:v>P0-019,P0-021,P0-063,P0-071</x:v>
      </x:c>
      <x:c r="O292" s="4" t="str">
        <x:v>综合方案§13核心数据模型</x:v>
      </x:c>
      <x:c r="P292" s="4" t="str">
        <x:v>DRAFT_FROM_SCHEME</x:v>
      </x:c>
    </x:row>
    <x:row r="293" ht="23" customHeight="1">
      <x:c r="A293" s="4" t="str">
        <x:v>Sku</x:v>
      </x:c>
      <x:c r="B293" s="4" t="str">
        <x:v>marketPrice</x:v>
      </x:c>
      <x:c r="C293" s="17" t="str">
        <x:v>marketPrice</x:v>
      </x:c>
      <x:c r="D293" s="4" t="str">
        <x:v>8</x:v>
      </x:c>
      <x:c r="E293" s="4" t="str">
        <x:v>Int(分)</x:v>
      </x:c>
      <x:c r="F293" s="4" t="str">
        <x:v>YES</x:v>
      </x:c>
      <x:c r="G293" s="4" t="str">
        <x:v>整数分</x:v>
      </x:c>
      <x:c r="H293" s="17" t="str">
        <x:v>INTERNAL</x:v>
      </x:c>
      <x:c r="I293" s="17" t="str">
        <x:v>按资源权限与数据域访问；公开DTO另行白名单</x:v>
      </x:c>
      <x:c r="J293" s="17" t="str">
        <x:v>数据库实体不得直接序列化为响应</x:v>
      </x:c>
      <x:c r="K293" s="17" t="str">
        <x:v>DTO白名单；长度/枚举/归属/状态校验；禁止信任客户端派生值</x:v>
      </x:c>
      <x:c r="L293" s="17" t="str">
        <x:v>按实体version或审计日志保留变更证据</x:v>
      </x:c>
      <x:c r="M293" s="4" t="str">
        <x:v>M2</x:v>
      </x:c>
      <x:c r="N293" s="4" t="str">
        <x:v>P0-019,P0-021,P0-063,P0-071</x:v>
      </x:c>
      <x:c r="O293" s="4" t="str">
        <x:v>综合方案§13核心数据模型</x:v>
      </x:c>
      <x:c r="P293" s="4" t="str">
        <x:v>DRAFT_FROM_SCHEME</x:v>
      </x:c>
    </x:row>
    <x:row r="294" ht="23" customHeight="1">
      <x:c r="A294" s="4" t="str">
        <x:v>Sku</x:v>
      </x:c>
      <x:c r="B294" s="4" t="str">
        <x:v>supplyPriceVersion</x:v>
      </x:c>
      <x:c r="C294" s="17" t="str">
        <x:v>supplyPriceVersion</x:v>
      </x:c>
      <x:c r="D294" s="4" t="str">
        <x:v>9</x:v>
      </x:c>
      <x:c r="E294" s="4" t="str">
        <x:v>Int(分)</x:v>
      </x:c>
      <x:c r="F294" s="4" t="str">
        <x:v>YES</x:v>
      </x:c>
      <x:c r="G294" s="4" t="str">
        <x:v>整数分</x:v>
      </x:c>
      <x:c r="H294" s="17" t="str">
        <x:v>STRICT_INTERNAL_SUPPLY_PRICE</x:v>
      </x:c>
      <x:c r="I294" s="17" t="str">
        <x:v>仅公司价格/财务及本供应商价格/财务职能可见</x:v>
      </x:c>
      <x:c r="J294" s="17" t="str">
        <x:v>禁止出现在消费者端、企业采购端、门户公开端及非授权日志</x:v>
      </x:c>
      <x:c r="K294" s="17" t="str">
        <x:v>DTO白名单；长度/枚举/归属/状态校验；禁止信任客户端派生值</x:v>
      </x:c>
      <x:c r="L294" s="17" t="str">
        <x:v>按实体version或审计日志保留变更证据</x:v>
      </x:c>
      <x:c r="M294" s="4" t="str">
        <x:v>M2</x:v>
      </x:c>
      <x:c r="N294" s="4" t="str">
        <x:v>P0-019,P0-021,P0-063,P0-071</x:v>
      </x:c>
      <x:c r="O294" s="4" t="str">
        <x:v>综合方案§13核心数据模型</x:v>
      </x:c>
      <x:c r="P294" s="4" t="str">
        <x:v>DRAFT_FROM_SCHEME</x:v>
      </x:c>
    </x:row>
    <x:row r="295" ht="23" customHeight="1">
      <x:c r="A295" s="4" t="str">
        <x:v>Sku</x:v>
      </x:c>
      <x:c r="B295" s="4" t="str">
        <x:v>retailPriceVersion</x:v>
      </x:c>
      <x:c r="C295" s="17" t="str">
        <x:v>retailPriceVersion</x:v>
      </x:c>
      <x:c r="D295" s="4" t="str">
        <x:v>10</x:v>
      </x:c>
      <x:c r="E295" s="4" t="str">
        <x:v>Int(分)</x:v>
      </x:c>
      <x:c r="F295" s="4" t="str">
        <x:v>YES</x:v>
      </x:c>
      <x:c r="G295" s="4" t="str">
        <x:v>整数分</x:v>
      </x:c>
      <x:c r="H295" s="17" t="str">
        <x:v>INTERNAL</x:v>
      </x:c>
      <x:c r="I295" s="17" t="str">
        <x:v>按资源权限与数据域访问；公开DTO另行白名单</x:v>
      </x:c>
      <x:c r="J295" s="17" t="str">
        <x:v>数据库实体不得直接序列化为响应</x:v>
      </x:c>
      <x:c r="K295" s="17" t="str">
        <x:v>DTO白名单；长度/枚举/归属/状态校验；禁止信任客户端派生值</x:v>
      </x:c>
      <x:c r="L295" s="17" t="str">
        <x:v>按实体version或审计日志保留变更证据</x:v>
      </x:c>
      <x:c r="M295" s="4" t="str">
        <x:v>M2</x:v>
      </x:c>
      <x:c r="N295" s="4" t="str">
        <x:v>P0-019,P0-021,P0-063,P0-071</x:v>
      </x:c>
      <x:c r="O295" s="4" t="str">
        <x:v>综合方案§13核心数据模型</x:v>
      </x:c>
      <x:c r="P295" s="4" t="str">
        <x:v>DRAFT_FROM_SCHEME</x:v>
      </x:c>
    </x:row>
    <x:row r="296" ht="23" customHeight="1">
      <x:c r="A296" s="4" t="str">
        <x:v>Sku</x:v>
      </x:c>
      <x:c r="B296" s="4" t="str">
        <x:v>enterprisePriceVersion</x:v>
      </x:c>
      <x:c r="C296" s="17" t="str">
        <x:v>enterprisePriceVersion</x:v>
      </x:c>
      <x:c r="D296" s="4" t="str">
        <x:v>11</x:v>
      </x:c>
      <x:c r="E296" s="4" t="str">
        <x:v>Int(分)</x:v>
      </x:c>
      <x:c r="F296" s="4" t="str">
        <x:v>YES</x:v>
      </x:c>
      <x:c r="G296" s="4" t="str">
        <x:v>整数分</x:v>
      </x:c>
      <x:c r="H296" s="17" t="str">
        <x:v>INTERNAL</x:v>
      </x:c>
      <x:c r="I296" s="17" t="str">
        <x:v>按资源权限与数据域访问；公开DTO另行白名单</x:v>
      </x:c>
      <x:c r="J296" s="17" t="str">
        <x:v>数据库实体不得直接序列化为响应</x:v>
      </x:c>
      <x:c r="K296" s="17" t="str">
        <x:v>DTO白名单；长度/枚举/归属/状态校验；禁止信任客户端派生值</x:v>
      </x:c>
      <x:c r="L296" s="17" t="str">
        <x:v>按实体version或审计日志保留变更证据</x:v>
      </x:c>
      <x:c r="M296" s="4" t="str">
        <x:v>M2</x:v>
      </x:c>
      <x:c r="N296" s="4" t="str">
        <x:v>P0-019,P0-021,P0-063,P0-071</x:v>
      </x:c>
      <x:c r="O296" s="4" t="str">
        <x:v>综合方案§13核心数据模型</x:v>
      </x:c>
      <x:c r="P296" s="4" t="str">
        <x:v>DRAFT_FROM_SCHEME</x:v>
      </x:c>
    </x:row>
    <x:row r="297" ht="23" customHeight="1">
      <x:c r="A297" s="4" t="str">
        <x:v>Sku</x:v>
      </x:c>
      <x:c r="B297" s="4" t="str">
        <x:v>status</x:v>
      </x:c>
      <x:c r="C297" s="17" t="str">
        <x:v>status</x:v>
      </x:c>
      <x:c r="D297" s="4" t="str">
        <x:v>12</x:v>
      </x:c>
      <x:c r="E297" s="4" t="str">
        <x:v>Enum/String</x:v>
      </x:c>
      <x:c r="F297" s="4" t="str">
        <x:v>YES</x:v>
      </x:c>
      <x:c r="G297" s="4" t="str">
        <x:v>待M阶段冻结</x:v>
      </x:c>
      <x:c r="H297" s="17" t="str">
        <x:v>INTERNAL</x:v>
      </x:c>
      <x:c r="I297" s="17" t="str">
        <x:v>按资源权限与数据域访问；公开DTO另行白名单</x:v>
      </x:c>
      <x:c r="J297" s="17" t="str">
        <x:v>数据库实体不得直接序列化为响应</x:v>
      </x:c>
      <x:c r="K297" s="17" t="str">
        <x:v>DTO白名单；长度/枚举/归属/状态校验；禁止信任客户端派生值</x:v>
      </x:c>
      <x:c r="L297" s="17" t="str">
        <x:v>按实体version或审计日志保留变更证据</x:v>
      </x:c>
      <x:c r="M297" s="4" t="str">
        <x:v>M2</x:v>
      </x:c>
      <x:c r="N297" s="4" t="str">
        <x:v>P0-019,P0-021,P0-063,P0-071</x:v>
      </x:c>
      <x:c r="O297" s="4" t="str">
        <x:v>综合方案§13核心数据模型</x:v>
      </x:c>
      <x:c r="P297" s="4" t="str">
        <x:v>DRAFT_FROM_SCHEME</x:v>
      </x:c>
    </x:row>
    <x:row r="298" ht="23" customHeight="1">
      <x:c r="A298" s="4" t="str">
        <x:v>SupplyPriceChangeRequest</x:v>
      </x:c>
      <x:c r="B298" s="4" t="str">
        <x:v>id</x:v>
      </x:c>
      <x:c r="C298" s="17" t="str">
        <x:v>id</x:v>
      </x:c>
      <x:c r="D298" s="4" t="str">
        <x:v>1</x:v>
      </x:c>
      <x:c r="E298" s="4" t="str">
        <x:v>String/UUID</x:v>
      </x:c>
      <x:c r="F298" s="4" t="str">
        <x:v>YES</x:v>
      </x:c>
      <x:c r="G298" s="4" t="str">
        <x:v>待M阶段冻结</x:v>
      </x:c>
      <x:c r="H298" s="17" t="str">
        <x:v>STRICT_INTERNAL_SUPPLY_PRICE</x:v>
      </x:c>
      <x:c r="I298" s="17" t="str">
        <x:v>仅公司价格/财务及本供应商价格/财务职能可见</x:v>
      </x:c>
      <x:c r="J298" s="17" t="str">
        <x:v>禁止出现在消费者端、企业采购端、门户公开端及非授权日志</x:v>
      </x:c>
      <x:c r="K298" s="17" t="str">
        <x:v>DTO白名单；长度/枚举/归属/状态校验；禁止信任客户端派生值</x:v>
      </x:c>
      <x:c r="L298" s="17" t="str">
        <x:v>追加/版本/快照，不覆盖已生效历史</x:v>
      </x:c>
      <x:c r="M298" s="4" t="str">
        <x:v>M2</x:v>
      </x:c>
      <x:c r="N298" s="4" t="str">
        <x:v>P0-019,P0-071</x:v>
      </x:c>
      <x:c r="O298" s="4" t="str">
        <x:v>综合方案§13核心数据模型</x:v>
      </x:c>
      <x:c r="P298" s="4" t="str">
        <x:v>DRAFT_FROM_SCHEME</x:v>
      </x:c>
    </x:row>
    <x:row r="299" ht="23" customHeight="1">
      <x:c r="A299" s="4" t="str">
        <x:v>SupplyPriceChangeRequest</x:v>
      </x:c>
      <x:c r="B299" s="4" t="str">
        <x:v>supplierId</x:v>
      </x:c>
      <x:c r="C299" s="17" t="str">
        <x:v>supplierId</x:v>
      </x:c>
      <x:c r="D299" s="4" t="str">
        <x:v>2</x:v>
      </x:c>
      <x:c r="E299" s="4" t="str">
        <x:v>String/UUID</x:v>
      </x:c>
      <x:c r="F299" s="4" t="str">
        <x:v>YES</x:v>
      </x:c>
      <x:c r="G299" s="4" t="str">
        <x:v>待M阶段冻结</x:v>
      </x:c>
      <x:c r="H299" s="17" t="str">
        <x:v>STRICT_INTERNAL_SUPPLY_PRICE</x:v>
      </x:c>
      <x:c r="I299" s="17" t="str">
        <x:v>仅公司价格/财务及本供应商价格/财务职能可见</x:v>
      </x:c>
      <x:c r="J299" s="17" t="str">
        <x:v>禁止出现在消费者端、企业采购端、门户公开端及非授权日志</x:v>
      </x:c>
      <x:c r="K299" s="17" t="str">
        <x:v>DTO白名单；长度/枚举/归属/状态校验；禁止信任客户端派生值</x:v>
      </x:c>
      <x:c r="L299" s="17" t="str">
        <x:v>追加/版本/快照，不覆盖已生效历史</x:v>
      </x:c>
      <x:c r="M299" s="4" t="str">
        <x:v>M2</x:v>
      </x:c>
      <x:c r="N299" s="4" t="str">
        <x:v>P0-019,P0-071</x:v>
      </x:c>
      <x:c r="O299" s="4" t="str">
        <x:v>综合方案§13核心数据模型</x:v>
      </x:c>
      <x:c r="P299" s="4" t="str">
        <x:v>DRAFT_FROM_SCHEME</x:v>
      </x:c>
    </x:row>
    <x:row r="300" ht="23" customHeight="1">
      <x:c r="A300" s="4" t="str">
        <x:v>SupplyPriceChangeRequest</x:v>
      </x:c>
      <x:c r="B300" s="4" t="str">
        <x:v>productId</x:v>
      </x:c>
      <x:c r="C300" s="17" t="str">
        <x:v>productId</x:v>
      </x:c>
      <x:c r="D300" s="4" t="str">
        <x:v>3</x:v>
      </x:c>
      <x:c r="E300" s="4" t="str">
        <x:v>String/UUID</x:v>
      </x:c>
      <x:c r="F300" s="4" t="str">
        <x:v>YES</x:v>
      </x:c>
      <x:c r="G300" s="4" t="str">
        <x:v>待M阶段冻结</x:v>
      </x:c>
      <x:c r="H300" s="17" t="str">
        <x:v>STRICT_INTERNAL_SUPPLY_PRICE</x:v>
      </x:c>
      <x:c r="I300" s="17" t="str">
        <x:v>仅公司价格/财务及本供应商价格/财务职能可见</x:v>
      </x:c>
      <x:c r="J300" s="17" t="str">
        <x:v>禁止出现在消费者端、企业采购端、门户公开端及非授权日志</x:v>
      </x:c>
      <x:c r="K300" s="17" t="str">
        <x:v>DTO白名单；长度/枚举/归属/状态校验；禁止信任客户端派生值</x:v>
      </x:c>
      <x:c r="L300" s="17" t="str">
        <x:v>追加/版本/快照，不覆盖已生效历史</x:v>
      </x:c>
      <x:c r="M300" s="4" t="str">
        <x:v>M2</x:v>
      </x:c>
      <x:c r="N300" s="4" t="str">
        <x:v>P0-019,P0-071</x:v>
      </x:c>
      <x:c r="O300" s="4" t="str">
        <x:v>综合方案§13核心数据模型</x:v>
      </x:c>
      <x:c r="P300" s="4" t="str">
        <x:v>DRAFT_FROM_SCHEME</x:v>
      </x:c>
    </x:row>
    <x:row r="301" ht="23" customHeight="1">
      <x:c r="A301" s="4" t="str">
        <x:v>SupplyPriceChangeRequest</x:v>
      </x:c>
      <x:c r="B301" s="4" t="str">
        <x:v>skuId</x:v>
      </x:c>
      <x:c r="C301" s="17" t="str">
        <x:v>skuId</x:v>
      </x:c>
      <x:c r="D301" s="4" t="str">
        <x:v>4</x:v>
      </x:c>
      <x:c r="E301" s="4" t="str">
        <x:v>String/UUID</x:v>
      </x:c>
      <x:c r="F301" s="4" t="str">
        <x:v>YES</x:v>
      </x:c>
      <x:c r="G301" s="4" t="str">
        <x:v>待M阶段冻结</x:v>
      </x:c>
      <x:c r="H301" s="17" t="str">
        <x:v>STRICT_INTERNAL_SUPPLY_PRICE</x:v>
      </x:c>
      <x:c r="I301" s="17" t="str">
        <x:v>仅公司价格/财务及本供应商价格/财务职能可见</x:v>
      </x:c>
      <x:c r="J301" s="17" t="str">
        <x:v>禁止出现在消费者端、企业采购端、门户公开端及非授权日志</x:v>
      </x:c>
      <x:c r="K301" s="17" t="str">
        <x:v>DTO白名单；长度/枚举/归属/状态校验；禁止信任客户端派生值</x:v>
      </x:c>
      <x:c r="L301" s="17" t="str">
        <x:v>追加/版本/快照，不覆盖已生效历史</x:v>
      </x:c>
      <x:c r="M301" s="4" t="str">
        <x:v>M2</x:v>
      </x:c>
      <x:c r="N301" s="4" t="str">
        <x:v>P0-019,P0-071</x:v>
      </x:c>
      <x:c r="O301" s="4" t="str">
        <x:v>综合方案§13核心数据模型</x:v>
      </x:c>
      <x:c r="P301" s="4" t="str">
        <x:v>DRAFT_FROM_SCHEME</x:v>
      </x:c>
    </x:row>
    <x:row r="302" ht="23" customHeight="1">
      <x:c r="A302" s="4" t="str">
        <x:v>SupplyPriceChangeRequest</x:v>
      </x:c>
      <x:c r="B302" s="4" t="str">
        <x:v>oldSupplyPrice</x:v>
      </x:c>
      <x:c r="C302" s="17" t="str">
        <x:v>oldSupplyPrice</x:v>
      </x:c>
      <x:c r="D302" s="4" t="str">
        <x:v>5</x:v>
      </x:c>
      <x:c r="E302" s="4" t="str">
        <x:v>Int(分)</x:v>
      </x:c>
      <x:c r="F302" s="4" t="str">
        <x:v>YES</x:v>
      </x:c>
      <x:c r="G302" s="4" t="str">
        <x:v>整数分</x:v>
      </x:c>
      <x:c r="H302" s="17" t="str">
        <x:v>STRICT_INTERNAL_SUPPLY_PRICE</x:v>
      </x:c>
      <x:c r="I302" s="17" t="str">
        <x:v>仅公司价格/财务及本供应商价格/财务职能可见</x:v>
      </x:c>
      <x:c r="J302" s="17" t="str">
        <x:v>禁止出现在消费者端、企业采购端、门户公开端及非授权日志</x:v>
      </x:c>
      <x:c r="K302" s="17" t="str">
        <x:v>DTO白名单；长度/枚举/归属/状态校验；禁止信任客户端派生值</x:v>
      </x:c>
      <x:c r="L302" s="17" t="str">
        <x:v>追加/版本/快照，不覆盖已生效历史</x:v>
      </x:c>
      <x:c r="M302" s="4" t="str">
        <x:v>M2</x:v>
      </x:c>
      <x:c r="N302" s="4" t="str">
        <x:v>P0-019,P0-071</x:v>
      </x:c>
      <x:c r="O302" s="4" t="str">
        <x:v>综合方案§13核心数据模型</x:v>
      </x:c>
      <x:c r="P302" s="4" t="str">
        <x:v>DRAFT_FROM_SCHEME</x:v>
      </x:c>
    </x:row>
    <x:row r="303" ht="23" customHeight="1">
      <x:c r="A303" s="4" t="str">
        <x:v>SupplyPriceChangeRequest</x:v>
      </x:c>
      <x:c r="B303" s="4" t="str">
        <x:v>requestedSupplyPrice</x:v>
      </x:c>
      <x:c r="C303" s="17" t="str">
        <x:v>requestedSupplyPrice</x:v>
      </x:c>
      <x:c r="D303" s="4" t="str">
        <x:v>6</x:v>
      </x:c>
      <x:c r="E303" s="4" t="str">
        <x:v>Int(分)</x:v>
      </x:c>
      <x:c r="F303" s="4" t="str">
        <x:v>YES</x:v>
      </x:c>
      <x:c r="G303" s="4" t="str">
        <x:v>整数分</x:v>
      </x:c>
      <x:c r="H303" s="17" t="str">
        <x:v>STRICT_INTERNAL_SUPPLY_PRICE</x:v>
      </x:c>
      <x:c r="I303" s="17" t="str">
        <x:v>仅公司价格/财务及本供应商价格/财务职能可见</x:v>
      </x:c>
      <x:c r="J303" s="17" t="str">
        <x:v>禁止出现在消费者端、企业采购端、门户公开端及非授权日志</x:v>
      </x:c>
      <x:c r="K303" s="17" t="str">
        <x:v>DTO白名单；长度/枚举/归属/状态校验；禁止信任客户端派生值</x:v>
      </x:c>
      <x:c r="L303" s="17" t="str">
        <x:v>追加/版本/快照，不覆盖已生效历史</x:v>
      </x:c>
      <x:c r="M303" s="4" t="str">
        <x:v>M2</x:v>
      </x:c>
      <x:c r="N303" s="4" t="str">
        <x:v>P0-019,P0-071</x:v>
      </x:c>
      <x:c r="O303" s="4" t="str">
        <x:v>综合方案§13核心数据模型</x:v>
      </x:c>
      <x:c r="P303" s="4" t="str">
        <x:v>DRAFT_FROM_SCHEME</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ISO-8601+明确时区</x:v>
      </x:c>
      <x:c r="H304" s="17" t="str">
        <x:v>STRICT_INTERNAL_SUPPLY_PRICE</x:v>
      </x:c>
      <x:c r="I304" s="17" t="str">
        <x:v>仅公司价格/财务及本供应商价格/财务职能可见</x:v>
      </x:c>
      <x:c r="J304" s="17" t="str">
        <x:v>禁止出现在消费者端、企业采购端、门户公开端及非授权日志</x:v>
      </x:c>
      <x:c r="K304" s="17" t="str">
        <x:v>DTO白名单；长度/枚举/归属/状态校验；禁止信任客户端派生值</x:v>
      </x:c>
      <x:c r="L304" s="17" t="str">
        <x:v>追加/版本/快照，不覆盖已生效历史</x:v>
      </x:c>
      <x:c r="M304" s="4" t="str">
        <x:v>M2</x:v>
      </x:c>
      <x:c r="N304" s="4" t="str">
        <x:v>P0-019,P0-071</x:v>
      </x:c>
      <x:c r="O304" s="4" t="str">
        <x:v>综合方案§13核心数据模型</x:v>
      </x:c>
      <x:c r="P304" s="4" t="str">
        <x:v>DRAFT_FROM_SCHEME</x:v>
      </x:c>
    </x:row>
    <x:row r="305" ht="23" customHeight="1">
      <x:c r="A305" s="4" t="str">
        <x:v>SupplyPriceChangeRequest</x:v>
      </x:c>
      <x:c r="B305" s="4" t="str">
        <x:v>reviewStatus</x:v>
      </x:c>
      <x:c r="C305" s="17" t="str">
        <x:v>reviewStatus</x:v>
      </x:c>
      <x:c r="D305" s="4" t="str">
        <x:v>8</x:v>
      </x:c>
      <x:c r="E305" s="4" t="str">
        <x:v>Enum/String</x:v>
      </x:c>
      <x:c r="F305" s="4" t="str">
        <x:v>YES</x:v>
      </x:c>
      <x:c r="G305" s="4" t="str">
        <x:v>待M阶段冻结</x:v>
      </x:c>
      <x:c r="H305" s="17" t="str">
        <x:v>STRICT_INTERNAL_SUPPLY_PRICE</x:v>
      </x:c>
      <x:c r="I305" s="17" t="str">
        <x:v>仅公司价格/财务及本供应商价格/财务职能可见</x:v>
      </x:c>
      <x:c r="J305" s="17" t="str">
        <x:v>禁止出现在消费者端、企业采购端、门户公开端及非授权日志</x:v>
      </x:c>
      <x:c r="K305" s="17" t="str">
        <x:v>DTO白名单；长度/枚举/归属/状态校验；禁止信任客户端派生值</x:v>
      </x:c>
      <x:c r="L305" s="17" t="str">
        <x:v>追加/版本/快照，不覆盖已生效历史</x:v>
      </x:c>
      <x:c r="M305" s="4" t="str">
        <x:v>M2</x:v>
      </x:c>
      <x:c r="N305" s="4" t="str">
        <x:v>P0-019,P0-071</x:v>
      </x:c>
      <x:c r="O305" s="4" t="str">
        <x:v>综合方案§13核心数据模型</x:v>
      </x:c>
      <x:c r="P305" s="4" t="str">
        <x:v>DRAFT_FROM_SCHEME</x:v>
      </x:c>
    </x:row>
    <x:row r="306" ht="23" customHeight="1">
      <x:c r="A306" s="4" t="str">
        <x:v>SupplyPriceChangeRequest</x:v>
      </x:c>
      <x:c r="B306" s="4" t="str">
        <x:v>reviewReason</x:v>
      </x:c>
      <x:c r="C306" s="17" t="str">
        <x:v>reviewReason</x:v>
      </x:c>
      <x:c r="D306" s="4" t="str">
        <x:v>9</x:v>
      </x:c>
      <x:c r="E306" s="4" t="str">
        <x:v>String</x:v>
      </x:c>
      <x:c r="F306" s="4" t="str">
        <x:v>YES</x:v>
      </x:c>
      <x:c r="G306" s="4" t="str">
        <x:v>待M阶段冻结</x:v>
      </x:c>
      <x:c r="H306" s="17" t="str">
        <x:v>STRICT_INTERNAL_SUPPLY_PRICE</x:v>
      </x:c>
      <x:c r="I306" s="17" t="str">
        <x:v>仅公司价格/财务及本供应商价格/财务职能可见</x:v>
      </x:c>
      <x:c r="J306" s="17" t="str">
        <x:v>禁止出现在消费者端、企业采购端、门户公开端及非授权日志</x:v>
      </x:c>
      <x:c r="K306" s="17" t="str">
        <x:v>DTO白名单；长度/枚举/归属/状态校验；禁止信任客户端派生值</x:v>
      </x:c>
      <x:c r="L306" s="17" t="str">
        <x:v>追加/版本/快照，不覆盖已生效历史</x:v>
      </x:c>
      <x:c r="M306" s="4" t="str">
        <x:v>M2</x:v>
      </x:c>
      <x:c r="N306" s="4" t="str">
        <x:v>P0-019,P0-071</x:v>
      </x:c>
      <x:c r="O306" s="4" t="str">
        <x:v>综合方案§13核心数据模型</x:v>
      </x:c>
      <x:c r="P306" s="4" t="str">
        <x:v>DRAFT_FROM_SCHEME</x:v>
      </x:c>
    </x:row>
    <x:row r="307" ht="23" customHeight="1">
      <x:c r="A307" s="4" t="str">
        <x:v>SupplyPriceChangeRequest</x:v>
      </x:c>
      <x:c r="B307" s="4" t="str">
        <x:v>reviewedBy</x:v>
      </x:c>
      <x:c r="C307" s="17" t="str">
        <x:v>reviewedBy</x:v>
      </x:c>
      <x:c r="D307" s="4" t="str">
        <x:v>10</x:v>
      </x:c>
      <x:c r="E307" s="4" t="str">
        <x:v>String</x:v>
      </x:c>
      <x:c r="F307" s="4" t="str">
        <x:v>YES</x:v>
      </x:c>
      <x:c r="G307" s="4" t="str">
        <x:v>待M阶段冻结</x:v>
      </x:c>
      <x:c r="H307" s="17" t="str">
        <x:v>STRICT_INTERNAL_SUPPLY_PRICE</x:v>
      </x:c>
      <x:c r="I307" s="17" t="str">
        <x:v>仅公司价格/财务及本供应商价格/财务职能可见</x:v>
      </x:c>
      <x:c r="J307" s="17" t="str">
        <x:v>禁止出现在消费者端、企业采购端、门户公开端及非授权日志</x:v>
      </x:c>
      <x:c r="K307" s="17" t="str">
        <x:v>DTO白名单；长度/枚举/归属/状态校验；禁止信任客户端派生值</x:v>
      </x:c>
      <x:c r="L307" s="17" t="str">
        <x:v>追加/版本/快照，不覆盖已生效历史</x:v>
      </x:c>
      <x:c r="M307" s="4" t="str">
        <x:v>M2</x:v>
      </x:c>
      <x:c r="N307" s="4" t="str">
        <x:v>P0-019,P0-071</x:v>
      </x:c>
      <x:c r="O307" s="4" t="str">
        <x:v>综合方案§13核心数据模型</x:v>
      </x:c>
      <x:c r="P307" s="4" t="str">
        <x:v>DRAFT_FROM_SCHEME</x:v>
      </x:c>
    </x:row>
    <x:row r="308" ht="23" customHeight="1">
      <x:c r="A308" s="4" t="str">
        <x:v>SupplyPriceChangeRequest</x:v>
      </x:c>
      <x:c r="B308" s="4" t="str">
        <x:v>reviewedAt</x:v>
      </x:c>
      <x:c r="C308" s="17" t="str">
        <x:v>reviewedAt</x:v>
      </x:c>
      <x:c r="D308" s="4" t="str">
        <x:v>11</x:v>
      </x:c>
      <x:c r="E308" s="4" t="str">
        <x:v>DateTime</x:v>
      </x:c>
      <x:c r="F308" s="4" t="str">
        <x:v>YES</x:v>
      </x:c>
      <x:c r="G308" s="4" t="str">
        <x:v>ISO-8601+明确时区</x:v>
      </x:c>
      <x:c r="H308" s="17" t="str">
        <x:v>STRICT_INTERNAL_SUPPLY_PRICE</x:v>
      </x:c>
      <x:c r="I308" s="17" t="str">
        <x:v>仅公司价格/财务及本供应商价格/财务职能可见</x:v>
      </x:c>
      <x:c r="J308" s="17" t="str">
        <x:v>禁止出现在消费者端、企业采购端、门户公开端及非授权日志</x:v>
      </x:c>
      <x:c r="K308" s="17" t="str">
        <x:v>DTO白名单；长度/枚举/归属/状态校验；禁止信任客户端派生值</x:v>
      </x:c>
      <x:c r="L308" s="17" t="str">
        <x:v>追加/版本/快照，不覆盖已生效历史</x:v>
      </x:c>
      <x:c r="M308" s="4" t="str">
        <x:v>M2</x:v>
      </x:c>
      <x:c r="N308" s="4" t="str">
        <x:v>P0-019,P0-071</x:v>
      </x:c>
      <x:c r="O308" s="4" t="str">
        <x:v>综合方案§13核心数据模型</x:v>
      </x:c>
      <x:c r="P308" s="4" t="str">
        <x:v>DRAFT_FROM_SCHEME</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ISO-8601+明确时区</x:v>
      </x:c>
      <x:c r="H309" s="17" t="str">
        <x:v>STRICT_INTERNAL_SUPPLY_PRICE</x:v>
      </x:c>
      <x:c r="I309" s="17" t="str">
        <x:v>仅公司价格/财务及本供应商价格/财务职能可见</x:v>
      </x:c>
      <x:c r="J309" s="17" t="str">
        <x:v>禁止出现在消费者端、企业采购端、门户公开端及非授权日志</x:v>
      </x:c>
      <x:c r="K309" s="17" t="str">
        <x:v>DTO白名单；长度/枚举/归属/状态校验；禁止信任客户端派生值</x:v>
      </x:c>
      <x:c r="L309" s="17" t="str">
        <x:v>追加/版本/快照，不覆盖已生效历史</x:v>
      </x:c>
      <x:c r="M309" s="4" t="str">
        <x:v>M2</x:v>
      </x:c>
      <x:c r="N309" s="4" t="str">
        <x:v>P0-019,P0-071</x:v>
      </x:c>
      <x:c r="O309" s="4" t="str">
        <x:v>综合方案§13核心数据模型</x:v>
      </x:c>
      <x:c r="P309" s="4" t="str">
        <x:v>DRAFT_FROM_SCHEME</x:v>
      </x:c>
    </x:row>
    <x:row r="310" ht="23" customHeight="1">
      <x:c r="A310" s="4" t="str">
        <x:v>SupplyPriceChangeRequest</x:v>
      </x:c>
      <x:c r="B310" s="4" t="str">
        <x:v>version</x:v>
      </x:c>
      <x:c r="C310" s="17" t="str">
        <x:v>version</x:v>
      </x:c>
      <x:c r="D310" s="4" t="str">
        <x:v>13</x:v>
      </x:c>
      <x:c r="E310" s="4" t="str">
        <x:v>Int</x:v>
      </x:c>
      <x:c r="F310" s="4" t="str">
        <x:v>YES</x:v>
      </x:c>
      <x:c r="G310" s="4" t="str">
        <x:v>待M阶段冻结</x:v>
      </x:c>
      <x:c r="H310" s="17" t="str">
        <x:v>STRICT_INTERNAL_SUPPLY_PRICE</x:v>
      </x:c>
      <x:c r="I310" s="17" t="str">
        <x:v>仅公司价格/财务及本供应商价格/财务职能可见</x:v>
      </x:c>
      <x:c r="J310" s="17" t="str">
        <x:v>禁止出现在消费者端、企业采购端、门户公开端及非授权日志</x:v>
      </x:c>
      <x:c r="K310" s="17" t="str">
        <x:v>DTO白名单；长度/枚举/归属/状态校验；禁止信任客户端派生值</x:v>
      </x:c>
      <x:c r="L310" s="17" t="str">
        <x:v>追加/版本/快照，不覆盖已生效历史</x:v>
      </x:c>
      <x:c r="M310" s="4" t="str">
        <x:v>M2</x:v>
      </x:c>
      <x:c r="N310" s="4" t="str">
        <x:v>P0-019,P0-071</x:v>
      </x:c>
      <x:c r="O310" s="4" t="str">
        <x:v>综合方案§13核心数据模型</x:v>
      </x:c>
      <x:c r="P310" s="4" t="str">
        <x:v>DRAFT_FROM_SCHEME</x:v>
      </x:c>
    </x:row>
    <x:row r="311" ht="23" customHeight="1">
      <x:c r="A311" s="4" t="str">
        <x:v>SupplyPriceChangeRequest</x:v>
      </x:c>
      <x:c r="B311" s="4" t="str">
        <x:v>createdAt</x:v>
      </x:c>
      <x:c r="C311" s="17" t="str">
        <x:v>createdAt</x:v>
      </x:c>
      <x:c r="D311" s="4" t="str">
        <x:v>14</x:v>
      </x:c>
      <x:c r="E311" s="4" t="str">
        <x:v>DateTime</x:v>
      </x:c>
      <x:c r="F311" s="4" t="str">
        <x:v>YES</x:v>
      </x:c>
      <x:c r="G311" s="4" t="str">
        <x:v>ISO-8601+明确时区</x:v>
      </x:c>
      <x:c r="H311" s="17" t="str">
        <x:v>STRICT_INTERNAL_SUPPLY_PRICE</x:v>
      </x:c>
      <x:c r="I311" s="17" t="str">
        <x:v>仅公司价格/财务及本供应商价格/财务职能可见</x:v>
      </x:c>
      <x:c r="J311" s="17" t="str">
        <x:v>禁止出现在消费者端、企业采购端、门户公开端及非授权日志</x:v>
      </x:c>
      <x:c r="K311" s="17" t="str">
        <x:v>DTO白名单；长度/枚举/归属/状态校验；禁止信任客户端派生值</x:v>
      </x:c>
      <x:c r="L311" s="17" t="str">
        <x:v>追加/版本/快照，不覆盖已生效历史</x:v>
      </x:c>
      <x:c r="M311" s="4" t="str">
        <x:v>M2</x:v>
      </x:c>
      <x:c r="N311" s="4" t="str">
        <x:v>P0-019,P0-071</x:v>
      </x:c>
      <x:c r="O311" s="4" t="str">
        <x:v>综合方案§13核心数据模型</x:v>
      </x:c>
      <x:c r="P311" s="4" t="str">
        <x:v>DRAFT_FROM_SCHEME</x:v>
      </x:c>
    </x:row>
    <x:row r="312" ht="23" customHeight="1">
      <x:c r="A312" s="4" t="str">
        <x:v>PriceChangeLog</x:v>
      </x:c>
      <x:c r="B312" s="4" t="str">
        <x:v>id</x:v>
      </x:c>
      <x:c r="C312" s="17" t="str">
        <x:v>id</x:v>
      </x:c>
      <x:c r="D312" s="4" t="str">
        <x:v>1</x:v>
      </x:c>
      <x:c r="E312" s="4" t="str">
        <x:v>String/UUID</x:v>
      </x:c>
      <x:c r="F312" s="4" t="str">
        <x:v>YES</x:v>
      </x:c>
      <x:c r="G312" s="4" t="str">
        <x:v>待M阶段冻结</x:v>
      </x:c>
      <x:c r="H312" s="17" t="str">
        <x:v>INTERNAL</x:v>
      </x:c>
      <x:c r="I312" s="17" t="str">
        <x:v>按资源权限与数据域访问；公开DTO另行白名单</x:v>
      </x:c>
      <x:c r="J312" s="17" t="str">
        <x:v>数据库实体不得直接序列化为响应</x:v>
      </x:c>
      <x:c r="K312" s="17" t="str">
        <x:v>DTO白名单；长度/枚举/归属/状态校验；禁止信任客户端派生值</x:v>
      </x:c>
      <x:c r="L312" s="17" t="str">
        <x:v>追加/版本/快照，不覆盖已生效历史</x:v>
      </x:c>
      <x:c r="M312" s="4" t="str">
        <x:v>M2</x:v>
      </x:c>
      <x:c r="N312" s="4" t="str">
        <x:v>待切片细化</x:v>
      </x:c>
      <x:c r="O312" s="4" t="str">
        <x:v>综合方案§13核心数据模型</x:v>
      </x:c>
      <x:c r="P312" s="4" t="str">
        <x:v>DRAFT_FROM_SCHEME</x:v>
      </x:c>
    </x:row>
    <x:row r="313" ht="23" customHeight="1">
      <x:c r="A313" s="4" t="str">
        <x:v>PriceChangeLog</x:v>
      </x:c>
      <x:c r="B313" s="4" t="str">
        <x:v>supplierId</x:v>
      </x:c>
      <x:c r="C313" s="17" t="str">
        <x:v>supplierId</x:v>
      </x:c>
      <x:c r="D313" s="4" t="str">
        <x:v>2</x:v>
      </x:c>
      <x:c r="E313" s="4" t="str">
        <x:v>String/UUID</x:v>
      </x:c>
      <x:c r="F313" s="4" t="str">
        <x:v>YES</x:v>
      </x:c>
      <x:c r="G313" s="4" t="str">
        <x:v>待M阶段冻结</x:v>
      </x:c>
      <x:c r="H313" s="17" t="str">
        <x:v>INTERNAL</x:v>
      </x:c>
      <x:c r="I313" s="17" t="str">
        <x:v>按资源权限与数据域访问；公开DTO另行白名单</x:v>
      </x:c>
      <x:c r="J313" s="17" t="str">
        <x:v>数据库实体不得直接序列化为响应</x:v>
      </x:c>
      <x:c r="K313" s="17" t="str">
        <x:v>DTO白名单；长度/枚举/归属/状态校验；禁止信任客户端派生值</x:v>
      </x:c>
      <x:c r="L313" s="17" t="str">
        <x:v>追加/版本/快照，不覆盖已生效历史</x:v>
      </x:c>
      <x:c r="M313" s="4" t="str">
        <x:v>M2</x:v>
      </x:c>
      <x:c r="N313" s="4" t="str">
        <x:v>待切片细化</x:v>
      </x:c>
      <x:c r="O313" s="4" t="str">
        <x:v>综合方案§13核心数据模型</x:v>
      </x:c>
      <x:c r="P313" s="4" t="str">
        <x:v>DRAFT_FROM_SCHEME</x:v>
      </x:c>
    </x:row>
    <x:row r="314" ht="23" customHeight="1">
      <x:c r="A314" s="4" t="str">
        <x:v>PriceChangeLog</x:v>
      </x:c>
      <x:c r="B314" s="4" t="str">
        <x:v>productId</x:v>
      </x:c>
      <x:c r="C314" s="17" t="str">
        <x:v>productId</x:v>
      </x:c>
      <x:c r="D314" s="4" t="str">
        <x:v>3</x:v>
      </x:c>
      <x:c r="E314" s="4" t="str">
        <x:v>String/UUID</x:v>
      </x:c>
      <x:c r="F314" s="4" t="str">
        <x:v>YES</x:v>
      </x:c>
      <x:c r="G314" s="4" t="str">
        <x:v>待M阶段冻结</x:v>
      </x:c>
      <x:c r="H314" s="17" t="str">
        <x:v>INTERNAL</x:v>
      </x:c>
      <x:c r="I314" s="17" t="str">
        <x:v>按资源权限与数据域访问；公开DTO另行白名单</x:v>
      </x:c>
      <x:c r="J314" s="17" t="str">
        <x:v>数据库实体不得直接序列化为响应</x:v>
      </x:c>
      <x:c r="K314" s="17" t="str">
        <x:v>DTO白名单；长度/枚举/归属/状态校验；禁止信任客户端派生值</x:v>
      </x:c>
      <x:c r="L314" s="17" t="str">
        <x:v>追加/版本/快照，不覆盖已生效历史</x:v>
      </x:c>
      <x:c r="M314" s="4" t="str">
        <x:v>M2</x:v>
      </x:c>
      <x:c r="N314" s="4" t="str">
        <x:v>待切片细化</x:v>
      </x:c>
      <x:c r="O314" s="4" t="str">
        <x:v>综合方案§13核心数据模型</x:v>
      </x:c>
      <x:c r="P314" s="4" t="str">
        <x:v>DRAFT_FROM_SCHEME</x:v>
      </x:c>
    </x:row>
    <x:row r="315" ht="23" customHeight="1">
      <x:c r="A315" s="4" t="str">
        <x:v>PriceChangeLog</x:v>
      </x:c>
      <x:c r="B315" s="4" t="str">
        <x:v>skuId</x:v>
      </x:c>
      <x:c r="C315" s="17" t="str">
        <x:v>skuId</x:v>
      </x:c>
      <x:c r="D315" s="4" t="str">
        <x:v>4</x:v>
      </x:c>
      <x:c r="E315" s="4" t="str">
        <x:v>String/UUID</x:v>
      </x:c>
      <x:c r="F315" s="4" t="str">
        <x:v>YES</x:v>
      </x:c>
      <x:c r="G315" s="4" t="str">
        <x:v>待M阶段冻结</x:v>
      </x:c>
      <x:c r="H315" s="17" t="str">
        <x:v>INTERNAL</x:v>
      </x:c>
      <x:c r="I315" s="17" t="str">
        <x:v>按资源权限与数据域访问；公开DTO另行白名单</x:v>
      </x:c>
      <x:c r="J315" s="17" t="str">
        <x:v>数据库实体不得直接序列化为响应</x:v>
      </x:c>
      <x:c r="K315" s="17" t="str">
        <x:v>DTO白名单；长度/枚举/归属/状态校验；禁止信任客户端派生值</x:v>
      </x:c>
      <x:c r="L315" s="17" t="str">
        <x:v>追加/版本/快照，不覆盖已生效历史</x:v>
      </x:c>
      <x:c r="M315" s="4" t="str">
        <x:v>M2</x:v>
      </x:c>
      <x:c r="N315" s="4" t="str">
        <x:v>待切片细化</x:v>
      </x:c>
      <x:c r="O315" s="4" t="str">
        <x:v>综合方案§13核心数据模型</x:v>
      </x:c>
      <x:c r="P315" s="4" t="str">
        <x:v>DRAFT_FROM_SCHEME</x:v>
      </x:c>
    </x:row>
    <x:row r="316" ht="23" customHeight="1">
      <x:c r="A316" s="4" t="str">
        <x:v>PriceChangeLog</x:v>
      </x:c>
      <x:c r="B316" s="4" t="str">
        <x:v>priceType</x:v>
      </x:c>
      <x:c r="C316" s="17" t="str">
        <x:v>priceType</x:v>
      </x:c>
      <x:c r="D316" s="4" t="str">
        <x:v>5</x:v>
      </x:c>
      <x:c r="E316" s="4" t="str">
        <x:v>Int(分)</x:v>
      </x:c>
      <x:c r="F316" s="4" t="str">
        <x:v>YES</x:v>
      </x:c>
      <x:c r="G316" s="4" t="str">
        <x:v>整数分</x:v>
      </x:c>
      <x:c r="H316" s="17" t="str">
        <x:v>INTERNAL</x:v>
      </x:c>
      <x:c r="I316" s="17" t="str">
        <x:v>按资源权限与数据域访问；公开DTO另行白名单</x:v>
      </x:c>
      <x:c r="J316" s="17" t="str">
        <x:v>数据库实体不得直接序列化为响应</x:v>
      </x:c>
      <x:c r="K316" s="17" t="str">
        <x:v>DTO白名单；长度/枚举/归属/状态校验；禁止信任客户端派生值</x:v>
      </x:c>
      <x:c r="L316" s="17" t="str">
        <x:v>追加/版本/快照，不覆盖已生效历史</x:v>
      </x:c>
      <x:c r="M316" s="4" t="str">
        <x:v>M2</x:v>
      </x:c>
      <x:c r="N316" s="4" t="str">
        <x:v>待切片细化</x:v>
      </x:c>
      <x:c r="O316" s="4" t="str">
        <x:v>综合方案§13核心数据模型</x:v>
      </x:c>
      <x:c r="P316" s="4" t="str">
        <x:v>DRAFT_FROM_SCHEME</x:v>
      </x:c>
    </x:row>
    <x:row r="317" ht="23" customHeight="1">
      <x:c r="A317" s="4" t="str">
        <x:v>PriceChangeLog</x:v>
      </x:c>
      <x:c r="B317" s="4" t="str">
        <x:v>approvalRequestId</x:v>
      </x:c>
      <x:c r="C317" s="17" t="str">
        <x:v>approvalRequestId?</x:v>
      </x:c>
      <x:c r="D317" s="4" t="str">
        <x:v>6</x:v>
      </x:c>
      <x:c r="E317" s="4" t="str">
        <x:v>String/UUID</x:v>
      </x:c>
      <x:c r="F317" s="4" t="str">
        <x:v>NO</x:v>
      </x:c>
      <x:c r="G317" s="4" t="str">
        <x:v>待M阶段冻结</x:v>
      </x:c>
      <x:c r="H317" s="17" t="str">
        <x:v>INTERNAL</x:v>
      </x:c>
      <x:c r="I317" s="17" t="str">
        <x:v>按资源权限与数据域访问；公开DTO另行白名单</x:v>
      </x:c>
      <x:c r="J317" s="17" t="str">
        <x:v>数据库实体不得直接序列化为响应</x:v>
      </x:c>
      <x:c r="K317" s="17" t="str">
        <x:v>DTO白名单；长度/枚举/归属/状态校验；禁止信任客户端派生值</x:v>
      </x:c>
      <x:c r="L317" s="17" t="str">
        <x:v>追加/版本/快照，不覆盖已生效历史</x:v>
      </x:c>
      <x:c r="M317" s="4" t="str">
        <x:v>M2</x:v>
      </x:c>
      <x:c r="N317" s="4" t="str">
        <x:v>待切片细化</x:v>
      </x:c>
      <x:c r="O317" s="4" t="str">
        <x:v>综合方案§13核心数据模型</x:v>
      </x:c>
      <x:c r="P317" s="4" t="str">
        <x:v>DRAFT_FROM_SCHEME</x:v>
      </x:c>
    </x:row>
    <x:row r="318" ht="23" customHeight="1">
      <x:c r="A318" s="4" t="str">
        <x:v>PriceChangeLog</x:v>
      </x:c>
      <x:c r="B318" s="4" t="str">
        <x:v>oldSupplyPrice</x:v>
      </x:c>
      <x:c r="C318" s="17" t="str">
        <x:v>oldSupplyPrice</x:v>
      </x:c>
      <x:c r="D318" s="4" t="str">
        <x:v>7</x:v>
      </x:c>
      <x:c r="E318" s="4" t="str">
        <x:v>Int(分)</x:v>
      </x:c>
      <x:c r="F318" s="4" t="str">
        <x:v>YES</x:v>
      </x:c>
      <x:c r="G318" s="4" t="str">
        <x:v>整数分</x:v>
      </x:c>
      <x:c r="H318" s="17" t="str">
        <x:v>STRICT_INTERNAL_SUPPLY_PRICE</x:v>
      </x:c>
      <x:c r="I318" s="17" t="str">
        <x:v>仅公司价格/财务及本供应商价格/财务职能可见</x:v>
      </x:c>
      <x:c r="J318" s="17" t="str">
        <x:v>禁止出现在消费者端、企业采购端、门户公开端及非授权日志</x:v>
      </x:c>
      <x:c r="K318" s="17" t="str">
        <x:v>DTO白名单；长度/枚举/归属/状态校验；禁止信任客户端派生值</x:v>
      </x:c>
      <x:c r="L318" s="17" t="str">
        <x:v>追加/版本/快照，不覆盖已生效历史</x:v>
      </x:c>
      <x:c r="M318" s="4" t="str">
        <x:v>M2</x:v>
      </x:c>
      <x:c r="N318" s="4" t="str">
        <x:v>待切片细化</x:v>
      </x:c>
      <x:c r="O318" s="4" t="str">
        <x:v>综合方案§13核心数据模型</x:v>
      </x:c>
      <x:c r="P318" s="4" t="str">
        <x:v>DRAFT_FROM_SCHEME</x:v>
      </x:c>
    </x:row>
    <x:row r="319" ht="23" customHeight="1">
      <x:c r="A319" s="4" t="str">
        <x:v>PriceChangeLog</x:v>
      </x:c>
      <x:c r="B319" s="4" t="str">
        <x:v>newSupplyPrice</x:v>
      </x:c>
      <x:c r="C319" s="17" t="str">
        <x:v>newSupplyPrice</x:v>
      </x:c>
      <x:c r="D319" s="4" t="str">
        <x:v>8</x:v>
      </x:c>
      <x:c r="E319" s="4" t="str">
        <x:v>Int(分)</x:v>
      </x:c>
      <x:c r="F319" s="4" t="str">
        <x:v>YES</x:v>
      </x:c>
      <x:c r="G319" s="4" t="str">
        <x:v>整数分</x:v>
      </x:c>
      <x:c r="H319" s="17" t="str">
        <x:v>STRICT_INTERNAL_SUPPLY_PRICE</x:v>
      </x:c>
      <x:c r="I319" s="17" t="str">
        <x:v>仅公司价格/财务及本供应商价格/财务职能可见</x:v>
      </x:c>
      <x:c r="J319" s="17" t="str">
        <x:v>禁止出现在消费者端、企业采购端、门户公开端及非授权日志</x:v>
      </x:c>
      <x:c r="K319" s="17" t="str">
        <x:v>DTO白名单；长度/枚举/归属/状态校验；禁止信任客户端派生值</x:v>
      </x:c>
      <x:c r="L319" s="17" t="str">
        <x:v>追加/版本/快照，不覆盖已生效历史</x:v>
      </x:c>
      <x:c r="M319" s="4" t="str">
        <x:v>M2</x:v>
      </x:c>
      <x:c r="N319" s="4" t="str">
        <x:v>待切片细化</x:v>
      </x:c>
      <x:c r="O319" s="4" t="str">
        <x:v>综合方案§13核心数据模型</x:v>
      </x:c>
      <x:c r="P319" s="4" t="str">
        <x:v>DRAFT_FROM_SCHEME</x:v>
      </x:c>
    </x:row>
    <x:row r="320" ht="23" customHeight="1">
      <x:c r="A320" s="4" t="str">
        <x:v>PriceChangeLog</x:v>
      </x:c>
      <x:c r="B320" s="4" t="str">
        <x:v>oldRetailSalePrice</x:v>
      </x:c>
      <x:c r="C320" s="17" t="str">
        <x:v>oldRetailSalePrice</x:v>
      </x:c>
      <x:c r="D320" s="4" t="str">
        <x:v>9</x:v>
      </x:c>
      <x:c r="E320" s="4" t="str">
        <x:v>Int(分)</x:v>
      </x:c>
      <x:c r="F320" s="4" t="str">
        <x:v>YES</x:v>
      </x:c>
      <x:c r="G320" s="4" t="str">
        <x:v>整数分</x:v>
      </x:c>
      <x:c r="H320" s="17" t="str">
        <x:v>INTERNAL</x:v>
      </x:c>
      <x:c r="I320" s="17" t="str">
        <x:v>按资源权限与数据域访问；公开DTO另行白名单</x:v>
      </x:c>
      <x:c r="J320" s="17" t="str">
        <x:v>数据库实体不得直接序列化为响应</x:v>
      </x:c>
      <x:c r="K320" s="17" t="str">
        <x:v>DTO白名单；长度/枚举/归属/状态校验；禁止信任客户端派生值</x:v>
      </x:c>
      <x:c r="L320" s="17" t="str">
        <x:v>追加/版本/快照，不覆盖已生效历史</x:v>
      </x:c>
      <x:c r="M320" s="4" t="str">
        <x:v>M2</x:v>
      </x:c>
      <x:c r="N320" s="4" t="str">
        <x:v>待切片细化</x:v>
      </x:c>
      <x:c r="O320" s="4" t="str">
        <x:v>综合方案§13核心数据模型</x:v>
      </x:c>
      <x:c r="P320" s="4" t="str">
        <x:v>DRAFT_FROM_SCHEME</x:v>
      </x:c>
    </x:row>
    <x:row r="321" ht="23" customHeight="1">
      <x:c r="A321" s="4" t="str">
        <x:v>PriceChangeLog</x:v>
      </x:c>
      <x:c r="B321" s="4" t="str">
        <x:v>newRetailSalePrice</x:v>
      </x:c>
      <x:c r="C321" s="17" t="str">
        <x:v>newRetailSalePrice</x:v>
      </x:c>
      <x:c r="D321" s="4" t="str">
        <x:v>10</x:v>
      </x:c>
      <x:c r="E321" s="4" t="str">
        <x:v>Int(分)</x:v>
      </x:c>
      <x:c r="F321" s="4" t="str">
        <x:v>YES</x:v>
      </x:c>
      <x:c r="G321" s="4" t="str">
        <x:v>整数分</x:v>
      </x:c>
      <x:c r="H321" s="17" t="str">
        <x:v>INTERNAL</x:v>
      </x:c>
      <x:c r="I321" s="17" t="str">
        <x:v>按资源权限与数据域访问；公开DTO另行白名单</x:v>
      </x:c>
      <x:c r="J321" s="17" t="str">
        <x:v>数据库实体不得直接序列化为响应</x:v>
      </x:c>
      <x:c r="K321" s="17" t="str">
        <x:v>DTO白名单；长度/枚举/归属/状态校验；禁止信任客户端派生值</x:v>
      </x:c>
      <x:c r="L321" s="17" t="str">
        <x:v>追加/版本/快照，不覆盖已生效历史</x:v>
      </x:c>
      <x:c r="M321" s="4" t="str">
        <x:v>M2</x:v>
      </x:c>
      <x:c r="N321" s="4" t="str">
        <x:v>待切片细化</x:v>
      </x:c>
      <x:c r="O321" s="4" t="str">
        <x:v>综合方案§13核心数据模型</x:v>
      </x:c>
      <x:c r="P321" s="4" t="str">
        <x:v>DRAFT_FROM_SCHEME</x:v>
      </x:c>
    </x:row>
    <x:row r="322" ht="23" customHeight="1">
      <x:c r="A322" s="4" t="str">
        <x:v>PriceChangeLog</x:v>
      </x:c>
      <x:c r="B322" s="4" t="str">
        <x:v>oldEnterpriseSalePrice</x:v>
      </x:c>
      <x:c r="C322" s="17" t="str">
        <x:v>oldEnterpriseSalePrice</x:v>
      </x:c>
      <x:c r="D322" s="4" t="str">
        <x:v>11</x:v>
      </x:c>
      <x:c r="E322" s="4" t="str">
        <x:v>Int(分)</x:v>
      </x:c>
      <x:c r="F322" s="4" t="str">
        <x:v>YES</x:v>
      </x:c>
      <x:c r="G322" s="4" t="str">
        <x:v>整数分</x:v>
      </x:c>
      <x:c r="H322" s="17" t="str">
        <x:v>INTERNAL</x:v>
      </x:c>
      <x:c r="I322" s="17" t="str">
        <x:v>按资源权限与数据域访问；公开DTO另行白名单</x:v>
      </x:c>
      <x:c r="J322" s="17" t="str">
        <x:v>数据库实体不得直接序列化为响应</x:v>
      </x:c>
      <x:c r="K322" s="17" t="str">
        <x:v>DTO白名单；长度/枚举/归属/状态校验；禁止信任客户端派生值</x:v>
      </x:c>
      <x:c r="L322" s="17" t="str">
        <x:v>追加/版本/快照，不覆盖已生效历史</x:v>
      </x:c>
      <x:c r="M322" s="4" t="str">
        <x:v>M2</x:v>
      </x:c>
      <x:c r="N322" s="4" t="str">
        <x:v>待切片细化</x:v>
      </x:c>
      <x:c r="O322" s="4" t="str">
        <x:v>综合方案§13核心数据模型</x:v>
      </x:c>
      <x:c r="P322" s="4" t="str">
        <x:v>DRAFT_FROM_SCHEME</x:v>
      </x:c>
    </x:row>
    <x:row r="323" ht="23" customHeight="1">
      <x:c r="A323" s="4" t="str">
        <x:v>PriceChangeLog</x:v>
      </x:c>
      <x:c r="B323" s="4" t="str">
        <x:v>newEnterpriseSalePrice</x:v>
      </x:c>
      <x:c r="C323" s="17" t="str">
        <x:v>newEnterpriseSalePrice</x:v>
      </x:c>
      <x:c r="D323" s="4" t="str">
        <x:v>12</x:v>
      </x:c>
      <x:c r="E323" s="4" t="str">
        <x:v>Int(分)</x:v>
      </x:c>
      <x:c r="F323" s="4" t="str">
        <x:v>YES</x:v>
      </x:c>
      <x:c r="G323" s="4" t="str">
        <x:v>整数分</x:v>
      </x:c>
      <x:c r="H323" s="17" t="str">
        <x:v>INTERNAL</x:v>
      </x:c>
      <x:c r="I323" s="17" t="str">
        <x:v>按资源权限与数据域访问；公开DTO另行白名单</x:v>
      </x:c>
      <x:c r="J323" s="17" t="str">
        <x:v>数据库实体不得直接序列化为响应</x:v>
      </x:c>
      <x:c r="K323" s="17" t="str">
        <x:v>DTO白名单；长度/枚举/归属/状态校验；禁止信任客户端派生值</x:v>
      </x:c>
      <x:c r="L323" s="17" t="str">
        <x:v>追加/版本/快照，不覆盖已生效历史</x:v>
      </x:c>
      <x:c r="M323" s="4" t="str">
        <x:v>M2</x:v>
      </x:c>
      <x:c r="N323" s="4" t="str">
        <x:v>待切片细化</x:v>
      </x:c>
      <x:c r="O323" s="4" t="str">
        <x:v>综合方案§13核心数据模型</x:v>
      </x:c>
      <x:c r="P323" s="4" t="str">
        <x:v>DRAFT_FROM_SCHEME</x:v>
      </x:c>
    </x:row>
    <x:row r="324" ht="23" customHeight="1">
      <x:c r="A324" s="4" t="str">
        <x:v>PriceChangeLog</x:v>
      </x:c>
      <x:c r="B324" s="4" t="str">
        <x:v>effectiveAt</x:v>
      </x:c>
      <x:c r="C324" s="17" t="str">
        <x:v>effectiveAt</x:v>
      </x:c>
      <x:c r="D324" s="4" t="str">
        <x:v>13</x:v>
      </x:c>
      <x:c r="E324" s="4" t="str">
        <x:v>DateTime</x:v>
      </x:c>
      <x:c r="F324" s="4" t="str">
        <x:v>YES</x:v>
      </x:c>
      <x:c r="G324" s="4" t="str">
        <x:v>ISO-8601+明确时区</x:v>
      </x:c>
      <x:c r="H324" s="17" t="str">
        <x:v>INTERNAL</x:v>
      </x:c>
      <x:c r="I324" s="17" t="str">
        <x:v>按资源权限与数据域访问；公开DTO另行白名单</x:v>
      </x:c>
      <x:c r="J324" s="17" t="str">
        <x:v>数据库实体不得直接序列化为响应</x:v>
      </x:c>
      <x:c r="K324" s="17" t="str">
        <x:v>DTO白名单；长度/枚举/归属/状态校验；禁止信任客户端派生值</x:v>
      </x:c>
      <x:c r="L324" s="17" t="str">
        <x:v>追加/版本/快照，不覆盖已生效历史</x:v>
      </x:c>
      <x:c r="M324" s="4" t="str">
        <x:v>M2</x:v>
      </x:c>
      <x:c r="N324" s="4" t="str">
        <x:v>待切片细化</x:v>
      </x:c>
      <x:c r="O324" s="4" t="str">
        <x:v>综合方案§13核心数据模型</x:v>
      </x:c>
      <x:c r="P324" s="4" t="str">
        <x:v>DRAFT_FROM_SCHEME</x:v>
      </x:c>
    </x:row>
    <x:row r="325" ht="23" customHeight="1">
      <x:c r="A325" s="4" t="str">
        <x:v>PriceChangeLog</x:v>
      </x:c>
      <x:c r="B325" s="4" t="str">
        <x:v>changedBy</x:v>
      </x:c>
      <x:c r="C325" s="17" t="str">
        <x:v>changedBy</x:v>
      </x:c>
      <x:c r="D325" s="4" t="str">
        <x:v>14</x:v>
      </x:c>
      <x:c r="E325" s="4" t="str">
        <x:v>String</x:v>
      </x:c>
      <x:c r="F325" s="4" t="str">
        <x:v>YES</x:v>
      </x:c>
      <x:c r="G325" s="4" t="str">
        <x:v>待M阶段冻结</x:v>
      </x:c>
      <x:c r="H325" s="17" t="str">
        <x:v>INTERNAL</x:v>
      </x:c>
      <x:c r="I325" s="17" t="str">
        <x:v>按资源权限与数据域访问；公开DTO另行白名单</x:v>
      </x:c>
      <x:c r="J325" s="17" t="str">
        <x:v>数据库实体不得直接序列化为响应</x:v>
      </x:c>
      <x:c r="K325" s="17" t="str">
        <x:v>DTO白名单；长度/枚举/归属/状态校验；禁止信任客户端派生值</x:v>
      </x:c>
      <x:c r="L325" s="17" t="str">
        <x:v>追加/版本/快照，不覆盖已生效历史</x:v>
      </x:c>
      <x:c r="M325" s="4" t="str">
        <x:v>M2</x:v>
      </x:c>
      <x:c r="N325" s="4" t="str">
        <x:v>待切片细化</x:v>
      </x:c>
      <x:c r="O325" s="4" t="str">
        <x:v>综合方案§13核心数据模型</x:v>
      </x:c>
      <x:c r="P325" s="4" t="str">
        <x:v>DRAFT_FROM_SCHEME</x:v>
      </x:c>
    </x:row>
    <x:row r="326" ht="23" customHeight="1">
      <x:c r="A326" s="4" t="str">
        <x:v>PriceChangeLog</x:v>
      </x:c>
      <x:c r="B326" s="4" t="str">
        <x:v>changeReason</x:v>
      </x:c>
      <x:c r="C326" s="17" t="str">
        <x:v>changeReason</x:v>
      </x:c>
      <x:c r="D326" s="4" t="str">
        <x:v>15</x:v>
      </x:c>
      <x:c r="E326" s="4" t="str">
        <x:v>String</x:v>
      </x:c>
      <x:c r="F326" s="4" t="str">
        <x:v>YES</x:v>
      </x:c>
      <x:c r="G326" s="4" t="str">
        <x:v>待M阶段冻结</x:v>
      </x:c>
      <x:c r="H326" s="17" t="str">
        <x:v>INTERNAL</x:v>
      </x:c>
      <x:c r="I326" s="17" t="str">
        <x:v>按资源权限与数据域访问；公开DTO另行白名单</x:v>
      </x:c>
      <x:c r="J326" s="17" t="str">
        <x:v>数据库实体不得直接序列化为响应</x:v>
      </x:c>
      <x:c r="K326" s="17" t="str">
        <x:v>DTO白名单；长度/枚举/归属/状态校验；禁止信任客户端派生值</x:v>
      </x:c>
      <x:c r="L326" s="17" t="str">
        <x:v>追加/版本/快照，不覆盖已生效历史</x:v>
      </x:c>
      <x:c r="M326" s="4" t="str">
        <x:v>M2</x:v>
      </x:c>
      <x:c r="N326" s="4" t="str">
        <x:v>待切片细化</x:v>
      </x:c>
      <x:c r="O326" s="4" t="str">
        <x:v>综合方案§13核心数据模型</x:v>
      </x:c>
      <x:c r="P326" s="4" t="str">
        <x:v>DRAFT_FROM_SCHEME</x:v>
      </x:c>
    </x:row>
    <x:row r="327" ht="23" customHeight="1">
      <x:c r="A327" s="4" t="str">
        <x:v>PriceChangeLog</x:v>
      </x:c>
      <x:c r="B327" s="4" t="str">
        <x:v>reviewStatus</x:v>
      </x:c>
      <x:c r="C327" s="17" t="str">
        <x:v>reviewStatus</x:v>
      </x:c>
      <x:c r="D327" s="4" t="str">
        <x:v>16</x:v>
      </x:c>
      <x:c r="E327" s="4" t="str">
        <x:v>Enum/String</x:v>
      </x:c>
      <x:c r="F327" s="4" t="str">
        <x:v>YES</x:v>
      </x:c>
      <x:c r="G327" s="4" t="str">
        <x:v>待M阶段冻结</x:v>
      </x:c>
      <x:c r="H327" s="17" t="str">
        <x:v>INTERNAL</x:v>
      </x:c>
      <x:c r="I327" s="17" t="str">
        <x:v>按资源权限与数据域访问；公开DTO另行白名单</x:v>
      </x:c>
      <x:c r="J327" s="17" t="str">
        <x:v>数据库实体不得直接序列化为响应</x:v>
      </x:c>
      <x:c r="K327" s="17" t="str">
        <x:v>DTO白名单；长度/枚举/归属/状态校验；禁止信任客户端派生值</x:v>
      </x:c>
      <x:c r="L327" s="17" t="str">
        <x:v>追加/版本/快照，不覆盖已生效历史</x:v>
      </x:c>
      <x:c r="M327" s="4" t="str">
        <x:v>M2</x:v>
      </x:c>
      <x:c r="N327" s="4" t="str">
        <x:v>待切片细化</x:v>
      </x:c>
      <x:c r="O327" s="4" t="str">
        <x:v>综合方案§13核心数据模型</x:v>
      </x:c>
      <x:c r="P327" s="4" t="str">
        <x:v>DRAFT_FROM_SCHEME</x:v>
      </x:c>
    </x:row>
    <x:row r="328" ht="23" customHeight="1">
      <x:c r="A328" s="4" t="str">
        <x:v>PriceChangeLog</x:v>
      </x:c>
      <x:c r="B328" s="4" t="str">
        <x:v>riskWarning</x:v>
      </x:c>
      <x:c r="C328" s="17" t="str">
        <x:v>riskWarning</x:v>
      </x:c>
      <x:c r="D328" s="4" t="str">
        <x:v>17</x:v>
      </x:c>
      <x:c r="E328" s="4" t="str">
        <x:v>String</x:v>
      </x:c>
      <x:c r="F328" s="4" t="str">
        <x:v>YES</x:v>
      </x:c>
      <x:c r="G328" s="4" t="str">
        <x:v>待M阶段冻结</x:v>
      </x:c>
      <x:c r="H328" s="17" t="str">
        <x:v>INTERNAL</x:v>
      </x:c>
      <x:c r="I328" s="17" t="str">
        <x:v>按资源权限与数据域访问；公开DTO另行白名单</x:v>
      </x:c>
      <x:c r="J328" s="17" t="str">
        <x:v>数据库实体不得直接序列化为响应</x:v>
      </x:c>
      <x:c r="K328" s="17" t="str">
        <x:v>DTO白名单；长度/枚举/归属/状态校验；禁止信任客户端派生值</x:v>
      </x:c>
      <x:c r="L328" s="17" t="str">
        <x:v>追加/版本/快照，不覆盖已生效历史</x:v>
      </x:c>
      <x:c r="M328" s="4" t="str">
        <x:v>M2</x:v>
      </x:c>
      <x:c r="N328" s="4" t="str">
        <x:v>待切片细化</x:v>
      </x:c>
      <x:c r="O328" s="4" t="str">
        <x:v>综合方案§13核心数据模型</x:v>
      </x:c>
      <x:c r="P328" s="4" t="str">
        <x:v>DRAFT_FROM_SCHEME</x:v>
      </x:c>
    </x:row>
    <x:row r="329" ht="23" customHeight="1">
      <x:c r="A329" s="4" t="str">
        <x:v>PriceChangeLog</x:v>
      </x:c>
      <x:c r="B329" s="4" t="str">
        <x:v>createdAt</x:v>
      </x:c>
      <x:c r="C329" s="17" t="str">
        <x:v>createdAt</x:v>
      </x:c>
      <x:c r="D329" s="4" t="str">
        <x:v>18</x:v>
      </x:c>
      <x:c r="E329" s="4" t="str">
        <x:v>DateTime</x:v>
      </x:c>
      <x:c r="F329" s="4" t="str">
        <x:v>YES</x:v>
      </x:c>
      <x:c r="G329" s="4" t="str">
        <x:v>ISO-8601+明确时区</x:v>
      </x:c>
      <x:c r="H329" s="17" t="str">
        <x:v>INTERNAL</x:v>
      </x:c>
      <x:c r="I329" s="17" t="str">
        <x:v>按资源权限与数据域访问；公开DTO另行白名单</x:v>
      </x:c>
      <x:c r="J329" s="17" t="str">
        <x:v>数据库实体不得直接序列化为响应</x:v>
      </x:c>
      <x:c r="K329" s="17" t="str">
        <x:v>DTO白名单；长度/枚举/归属/状态校验；禁止信任客户端派生值</x:v>
      </x:c>
      <x:c r="L329" s="17" t="str">
        <x:v>追加/版本/快照，不覆盖已生效历史</x:v>
      </x:c>
      <x:c r="M329" s="4" t="str">
        <x:v>M2</x:v>
      </x:c>
      <x:c r="N329" s="4" t="str">
        <x:v>待切片细化</x:v>
      </x:c>
      <x:c r="O329" s="4" t="str">
        <x:v>综合方案§13核心数据模型</x:v>
      </x:c>
      <x:c r="P329" s="4" t="str">
        <x:v>DRAFT_FROM_SCHEME</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String/UUID</x:v>
      </x:c>
      <x:c r="F438" s="4" t="str">
        <x:v>YES</x:v>
      </x:c>
      <x:c r="G438" s="4" t="str">
        <x:v>待M阶段冻结</x:v>
      </x:c>
      <x:c r="H438" s="17" t="str">
        <x:v>INTERNAL</x:v>
      </x:c>
      <x:c r="I438" s="17" t="str">
        <x:v>按资源权限与数据域访问；公开DTO另行白名单</x:v>
      </x:c>
      <x:c r="J438" s="17" t="str">
        <x:v>数据库实体不得直接序列化为响应</x:v>
      </x:c>
      <x:c r="K438" s="17" t="str">
        <x:v>DTO白名单；长度/枚举/归属/状态校验；禁止信任客户端派生值</x:v>
      </x:c>
      <x:c r="L438" s="17" t="str">
        <x:v>按实体version或审计日志保留变更证据</x:v>
      </x:c>
      <x:c r="M438" s="4" t="str">
        <x:v>M2</x:v>
      </x:c>
      <x:c r="N438" s="4" t="str">
        <x:v>P0-023,P0-063</x:v>
      </x:c>
      <x:c r="O438" s="4" t="str">
        <x:v>综合方案§13核心数据模型</x:v>
      </x:c>
      <x:c r="P438" s="4" t="str">
        <x:v>DRAFT_FROM_SCHEME</x:v>
      </x:c>
    </x:row>
    <x:row r="439" ht="23" customHeight="1">
      <x:c r="A439" s="4" t="str">
        <x:v>InventoryBalance</x:v>
      </x:c>
      <x:c r="B439" s="4" t="str">
        <x:v>skuId</x:v>
      </x:c>
      <x:c r="C439" s="17" t="str">
        <x:v>skuId</x:v>
      </x:c>
      <x:c r="D439" s="4" t="str">
        <x:v>2</x:v>
      </x:c>
      <x:c r="E439" s="4" t="str">
        <x:v>String/UUID</x:v>
      </x:c>
      <x:c r="F439" s="4" t="str">
        <x:v>YES</x:v>
      </x:c>
      <x:c r="G439" s="4" t="str">
        <x:v>待M阶段冻结</x:v>
      </x:c>
      <x:c r="H439" s="17" t="str">
        <x:v>INTERNAL</x:v>
      </x:c>
      <x:c r="I439" s="17" t="str">
        <x:v>按资源权限与数据域访问；公开DTO另行白名单</x:v>
      </x:c>
      <x:c r="J439" s="17" t="str">
        <x:v>数据库实体不得直接序列化为响应</x:v>
      </x:c>
      <x:c r="K439" s="17" t="str">
        <x:v>DTO白名单；长度/枚举/归属/状态校验；禁止信任客户端派生值</x:v>
      </x:c>
      <x:c r="L439" s="17" t="str">
        <x:v>按实体version或审计日志保留变更证据</x:v>
      </x:c>
      <x:c r="M439" s="4" t="str">
        <x:v>M2</x:v>
      </x:c>
      <x:c r="N439" s="4" t="str">
        <x:v>P0-023,P0-063</x:v>
      </x:c>
      <x:c r="O439" s="4" t="str">
        <x:v>综合方案§13核心数据模型</x:v>
      </x:c>
      <x:c r="P439" s="4" t="str">
        <x:v>DRAFT_FROM_SCHEME</x:v>
      </x:c>
    </x:row>
    <x:row r="440" ht="23" customHeight="1">
      <x:c r="A440" s="4" t="str">
        <x:v>InventoryBalance</x:v>
      </x:c>
      <x:c r="B440" s="4" t="str">
        <x:v>availableQty</x:v>
      </x:c>
      <x:c r="C440" s="17" t="str">
        <x:v>availableQty</x:v>
      </x:c>
      <x:c r="D440" s="4" t="str">
        <x:v>3</x:v>
      </x:c>
      <x:c r="E440" s="4" t="str">
        <x:v>Int</x:v>
      </x:c>
      <x:c r="F440" s="4" t="str">
        <x:v>YES</x:v>
      </x:c>
      <x:c r="G440" s="4" t="str">
        <x:v>待M阶段冻结</x:v>
      </x:c>
      <x:c r="H440" s="17" t="str">
        <x:v>INTERNAL</x:v>
      </x:c>
      <x:c r="I440" s="17" t="str">
        <x:v>按资源权限与数据域访问；公开DTO另行白名单</x:v>
      </x:c>
      <x:c r="J440" s="17" t="str">
        <x:v>数据库实体不得直接序列化为响应</x:v>
      </x:c>
      <x:c r="K440" s="17" t="str">
        <x:v>DTO白名单；长度/枚举/归属/状态校验；禁止信任客户端派生值</x:v>
      </x:c>
      <x:c r="L440" s="17" t="str">
        <x:v>按实体version或审计日志保留变更证据</x:v>
      </x:c>
      <x:c r="M440" s="4" t="str">
        <x:v>M2</x:v>
      </x:c>
      <x:c r="N440" s="4" t="str">
        <x:v>P0-023,P0-063</x:v>
      </x:c>
      <x:c r="O440" s="4" t="str">
        <x:v>综合方案§13核心数据模型</x:v>
      </x:c>
      <x:c r="P440" s="4" t="str">
        <x:v>DRAFT_FROM_SCHEME</x:v>
      </x:c>
    </x:row>
    <x:row r="441" ht="23" customHeight="1">
      <x:c r="A441" s="4" t="str">
        <x:v>InventoryBalance</x:v>
      </x:c>
      <x:c r="B441" s="4" t="str">
        <x:v>reservedQty</x:v>
      </x:c>
      <x:c r="C441" s="17" t="str">
        <x:v>reservedQty</x:v>
      </x:c>
      <x:c r="D441" s="4" t="str">
        <x:v>4</x:v>
      </x:c>
      <x:c r="E441" s="4" t="str">
        <x:v>Int</x:v>
      </x:c>
      <x:c r="F441" s="4" t="str">
        <x:v>YES</x:v>
      </x:c>
      <x:c r="G441" s="4" t="str">
        <x:v>待M阶段冻结</x:v>
      </x:c>
      <x:c r="H441" s="17" t="str">
        <x:v>INTERNAL</x:v>
      </x:c>
      <x:c r="I441" s="17" t="str">
        <x:v>按资源权限与数据域访问；公开DTO另行白名单</x:v>
      </x:c>
      <x:c r="J441" s="17" t="str">
        <x:v>数据库实体不得直接序列化为响应</x:v>
      </x:c>
      <x:c r="K441" s="17" t="str">
        <x:v>DTO白名单；长度/枚举/归属/状态校验；禁止信任客户端派生值</x:v>
      </x:c>
      <x:c r="L441" s="17" t="str">
        <x:v>按实体version或审计日志保留变更证据</x:v>
      </x:c>
      <x:c r="M441" s="4" t="str">
        <x:v>M2</x:v>
      </x:c>
      <x:c r="N441" s="4" t="str">
        <x:v>P0-023,P0-063</x:v>
      </x:c>
      <x:c r="O441" s="4" t="str">
        <x:v>综合方案§13核心数据模型</x:v>
      </x:c>
      <x:c r="P441" s="4" t="str">
        <x:v>DRAFT_FROM_SCHEME</x:v>
      </x:c>
    </x:row>
    <x:row r="442" ht="23" customHeight="1">
      <x:c r="A442" s="4" t="str">
        <x:v>InventoryBalance</x:v>
      </x:c>
      <x:c r="B442" s="4" t="str">
        <x:v>soldQty</x:v>
      </x:c>
      <x:c r="C442" s="17" t="str">
        <x:v>soldQty</x:v>
      </x:c>
      <x:c r="D442" s="4" t="str">
        <x:v>5</x:v>
      </x:c>
      <x:c r="E442" s="4" t="str">
        <x:v>Int</x:v>
      </x:c>
      <x:c r="F442" s="4" t="str">
        <x:v>YES</x:v>
      </x:c>
      <x:c r="G442" s="4" t="str">
        <x:v>待M阶段冻结</x:v>
      </x:c>
      <x:c r="H442" s="17" t="str">
        <x:v>INTERNAL</x:v>
      </x:c>
      <x:c r="I442" s="17" t="str">
        <x:v>按资源权限与数据域访问；公开DTO另行白名单</x:v>
      </x:c>
      <x:c r="J442" s="17" t="str">
        <x:v>数据库实体不得直接序列化为响应</x:v>
      </x:c>
      <x:c r="K442" s="17" t="str">
        <x:v>DTO白名单；长度/枚举/归属/状态校验；禁止信任客户端派生值</x:v>
      </x:c>
      <x:c r="L442" s="17" t="str">
        <x:v>按实体version或审计日志保留变更证据</x:v>
      </x:c>
      <x:c r="M442" s="4" t="str">
        <x:v>M2</x:v>
      </x:c>
      <x:c r="N442" s="4" t="str">
        <x:v>P0-023,P0-063</x:v>
      </x:c>
      <x:c r="O442" s="4" t="str">
        <x:v>综合方案§13核心数据模型</x:v>
      </x:c>
      <x:c r="P442" s="4" t="str">
        <x:v>DRAFT_FROM_SCHEME</x:v>
      </x:c>
    </x:row>
    <x:row r="443" ht="23" customHeight="1">
      <x:c r="A443" s="4" t="str">
        <x:v>InventoryBalance</x:v>
      </x:c>
      <x:c r="B443" s="4" t="str">
        <x:v>version</x:v>
      </x:c>
      <x:c r="C443" s="17" t="str">
        <x:v>version</x:v>
      </x:c>
      <x:c r="D443" s="4" t="str">
        <x:v>6</x:v>
      </x:c>
      <x:c r="E443" s="4" t="str">
        <x:v>Int</x:v>
      </x:c>
      <x:c r="F443" s="4" t="str">
        <x:v>YES</x:v>
      </x:c>
      <x:c r="G443" s="4" t="str">
        <x:v>待M阶段冻结</x:v>
      </x:c>
      <x:c r="H443" s="17" t="str">
        <x:v>INTERNAL</x:v>
      </x:c>
      <x:c r="I443" s="17" t="str">
        <x:v>按资源权限与数据域访问；公开DTO另行白名单</x:v>
      </x:c>
      <x:c r="J443" s="17" t="str">
        <x:v>数据库实体不得直接序列化为响应</x:v>
      </x:c>
      <x:c r="K443" s="17" t="str">
        <x:v>DTO白名单；长度/枚举/归属/状态校验；禁止信任客户端派生值</x:v>
      </x:c>
      <x:c r="L443" s="17" t="str">
        <x:v>按实体version或审计日志保留变更证据</x:v>
      </x:c>
      <x:c r="M443" s="4" t="str">
        <x:v>M2</x:v>
      </x:c>
      <x:c r="N443" s="4" t="str">
        <x:v>P0-023,P0-063</x:v>
      </x:c>
      <x:c r="O443" s="4" t="str">
        <x:v>综合方案§13核心数据模型</x:v>
      </x:c>
      <x:c r="P443" s="4" t="str">
        <x:v>DRAFT_FROM_SCHEME</x:v>
      </x:c>
    </x:row>
    <x:row r="444" ht="23" customHeight="1">
      <x:c r="A444" s="4" t="str">
        <x:v>InventoryBalance</x:v>
      </x:c>
      <x:c r="B444" s="4" t="str">
        <x:v>updatedAt</x:v>
      </x:c>
      <x:c r="C444" s="17" t="str">
        <x:v>updatedAt</x:v>
      </x:c>
      <x:c r="D444" s="4" t="str">
        <x:v>7</x:v>
      </x:c>
      <x:c r="E444" s="4" t="str">
        <x:v>DateTime</x:v>
      </x:c>
      <x:c r="F444" s="4" t="str">
        <x:v>YES</x:v>
      </x:c>
      <x:c r="G444" s="4" t="str">
        <x:v>ISO-8601+明确时区</x:v>
      </x:c>
      <x:c r="H444" s="17" t="str">
        <x:v>INTERNAL</x:v>
      </x:c>
      <x:c r="I444" s="17" t="str">
        <x:v>按资源权限与数据域访问；公开DTO另行白名单</x:v>
      </x:c>
      <x:c r="J444" s="17" t="str">
        <x:v>数据库实体不得直接序列化为响应</x:v>
      </x:c>
      <x:c r="K444" s="17" t="str">
        <x:v>DTO白名单；长度/枚举/归属/状态校验；禁止信任客户端派生值</x:v>
      </x:c>
      <x:c r="L444" s="17" t="str">
        <x:v>按实体version或审计日志保留变更证据</x:v>
      </x:c>
      <x:c r="M444" s="4" t="str">
        <x:v>M2</x:v>
      </x:c>
      <x:c r="N444" s="4" t="str">
        <x:v>P0-023,P0-063</x:v>
      </x:c>
      <x:c r="O444" s="4" t="str">
        <x:v>综合方案§13核心数据模型</x:v>
      </x:c>
      <x:c r="P444" s="4" t="str">
        <x:v>DRAFT_FROM_SCHEME</x:v>
      </x:c>
    </x:row>
    <x:row r="445" ht="23" customHeight="1">
      <x:c r="A445" s="4" t="str">
        <x:v>InventoryChangeLog</x:v>
      </x:c>
      <x:c r="B445" s="4" t="str">
        <x:v>id</x:v>
      </x:c>
      <x:c r="C445" s="17" t="str">
        <x:v>id</x:v>
      </x:c>
      <x:c r="D445" s="4" t="str">
        <x:v>1</x:v>
      </x:c>
      <x:c r="E445" s="4" t="str">
        <x:v>String/UUID</x:v>
      </x:c>
      <x:c r="F445" s="4" t="str">
        <x:v>YES</x:v>
      </x:c>
      <x:c r="G445" s="4" t="str">
        <x:v>待M阶段冻结</x:v>
      </x:c>
      <x:c r="H445" s="17" t="str">
        <x:v>INTERNAL</x:v>
      </x:c>
      <x:c r="I445" s="17" t="str">
        <x:v>按资源权限与数据域访问；公开DTO另行白名单</x:v>
      </x:c>
      <x:c r="J445" s="17" t="str">
        <x:v>数据库实体不得直接序列化为响应</x:v>
      </x:c>
      <x:c r="K445" s="17" t="str">
        <x:v>DTO白名单；长度/枚举/归属/状态校验；禁止信任客户端派生值</x:v>
      </x:c>
      <x:c r="L445" s="17" t="str">
        <x:v>追加/版本/快照，不覆盖已生效历史</x:v>
      </x:c>
      <x:c r="M445" s="4" t="str">
        <x:v>M2</x:v>
      </x:c>
      <x:c r="N445" s="4" t="str">
        <x:v>待切片细化</x:v>
      </x:c>
      <x:c r="O445" s="4" t="str">
        <x:v>综合方案§13核心数据模型</x:v>
      </x:c>
      <x:c r="P445" s="4" t="str">
        <x:v>DRAFT_FROM_SCHEME</x:v>
      </x:c>
    </x:row>
    <x:row r="446" ht="23" customHeight="1">
      <x:c r="A446" s="4" t="str">
        <x:v>InventoryChangeLog</x:v>
      </x:c>
      <x:c r="B446" s="4" t="str">
        <x:v>supplierId</x:v>
      </x:c>
      <x:c r="C446" s="17" t="str">
        <x:v>supplierId</x:v>
      </x:c>
      <x:c r="D446" s="4" t="str">
        <x:v>2</x:v>
      </x:c>
      <x:c r="E446" s="4" t="str">
        <x:v>String/UUID</x:v>
      </x:c>
      <x:c r="F446" s="4" t="str">
        <x:v>YES</x:v>
      </x:c>
      <x:c r="G446" s="4" t="str">
        <x:v>待M阶段冻结</x:v>
      </x:c>
      <x:c r="H446" s="17" t="str">
        <x:v>INTERNAL</x:v>
      </x:c>
      <x:c r="I446" s="17" t="str">
        <x:v>按资源权限与数据域访问；公开DTO另行白名单</x:v>
      </x:c>
      <x:c r="J446" s="17" t="str">
        <x:v>数据库实体不得直接序列化为响应</x:v>
      </x:c>
      <x:c r="K446" s="17" t="str">
        <x:v>DTO白名单；长度/枚举/归属/状态校验；禁止信任客户端派生值</x:v>
      </x:c>
      <x:c r="L446" s="17" t="str">
        <x:v>追加/版本/快照，不覆盖已生效历史</x:v>
      </x:c>
      <x:c r="M446" s="4" t="str">
        <x:v>M2</x:v>
      </x:c>
      <x:c r="N446" s="4" t="str">
        <x:v>待切片细化</x:v>
      </x:c>
      <x:c r="O446" s="4" t="str">
        <x:v>综合方案§13核心数据模型</x:v>
      </x:c>
      <x:c r="P446" s="4" t="str">
        <x:v>DRAFT_FROM_SCHEME</x:v>
      </x:c>
    </x:row>
    <x:row r="447" ht="23" customHeight="1">
      <x:c r="A447" s="4" t="str">
        <x:v>InventoryChangeLog</x:v>
      </x:c>
      <x:c r="B447" s="4" t="str">
        <x:v>skuId</x:v>
      </x:c>
      <x:c r="C447" s="17" t="str">
        <x:v>skuId</x:v>
      </x:c>
      <x:c r="D447" s="4" t="str">
        <x:v>3</x:v>
      </x:c>
      <x:c r="E447" s="4" t="str">
        <x:v>String/UUID</x:v>
      </x:c>
      <x:c r="F447" s="4" t="str">
        <x:v>YES</x:v>
      </x:c>
      <x:c r="G447" s="4" t="str">
        <x:v>待M阶段冻结</x:v>
      </x:c>
      <x:c r="H447" s="17" t="str">
        <x:v>INTERNAL</x:v>
      </x:c>
      <x:c r="I447" s="17" t="str">
        <x:v>按资源权限与数据域访问；公开DTO另行白名单</x:v>
      </x:c>
      <x:c r="J447" s="17" t="str">
        <x:v>数据库实体不得直接序列化为响应</x:v>
      </x:c>
      <x:c r="K447" s="17" t="str">
        <x:v>DTO白名单；长度/枚举/归属/状态校验；禁止信任客户端派生值</x:v>
      </x:c>
      <x:c r="L447" s="17" t="str">
        <x:v>追加/版本/快照，不覆盖已生效历史</x:v>
      </x:c>
      <x:c r="M447" s="4" t="str">
        <x:v>M2</x:v>
      </x:c>
      <x:c r="N447" s="4" t="str">
        <x:v>待切片细化</x:v>
      </x:c>
      <x:c r="O447" s="4" t="str">
        <x:v>综合方案§13核心数据模型</x:v>
      </x:c>
      <x:c r="P447" s="4" t="str">
        <x:v>DRAFT_FROM_SCHEME</x:v>
      </x:c>
    </x:row>
    <x:row r="448" ht="23" customHeight="1">
      <x:c r="A448" s="4" t="str">
        <x:v>InventoryChangeLog</x:v>
      </x:c>
      <x:c r="B448" s="4" t="str">
        <x:v>type</x:v>
      </x:c>
      <x:c r="C448" s="17" t="str">
        <x:v>type</x:v>
      </x:c>
      <x:c r="D448" s="4" t="str">
        <x:v>4</x:v>
      </x:c>
      <x:c r="E448" s="4" t="str">
        <x:v>Enum/String</x:v>
      </x:c>
      <x:c r="F448" s="4" t="str">
        <x:v>YES</x:v>
      </x:c>
      <x:c r="G448" s="4" t="str">
        <x:v>待M阶段冻结</x:v>
      </x:c>
      <x:c r="H448" s="17" t="str">
        <x:v>INTERNAL</x:v>
      </x:c>
      <x:c r="I448" s="17" t="str">
        <x:v>按资源权限与数据域访问；公开DTO另行白名单</x:v>
      </x:c>
      <x:c r="J448" s="17" t="str">
        <x:v>数据库实体不得直接序列化为响应</x:v>
      </x:c>
      <x:c r="K448" s="17" t="str">
        <x:v>DTO白名单；长度/枚举/归属/状态校验；禁止信任客户端派生值</x:v>
      </x:c>
      <x:c r="L448" s="17" t="str">
        <x:v>追加/版本/快照，不覆盖已生效历史</x:v>
      </x:c>
      <x:c r="M448" s="4" t="str">
        <x:v>M2</x:v>
      </x:c>
      <x:c r="N448" s="4" t="str">
        <x:v>待切片细化</x:v>
      </x:c>
      <x:c r="O448" s="4" t="str">
        <x:v>综合方案§13核心数据模型</x:v>
      </x:c>
      <x:c r="P448" s="4" t="str">
        <x:v>DRAFT_FROM_SCHEME</x:v>
      </x:c>
    </x:row>
    <x:row r="449" ht="23" customHeight="1">
      <x:c r="A449" s="4" t="str">
        <x:v>InventoryChangeLog</x:v>
      </x:c>
      <x:c r="B449" s="4" t="str">
        <x:v>quantityDelta</x:v>
      </x:c>
      <x:c r="C449" s="17" t="str">
        <x:v>quantityDelta</x:v>
      </x:c>
      <x:c r="D449" s="4" t="str">
        <x:v>5</x:v>
      </x:c>
      <x:c r="E449" s="4" t="str">
        <x:v>Int</x:v>
      </x:c>
      <x:c r="F449" s="4" t="str">
        <x:v>YES</x:v>
      </x:c>
      <x:c r="G449" s="4" t="str">
        <x:v>待M阶段冻结</x:v>
      </x:c>
      <x:c r="H449" s="17" t="str">
        <x:v>INTERNAL</x:v>
      </x:c>
      <x:c r="I449" s="17" t="str">
        <x:v>按资源权限与数据域访问；公开DTO另行白名单</x:v>
      </x:c>
      <x:c r="J449" s="17" t="str">
        <x:v>数据库实体不得直接序列化为响应</x:v>
      </x:c>
      <x:c r="K449" s="17" t="str">
        <x:v>DTO白名单；长度/枚举/归属/状态校验；禁止信任客户端派生值</x:v>
      </x:c>
      <x:c r="L449" s="17" t="str">
        <x:v>追加/版本/快照，不覆盖已生效历史</x:v>
      </x:c>
      <x:c r="M449" s="4" t="str">
        <x:v>M2</x:v>
      </x:c>
      <x:c r="N449" s="4" t="str">
        <x:v>待切片细化</x:v>
      </x:c>
      <x:c r="O449" s="4" t="str">
        <x:v>综合方案§13核心数据模型</x:v>
      </x:c>
      <x:c r="P449" s="4" t="str">
        <x:v>DRAFT_FROM_SCHEME</x:v>
      </x:c>
    </x:row>
    <x:row r="450" ht="23" customHeight="1">
      <x:c r="A450" s="4" t="str">
        <x:v>InventoryChangeLog</x:v>
      </x:c>
      <x:c r="B450" s="4" t="str">
        <x:v>beforeQty</x:v>
      </x:c>
      <x:c r="C450" s="17" t="str">
        <x:v>beforeQty</x:v>
      </x:c>
      <x:c r="D450" s="4" t="str">
        <x:v>6</x:v>
      </x:c>
      <x:c r="E450" s="4" t="str">
        <x:v>Int</x:v>
      </x:c>
      <x:c r="F450" s="4" t="str">
        <x:v>YES</x:v>
      </x:c>
      <x:c r="G450" s="4" t="str">
        <x:v>待M阶段冻结</x:v>
      </x:c>
      <x:c r="H450" s="17" t="str">
        <x:v>INTERNAL</x:v>
      </x:c>
      <x:c r="I450" s="17" t="str">
        <x:v>按资源权限与数据域访问；公开DTO另行白名单</x:v>
      </x:c>
      <x:c r="J450" s="17" t="str">
        <x:v>数据库实体不得直接序列化为响应</x:v>
      </x:c>
      <x:c r="K450" s="17" t="str">
        <x:v>DTO白名单；长度/枚举/归属/状态校验；禁止信任客户端派生值</x:v>
      </x:c>
      <x:c r="L450" s="17" t="str">
        <x:v>追加/版本/快照，不覆盖已生效历史</x:v>
      </x:c>
      <x:c r="M450" s="4" t="str">
        <x:v>M2</x:v>
      </x:c>
      <x:c r="N450" s="4" t="str">
        <x:v>待切片细化</x:v>
      </x:c>
      <x:c r="O450" s="4" t="str">
        <x:v>综合方案§13核心数据模型</x:v>
      </x:c>
      <x:c r="P450" s="4" t="str">
        <x:v>DRAFT_FROM_SCHEME</x:v>
      </x:c>
    </x:row>
    <x:row r="451" ht="23" customHeight="1">
      <x:c r="A451" s="4" t="str">
        <x:v>InventoryChangeLog</x:v>
      </x:c>
      <x:c r="B451" s="4" t="str">
        <x:v>afterQty</x:v>
      </x:c>
      <x:c r="C451" s="17" t="str">
        <x:v>afterQty</x:v>
      </x:c>
      <x:c r="D451" s="4" t="str">
        <x:v>7</x:v>
      </x:c>
      <x:c r="E451" s="4" t="str">
        <x:v>Int</x:v>
      </x:c>
      <x:c r="F451" s="4" t="str">
        <x:v>YES</x:v>
      </x:c>
      <x:c r="G451" s="4" t="str">
        <x:v>待M阶段冻结</x:v>
      </x:c>
      <x:c r="H451" s="17" t="str">
        <x:v>INTERNAL</x:v>
      </x:c>
      <x:c r="I451" s="17" t="str">
        <x:v>按资源权限与数据域访问；公开DTO另行白名单</x:v>
      </x:c>
      <x:c r="J451" s="17" t="str">
        <x:v>数据库实体不得直接序列化为响应</x:v>
      </x:c>
      <x:c r="K451" s="17" t="str">
        <x:v>DTO白名单；长度/枚举/归属/状态校验；禁止信任客户端派生值</x:v>
      </x:c>
      <x:c r="L451" s="17" t="str">
        <x:v>追加/版本/快照，不覆盖已生效历史</x:v>
      </x:c>
      <x:c r="M451" s="4" t="str">
        <x:v>M2</x:v>
      </x:c>
      <x:c r="N451" s="4" t="str">
        <x:v>待切片细化</x:v>
      </x:c>
      <x:c r="O451" s="4" t="str">
        <x:v>综合方案§13核心数据模型</x:v>
      </x:c>
      <x:c r="P451" s="4" t="str">
        <x:v>DRAFT_FROM_SCHEME</x:v>
      </x:c>
    </x:row>
    <x:row r="452" ht="23" customHeight="1">
      <x:c r="A452" s="4" t="str">
        <x:v>InventoryChangeLog</x:v>
      </x:c>
      <x:c r="B452" s="4" t="str">
        <x:v>referenceType</x:v>
      </x:c>
      <x:c r="C452" s="17" t="str">
        <x:v>referenceType</x:v>
      </x:c>
      <x:c r="D452" s="4" t="str">
        <x:v>8</x:v>
      </x:c>
      <x:c r="E452" s="4" t="str">
        <x:v>Enum/String</x:v>
      </x:c>
      <x:c r="F452" s="4" t="str">
        <x:v>YES</x:v>
      </x:c>
      <x:c r="G452" s="4" t="str">
        <x:v>待M阶段冻结</x:v>
      </x:c>
      <x:c r="H452" s="17" t="str">
        <x:v>INTERNAL</x:v>
      </x:c>
      <x:c r="I452" s="17" t="str">
        <x:v>按资源权限与数据域访问；公开DTO另行白名单</x:v>
      </x:c>
      <x:c r="J452" s="17" t="str">
        <x:v>数据库实体不得直接序列化为响应</x:v>
      </x:c>
      <x:c r="K452" s="17" t="str">
        <x:v>DTO白名单；长度/枚举/归属/状态校验；禁止信任客户端派生值</x:v>
      </x:c>
      <x:c r="L452" s="17" t="str">
        <x:v>追加/版本/快照，不覆盖已生效历史</x:v>
      </x:c>
      <x:c r="M452" s="4" t="str">
        <x:v>M2</x:v>
      </x:c>
      <x:c r="N452" s="4" t="str">
        <x:v>待切片细化</x:v>
      </x:c>
      <x:c r="O452" s="4" t="str">
        <x:v>综合方案§13核心数据模型</x:v>
      </x:c>
      <x:c r="P452" s="4" t="str">
        <x:v>DRAFT_FROM_SCHEME</x:v>
      </x:c>
    </x:row>
    <x:row r="453" ht="23" customHeight="1">
      <x:c r="A453" s="4" t="str">
        <x:v>InventoryChangeLog</x:v>
      </x:c>
      <x:c r="B453" s="4" t="str">
        <x:v>referenceId</x:v>
      </x:c>
      <x:c r="C453" s="17" t="str">
        <x:v>referenceId</x:v>
      </x:c>
      <x:c r="D453" s="4" t="str">
        <x:v>9</x:v>
      </x:c>
      <x:c r="E453" s="4" t="str">
        <x:v>String/UUID</x:v>
      </x:c>
      <x:c r="F453" s="4" t="str">
        <x:v>YES</x:v>
      </x:c>
      <x:c r="G453" s="4" t="str">
        <x:v>待M阶段冻结</x:v>
      </x:c>
      <x:c r="H453" s="17" t="str">
        <x:v>INTERNAL</x:v>
      </x:c>
      <x:c r="I453" s="17" t="str">
        <x:v>按资源权限与数据域访问；公开DTO另行白名单</x:v>
      </x:c>
      <x:c r="J453" s="17" t="str">
        <x:v>数据库实体不得直接序列化为响应</x:v>
      </x:c>
      <x:c r="K453" s="17" t="str">
        <x:v>DTO白名单；长度/枚举/归属/状态校验；禁止信任客户端派生值</x:v>
      </x:c>
      <x:c r="L453" s="17" t="str">
        <x:v>追加/版本/快照，不覆盖已生效历史</x:v>
      </x:c>
      <x:c r="M453" s="4" t="str">
        <x:v>M2</x:v>
      </x:c>
      <x:c r="N453" s="4" t="str">
        <x:v>待切片细化</x:v>
      </x:c>
      <x:c r="O453" s="4" t="str">
        <x:v>综合方案§13核心数据模型</x:v>
      </x:c>
      <x:c r="P453" s="4" t="str">
        <x:v>DRAFT_FROM_SCHEME</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String/UUID</x:v>
      </x:c>
      <x:c r="F627" s="4" t="str">
        <x:v>YES</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追加/版本/快照，不覆盖已生效历史</x:v>
      </x:c>
      <x:c r="M627" s="4" t="str">
        <x:v>M1</x:v>
      </x:c>
      <x:c r="N627" s="4" t="str">
        <x:v>P0-072</x:v>
      </x:c>
      <x:c r="O627" s="4" t="str">
        <x:v>综合方案§13核心数据模型与§3自然人职责分离</x:v>
      </x:c>
      <x:c r="P627" s="4" t="str">
        <x:v>V1.1_BASELINE</x:v>
      </x:c>
    </x:row>
    <x:row r="628" ht="23" customHeight="1">
      <x:c r="A628" s="4" t="str">
        <x:v>ApprovalTask</x:v>
      </x:c>
      <x:c r="B628" s="4" t="str">
        <x:v>approvalType</x:v>
      </x:c>
      <x:c r="C628" s="17" t="str">
        <x:v>approvalType</x:v>
      </x:c>
      <x:c r="D628" s="4" t="str">
        <x:v>2</x:v>
      </x:c>
      <x:c r="E628" s="4" t="str">
        <x:v>Enum/String</x:v>
      </x:c>
      <x:c r="F628" s="4" t="str">
        <x:v>YES</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追加/版本/快照，不覆盖已生效历史</x:v>
      </x:c>
      <x:c r="M628" s="4" t="str">
        <x:v>M1</x:v>
      </x:c>
      <x:c r="N628" s="4" t="str">
        <x:v>P0-072</x:v>
      </x:c>
      <x:c r="O628" s="4" t="str">
        <x:v>综合方案§13核心数据模型与§3自然人职责分离</x:v>
      </x:c>
      <x:c r="P628" s="4" t="str">
        <x:v>V1.1_BASELINE</x:v>
      </x:c>
    </x:row>
    <x:row r="629" ht="23" customHeight="1">
      <x:c r="A629" s="4" t="str">
        <x:v>ApprovalTask</x:v>
      </x:c>
      <x:c r="B629" s="4" t="str">
        <x:v>objectType</x:v>
      </x:c>
      <x:c r="C629" s="17" t="str">
        <x:v>objectType</x:v>
      </x:c>
      <x:c r="D629" s="4" t="str">
        <x:v>3</x:v>
      </x:c>
      <x:c r="E629" s="4" t="str">
        <x:v>Enum/String</x:v>
      </x:c>
      <x:c r="F629" s="4" t="str">
        <x:v>YES</x:v>
      </x:c>
      <x:c r="G629" s="4" t="str">
        <x:v>待M阶段冻结</x:v>
      </x:c>
      <x:c r="H629" s="17" t="str">
        <x:v>INTERNAL</x:v>
      </x:c>
      <x:c r="I629" s="17" t="str">
        <x:v>按资源权限与数据域访问；公开DTO另行白名单</x:v>
      </x:c>
      <x:c r="J629" s="17" t="str">
        <x:v>数据库实体不得直接序列化为响应</x:v>
      </x:c>
      <x:c r="K629" s="17" t="str">
        <x:v>DTO白名单；长度/枚举/归属/状态校验；禁止信任客户端派生值</x:v>
      </x:c>
      <x:c r="L629" s="17" t="str">
        <x:v>追加/版本/快照，不覆盖已生效历史</x:v>
      </x:c>
      <x:c r="M629" s="4" t="str">
        <x:v>M1</x:v>
      </x:c>
      <x:c r="N629" s="4" t="str">
        <x:v>P0-072</x:v>
      </x:c>
      <x:c r="O629" s="4" t="str">
        <x:v>综合方案§13核心数据模型与§3自然人职责分离</x:v>
      </x:c>
      <x:c r="P629" s="4" t="str">
        <x:v>V1.1_BASELINE</x:v>
      </x:c>
    </x:row>
    <x:row r="630" ht="23" customHeight="1">
      <x:c r="A630" s="4" t="str">
        <x:v>ApprovalTask</x:v>
      </x:c>
      <x:c r="B630" s="4" t="str">
        <x:v>objectId</x:v>
      </x:c>
      <x:c r="C630" s="17" t="str">
        <x:v>objectId</x:v>
      </x:c>
      <x:c r="D630" s="4" t="str">
        <x:v>4</x:v>
      </x:c>
      <x:c r="E630" s="4" t="str">
        <x:v>String/UUID</x:v>
      </x:c>
      <x:c r="F630" s="4" t="str">
        <x:v>YES</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追加/版本/快照，不覆盖已生效历史</x:v>
      </x:c>
      <x:c r="M630" s="4" t="str">
        <x:v>M1</x:v>
      </x:c>
      <x:c r="N630" s="4" t="str">
        <x:v>P0-072</x:v>
      </x:c>
      <x:c r="O630" s="4" t="str">
        <x:v>综合方案§13核心数据模型与§3自然人职责分离</x:v>
      </x:c>
      <x:c r="P630" s="4" t="str">
        <x:v>V1.1_BASELINE</x:v>
      </x:c>
    </x:row>
    <x:row r="631" ht="23" customHeight="1">
      <x:c r="A631" s="4" t="str">
        <x:v>ApprovalTask</x:v>
      </x:c>
      <x:c r="B631" s="4" t="str">
        <x:v>applicantType</x:v>
      </x:c>
      <x:c r="C631" s="17" t="str">
        <x:v>applicantType</x:v>
      </x:c>
      <x:c r="D631" s="4" t="str">
        <x:v>5</x:v>
      </x:c>
      <x:c r="E631" s="4" t="str">
        <x:v>Enum/String</x:v>
      </x:c>
      <x:c r="F631" s="4" t="str">
        <x:v>YES</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追加/版本/快照，不覆盖已生效历史</x:v>
      </x:c>
      <x:c r="M631" s="4" t="str">
        <x:v>M1</x:v>
      </x:c>
      <x:c r="N631" s="4" t="str">
        <x:v>P0-072</x:v>
      </x:c>
      <x:c r="O631" s="4" t="str">
        <x:v>综合方案§13核心数据模型与§3自然人职责分离</x:v>
      </x:c>
      <x:c r="P631" s="4" t="str">
        <x:v>V1.1_BASELINE</x:v>
      </x:c>
    </x:row>
    <x:row r="632" ht="23" customHeight="1">
      <x:c r="A632" s="4" t="str">
        <x:v>ApprovalTask</x:v>
      </x:c>
      <x:c r="B632" s="4" t="str">
        <x:v>applicantId</x:v>
      </x:c>
      <x:c r="C632" s="17" t="str">
        <x:v>applicantId</x:v>
      </x:c>
      <x:c r="D632" s="4" t="str">
        <x:v>6</x:v>
      </x:c>
      <x:c r="E632" s="4" t="str">
        <x:v>String/UUID</x:v>
      </x:c>
      <x:c r="F632" s="4" t="str">
        <x:v>YES</x:v>
      </x:c>
      <x:c r="G632" s="4" t="str">
        <x:v>自然人身份主键</x:v>
      </x:c>
      <x:c r="H632" s="17" t="str">
        <x:v>INTERNAL</x:v>
      </x:c>
      <x:c r="I632" s="17" t="str">
        <x:v>按资源权限与数据域访问；公开DTO另行白名单</x:v>
      </x:c>
      <x:c r="J632" s="17" t="str">
        <x:v>数据库实体不得直接序列化为响应</x:v>
      </x:c>
      <x:c r="K632" s="17" t="str">
        <x:v>由服务端会话identityId写入；不得接受客户端覆盖；双人复核时必须与reviewedBy不同</x:v>
      </x:c>
      <x:c r="L632" s="17" t="str">
        <x:v>追加/版本/快照，不覆盖已生效历史</x:v>
      </x:c>
      <x:c r="M632" s="4" t="str">
        <x:v>M1</x:v>
      </x:c>
      <x:c r="N632" s="4" t="str">
        <x:v>P0-072</x:v>
      </x:c>
      <x:c r="O632" s="4" t="str">
        <x:v>综合方案§13核心数据模型与§3自然人职责分离</x:v>
      </x:c>
      <x:c r="P632" s="4" t="str">
        <x:v>V1.1_BASELINE</x:v>
      </x:c>
    </x:row>
    <x:row r="633" ht="23" customHeight="1">
      <x:c r="A633" s="4" t="str">
        <x:v>ApprovalTask</x:v>
      </x:c>
      <x:c r="B633" s="4" t="str">
        <x:v>status</x:v>
      </x:c>
      <x:c r="C633" s="17" t="str">
        <x:v>status</x:v>
      </x:c>
      <x:c r="D633" s="4" t="str">
        <x:v>7</x:v>
      </x:c>
      <x:c r="E633" s="4" t="str">
        <x:v>Enum/String</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M1</x:v>
      </x:c>
      <x:c r="N633" s="4" t="str">
        <x:v>P0-072</x:v>
      </x:c>
      <x:c r="O633" s="4" t="str">
        <x:v>综合方案§13核心数据模型与§3自然人职责分离</x:v>
      </x:c>
      <x:c r="P633" s="4" t="str">
        <x:v>V1.1_BASELINE</x:v>
      </x:c>
    </x:row>
    <x:row r="634" ht="23" customHeight="1">
      <x:c r="A634" s="4" t="str">
        <x:v>ApprovalTask</x:v>
      </x:c>
      <x:c r="B634" s="4" t="str">
        <x:v>assignedAccountTypeCode</x:v>
      </x:c>
      <x:c r="C634" s="17" t="str">
        <x:v>assignedAccountTypeCode</x:v>
      </x:c>
      <x:c r="D634" s="4" t="str">
        <x:v>8</x:v>
      </x:c>
      <x:c r="E634" s="4" t="str">
        <x:v>Enum/String</x:v>
      </x:c>
      <x:c r="F634" s="4" t="str">
        <x:v>YES</x:v>
      </x:c>
      <x:c r="G634" s="4" t="str">
        <x:v>固定职能账号类型代码</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M1</x:v>
      </x:c>
      <x:c r="N634" s="4" t="str">
        <x:v>P0-072</x:v>
      </x:c>
      <x:c r="O634" s="4" t="str">
        <x:v>综合方案§13核心数据模型与§3自然人职责分离</x:v>
      </x:c>
      <x:c r="P634" s="4" t="str">
        <x:v>V1.1_BASELINE</x:v>
      </x:c>
    </x:row>
    <x:row r="635" ht="23" customHeight="1">
      <x:c r="A635" s="4" t="str">
        <x:v>ApprovalTask</x:v>
      </x:c>
      <x:c r="B635" s="4" t="str">
        <x:v>reviewedBy</x:v>
      </x:c>
      <x:c r="C635" s="17" t="str">
        <x:v>reviewedBy?</x:v>
      </x:c>
      <x:c r="D635" s="4" t="str">
        <x:v>9</x:v>
      </x:c>
      <x:c r="E635" s="4" t="str">
        <x:v>String/UUID</x:v>
      </x:c>
      <x:c r="F635" s="4" t="str">
        <x:v>NO</x:v>
      </x:c>
      <x:c r="G635" s="4" t="str">
        <x:v>自然人身份主键</x:v>
      </x:c>
      <x:c r="H635" s="17" t="str">
        <x:v>INTERNAL</x:v>
      </x:c>
      <x:c r="I635" s="17" t="str">
        <x:v>按资源权限与数据域访问；公开DTO另行白名单</x:v>
      </x:c>
      <x:c r="J635" s="17" t="str">
        <x:v>数据库实体不得直接序列化为响应</x:v>
      </x:c>
      <x:c r="K635" s="17" t="str">
        <x:v>由服务端会话identityId写入；不得接受客户端覆盖；不得等于applicantId</x:v>
      </x:c>
      <x:c r="L635" s="17" t="str">
        <x:v>追加/版本/快照，不覆盖已生效历史</x:v>
      </x:c>
      <x:c r="M635" s="4" t="str">
        <x:v>M1</x:v>
      </x:c>
      <x:c r="N635" s="4" t="str">
        <x:v>P0-072</x:v>
      </x:c>
      <x:c r="O635" s="4" t="str">
        <x:v>综合方案§13核心数据模型与§3自然人职责分离</x:v>
      </x:c>
      <x:c r="P635" s="4" t="str">
        <x:v>V1.1_BASELINE</x:v>
      </x:c>
    </x:row>
    <x:row r="636" ht="23" customHeight="1">
      <x:c r="A636" s="4" t="str">
        <x:v>ApprovalTask</x:v>
      </x:c>
      <x:c r="B636" s="4" t="str">
        <x:v>reviewOpinion</x:v>
      </x:c>
      <x:c r="C636" s="17" t="str">
        <x:v>reviewOpinion?</x:v>
      </x:c>
      <x:c r="D636" s="4" t="str">
        <x:v>10</x:v>
      </x:c>
      <x:c r="E636" s="4" t="str">
        <x:v>String</x:v>
      </x:c>
      <x:c r="F636" s="4" t="str">
        <x:v>NO</x:v>
      </x:c>
      <x:c r="G636" s="4" t="str">
        <x:v>待M阶段冻结</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M1</x:v>
      </x:c>
      <x:c r="N636" s="4" t="str">
        <x:v>P0-072</x:v>
      </x:c>
      <x:c r="O636" s="4" t="str">
        <x:v>综合方案§13核心数据模型与§3自然人职责分离</x:v>
      </x:c>
      <x:c r="P636" s="4" t="str">
        <x:v>V1.1_BASELINE</x:v>
      </x:c>
    </x:row>
    <x:row r="637" ht="23" customHeight="1">
      <x:c r="A637" s="4" t="str">
        <x:v>ApprovalTask</x:v>
      </x:c>
      <x:c r="B637" s="4" t="str">
        <x:v>version</x:v>
      </x:c>
      <x:c r="C637" s="17" t="str">
        <x:v>version</x:v>
      </x:c>
      <x:c r="D637" s="4" t="str">
        <x:v>11</x:v>
      </x:c>
      <x:c r="E637" s="4" t="str">
        <x:v>Int</x:v>
      </x:c>
      <x:c r="F637" s="4" t="str">
        <x:v>YES</x:v>
      </x:c>
      <x:c r="G637" s="4" t="str">
        <x:v>待M阶段冻结</x:v>
      </x:c>
      <x:c r="H637" s="17" t="str">
        <x:v>INTERNAL</x:v>
      </x:c>
      <x:c r="I637" s="17" t="str">
        <x:v>按资源权限与数据域访问；公开DTO另行白名单</x:v>
      </x:c>
      <x:c r="J637" s="17" t="str">
        <x:v>数据库实体不得直接序列化为响应</x:v>
      </x:c>
      <x:c r="K637" s="17" t="str">
        <x:v>DTO白名单；长度/枚举/归属/状态校验；禁止信任客户端派生值</x:v>
      </x:c>
      <x:c r="L637" s="17" t="str">
        <x:v>追加/版本/快照，不覆盖已生效历史</x:v>
      </x:c>
      <x:c r="M637" s="4" t="str">
        <x:v>M1</x:v>
      </x:c>
      <x:c r="N637" s="4" t="str">
        <x:v>P0-072</x:v>
      </x:c>
      <x:c r="O637" s="4" t="str">
        <x:v>综合方案§13核心数据模型与§3自然人职责分离</x:v>
      </x:c>
      <x:c r="P637" s="4" t="str">
        <x:v>V1.1_BASELINE</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String/UUID</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M1</x:v>
      </x:c>
      <x:c r="N649" s="4" t="str">
        <x:v>P0-045,P0-072,P0-119</x:v>
      </x:c>
      <x:c r="O649" s="4" t="str">
        <x:v>综合方案§13核心数据模型</x:v>
      </x:c>
      <x:c r="P649" s="4" t="str">
        <x:v>DRAFT_FROM_SCHEME</x:v>
      </x:c>
    </x:row>
    <x:row r="650" ht="23" customHeight="1">
      <x:c r="A650" s="4" t="str">
        <x:v>AuditLog</x:v>
      </x:c>
      <x:c r="B650" s="4" t="str">
        <x:v>actorType</x:v>
      </x:c>
      <x:c r="C650" s="17" t="str">
        <x:v>actorType</x:v>
      </x:c>
      <x:c r="D650" s="4" t="str">
        <x:v>2</x:v>
      </x:c>
      <x:c r="E650" s="4" t="str">
        <x:v>Enum/String</x:v>
      </x:c>
      <x:c r="F650" s="4" t="str">
        <x:v>YES</x:v>
      </x:c>
      <x:c r="G650" s="4" t="str">
        <x:v>待M阶段冻结</x:v>
      </x:c>
      <x:c r="H650" s="17" t="str">
        <x:v>INTERNAL</x:v>
      </x:c>
      <x:c r="I650" s="17" t="str">
        <x:v>按资源权限与数据域访问；公开DTO另行白名单</x:v>
      </x:c>
      <x:c r="J650" s="17" t="str">
        <x:v>数据库实体不得直接序列化为响应</x:v>
      </x:c>
      <x:c r="K650" s="17" t="str">
        <x:v>DTO白名单；长度/枚举/归属/状态校验；禁止信任客户端派生值</x:v>
      </x:c>
      <x:c r="L650" s="17" t="str">
        <x:v>追加/版本/快照，不覆盖已生效历史</x:v>
      </x:c>
      <x:c r="M650" s="4" t="str">
        <x:v>M1</x:v>
      </x:c>
      <x:c r="N650" s="4" t="str">
        <x:v>P0-045,P0-072,P0-119</x:v>
      </x:c>
      <x:c r="O650" s="4" t="str">
        <x:v>综合方案§13核心数据模型</x:v>
      </x:c>
      <x:c r="P650" s="4" t="str">
        <x:v>DRAFT_FROM_SCHEME</x:v>
      </x:c>
    </x:row>
    <x:row r="651" ht="23" customHeight="1">
      <x:c r="A651" s="4" t="str">
        <x:v>AuditLog</x:v>
      </x:c>
      <x:c r="B651" s="4" t="str">
        <x:v>actorId</x:v>
      </x:c>
      <x:c r="C651" s="17" t="str">
        <x:v>actorId</x:v>
      </x:c>
      <x:c r="D651" s="4" t="str">
        <x:v>3</x:v>
      </x:c>
      <x:c r="E651" s="4" t="str">
        <x:v>String/UUID</x:v>
      </x:c>
      <x:c r="F651" s="4" t="str">
        <x:v>YES</x:v>
      </x:c>
      <x:c r="G651" s="4" t="str">
        <x:v>待M阶段冻结</x:v>
      </x:c>
      <x:c r="H651" s="17" t="str">
        <x:v>INTERNAL</x:v>
      </x:c>
      <x:c r="I651" s="17" t="str">
        <x:v>按资源权限与数据域访问；公开DTO另行白名单</x:v>
      </x:c>
      <x:c r="J651" s="17" t="str">
        <x:v>数据库实体不得直接序列化为响应</x:v>
      </x:c>
      <x:c r="K651" s="17" t="str">
        <x:v>DTO白名单；长度/枚举/归属/状态校验；禁止信任客户端派生值</x:v>
      </x:c>
      <x:c r="L651" s="17" t="str">
        <x:v>追加/版本/快照，不覆盖已生效历史</x:v>
      </x:c>
      <x:c r="M651" s="4" t="str">
        <x:v>M1</x:v>
      </x:c>
      <x:c r="N651" s="4" t="str">
        <x:v>P0-045,P0-072,P0-119</x:v>
      </x:c>
      <x:c r="O651" s="4" t="str">
        <x:v>综合方案§13核心数据模型</x:v>
      </x:c>
      <x:c r="P651" s="4" t="str">
        <x:v>DRAFT_FROM_SCHEME</x:v>
      </x:c>
    </x:row>
    <x:row r="652" ht="23" customHeight="1">
      <x:c r="A652" s="4" t="str">
        <x:v>AuditLog</x:v>
      </x:c>
      <x:c r="B652" s="4" t="str">
        <x:v>action</x:v>
      </x:c>
      <x:c r="C652" s="17" t="str">
        <x:v>action</x:v>
      </x:c>
      <x:c r="D652" s="4" t="str">
        <x:v>4</x:v>
      </x:c>
      <x:c r="E652" s="4" t="str">
        <x:v>Enum/String</x:v>
      </x:c>
      <x:c r="F652" s="4" t="str">
        <x:v>YES</x:v>
      </x:c>
      <x:c r="G652" s="4" t="str">
        <x:v>待M阶段冻结</x:v>
      </x:c>
      <x:c r="H652" s="17" t="str">
        <x:v>INTERNAL</x:v>
      </x:c>
      <x:c r="I652" s="17" t="str">
        <x:v>按资源权限与数据域访问；公开DTO另行白名单</x:v>
      </x:c>
      <x:c r="J652" s="17" t="str">
        <x:v>数据库实体不得直接序列化为响应</x:v>
      </x:c>
      <x:c r="K652" s="17" t="str">
        <x:v>DTO白名单；长度/枚举/归属/状态校验；禁止信任客户端派生值</x:v>
      </x:c>
      <x:c r="L652" s="17" t="str">
        <x:v>追加/版本/快照，不覆盖已生效历史</x:v>
      </x:c>
      <x:c r="M652" s="4" t="str">
        <x:v>M1</x:v>
      </x:c>
      <x:c r="N652" s="4" t="str">
        <x:v>P0-045,P0-072,P0-119</x:v>
      </x:c>
      <x:c r="O652" s="4" t="str">
        <x:v>综合方案§13核心数据模型</x:v>
      </x:c>
      <x:c r="P652" s="4" t="str">
        <x:v>DRAFT_FROM_SCHEME</x:v>
      </x:c>
    </x:row>
    <x:row r="653" ht="23" customHeight="1">
      <x:c r="A653" s="4" t="str">
        <x:v>AuditLog</x:v>
      </x:c>
      <x:c r="B653" s="4" t="str">
        <x:v>objectType</x:v>
      </x:c>
      <x:c r="C653" s="17" t="str">
        <x:v>objectType</x:v>
      </x:c>
      <x:c r="D653" s="4" t="str">
        <x:v>5</x:v>
      </x:c>
      <x:c r="E653" s="4" t="str">
        <x:v>Enum/String</x:v>
      </x:c>
      <x:c r="F653" s="4" t="str">
        <x:v>YES</x:v>
      </x:c>
      <x:c r="G653" s="4" t="str">
        <x:v>待M阶段冻结</x:v>
      </x:c>
      <x:c r="H653" s="17" t="str">
        <x:v>INTERNAL</x:v>
      </x:c>
      <x:c r="I653" s="17" t="str">
        <x:v>按资源权限与数据域访问；公开DTO另行白名单</x:v>
      </x:c>
      <x:c r="J653" s="17" t="str">
        <x:v>数据库实体不得直接序列化为响应</x:v>
      </x:c>
      <x:c r="K653" s="17" t="str">
        <x:v>DTO白名单；长度/枚举/归属/状态校验；禁止信任客户端派生值</x:v>
      </x:c>
      <x:c r="L653" s="17" t="str">
        <x:v>追加/版本/快照，不覆盖已生效历史</x:v>
      </x:c>
      <x:c r="M653" s="4" t="str">
        <x:v>M1</x:v>
      </x:c>
      <x:c r="N653" s="4" t="str">
        <x:v>P0-045,P0-072,P0-119</x:v>
      </x:c>
      <x:c r="O653" s="4" t="str">
        <x:v>综合方案§13核心数据模型</x:v>
      </x:c>
      <x:c r="P653" s="4" t="str">
        <x:v>DRAFT_FROM_SCHEME</x:v>
      </x:c>
    </x:row>
    <x:row r="654" ht="23" customHeight="1">
      <x:c r="A654" s="4" t="str">
        <x:v>AuditLog</x:v>
      </x:c>
      <x:c r="B654" s="4" t="str">
        <x:v>objectId</x:v>
      </x:c>
      <x:c r="C654" s="17" t="str">
        <x:v>objectId</x:v>
      </x:c>
      <x:c r="D654" s="4" t="str">
        <x:v>6</x:v>
      </x:c>
      <x:c r="E654" s="4" t="str">
        <x:v>String/UUID</x:v>
      </x:c>
      <x:c r="F654" s="4" t="str">
        <x:v>YES</x:v>
      </x:c>
      <x:c r="G654" s="4" t="str">
        <x:v>待M阶段冻结</x:v>
      </x:c>
      <x:c r="H654" s="17" t="str">
        <x:v>INTERNAL</x:v>
      </x:c>
      <x:c r="I654" s="17" t="str">
        <x:v>按资源权限与数据域访问；公开DTO另行白名单</x:v>
      </x:c>
      <x:c r="J654" s="17" t="str">
        <x:v>数据库实体不得直接序列化为响应</x:v>
      </x:c>
      <x:c r="K654" s="17" t="str">
        <x:v>DTO白名单；长度/枚举/归属/状态校验；禁止信任客户端派生值</x:v>
      </x:c>
      <x:c r="L654" s="17" t="str">
        <x:v>追加/版本/快照，不覆盖已生效历史</x:v>
      </x:c>
      <x:c r="M654" s="4" t="str">
        <x:v>M1</x:v>
      </x:c>
      <x:c r="N654" s="4" t="str">
        <x:v>P0-045,P0-072,P0-119</x:v>
      </x:c>
      <x:c r="O654" s="4" t="str">
        <x:v>综合方案§13核心数据模型</x:v>
      </x:c>
      <x:c r="P654" s="4" t="str">
        <x:v>DRAFT_FROM_SCHEME</x:v>
      </x:c>
    </x:row>
    <x:row r="655" ht="23" customHeight="1">
      <x:c r="A655" s="4" t="str">
        <x:v>AuditLog</x:v>
      </x:c>
      <x:c r="B655" s="4" t="str">
        <x:v>beforeSnapshot</x:v>
      </x:c>
      <x:c r="C655" s="17" t="str">
        <x:v>beforeSnapshot</x:v>
      </x:c>
      <x:c r="D655" s="4" t="str">
        <x:v>7</x:v>
      </x:c>
      <x:c r="E655" s="4" t="str">
        <x:v>Json</x:v>
      </x:c>
      <x:c r="F655" s="4" t="str">
        <x:v>YES</x:v>
      </x:c>
      <x:c r="G655" s="4" t="str">
        <x:v>待M阶段冻结</x:v>
      </x:c>
      <x:c r="H655" s="17" t="str">
        <x:v>INTERNAL</x:v>
      </x:c>
      <x:c r="I655" s="17" t="str">
        <x:v>按资源权限与数据域访问；公开DTO另行白名单</x:v>
      </x:c>
      <x:c r="J655" s="17" t="str">
        <x:v>数据库实体不得直接序列化为响应</x:v>
      </x:c>
      <x:c r="K655" s="17" t="str">
        <x:v>DTO白名单；长度/枚举/归属/状态校验；禁止信任客户端派生值</x:v>
      </x:c>
      <x:c r="L655" s="17" t="str">
        <x:v>追加/版本/快照，不覆盖已生效历史</x:v>
      </x:c>
      <x:c r="M655" s="4" t="str">
        <x:v>M1</x:v>
      </x:c>
      <x:c r="N655" s="4" t="str">
        <x:v>P0-045,P0-072,P0-119</x:v>
      </x:c>
      <x:c r="O655" s="4" t="str">
        <x:v>综合方案§13核心数据模型</x:v>
      </x:c>
      <x:c r="P655" s="4" t="str">
        <x:v>DRAFT_FROM_SCHEME</x:v>
      </x:c>
    </x:row>
    <x:row r="656" ht="23" customHeight="1">
      <x:c r="A656" s="4" t="str">
        <x:v>AuditLog</x:v>
      </x:c>
      <x:c r="B656" s="4" t="str">
        <x:v>afterSnapshot</x:v>
      </x:c>
      <x:c r="C656" s="17" t="str">
        <x:v>afterSnapshot</x:v>
      </x:c>
      <x:c r="D656" s="4" t="str">
        <x:v>8</x:v>
      </x:c>
      <x:c r="E656" s="4" t="str">
        <x:v>Json</x:v>
      </x:c>
      <x:c r="F656" s="4" t="str">
        <x:v>YES</x:v>
      </x:c>
      <x:c r="G656" s="4" t="str">
        <x:v>待M阶段冻结</x:v>
      </x:c>
      <x:c r="H656" s="17" t="str">
        <x:v>INTERNAL</x:v>
      </x:c>
      <x:c r="I656" s="17" t="str">
        <x:v>按资源权限与数据域访问；公开DTO另行白名单</x:v>
      </x:c>
      <x:c r="J656" s="17" t="str">
        <x:v>数据库实体不得直接序列化为响应</x:v>
      </x:c>
      <x:c r="K656" s="17" t="str">
        <x:v>DTO白名单；长度/枚举/归属/状态校验；禁止信任客户端派生值</x:v>
      </x:c>
      <x:c r="L656" s="17" t="str">
        <x:v>追加/版本/快照，不覆盖已生效历史</x:v>
      </x:c>
      <x:c r="M656" s="4" t="str">
        <x:v>M1</x:v>
      </x:c>
      <x:c r="N656" s="4" t="str">
        <x:v>P0-045,P0-072,P0-119</x:v>
      </x:c>
      <x:c r="O656" s="4" t="str">
        <x:v>综合方案§13核心数据模型</x:v>
      </x:c>
      <x:c r="P656" s="4" t="str">
        <x:v>DRAFT_FROM_SCHEME</x:v>
      </x:c>
    </x:row>
    <x:row r="657" ht="23" customHeight="1">
      <x:c r="A657" s="4" t="str">
        <x:v>AuditLog</x:v>
      </x:c>
      <x:c r="B657" s="4" t="str">
        <x:v>requestId</x:v>
      </x:c>
      <x:c r="C657" s="17" t="str">
        <x:v>requestId</x:v>
      </x:c>
      <x:c r="D657" s="4" t="str">
        <x:v>9</x:v>
      </x:c>
      <x:c r="E657" s="4" t="str">
        <x:v>String/UUID</x:v>
      </x:c>
      <x:c r="F657" s="4" t="str">
        <x:v>YES</x:v>
      </x:c>
      <x:c r="G657" s="4" t="str">
        <x:v>待M阶段冻结</x:v>
      </x:c>
      <x:c r="H657" s="17" t="str">
        <x:v>INTERNAL</x:v>
      </x:c>
      <x:c r="I657" s="17" t="str">
        <x:v>按资源权限与数据域访问；公开DTO另行白名单</x:v>
      </x:c>
      <x:c r="J657" s="17" t="str">
        <x:v>数据库实体不得直接序列化为响应</x:v>
      </x:c>
      <x:c r="K657" s="17" t="str">
        <x:v>DTO白名单；长度/枚举/归属/状态校验；禁止信任客户端派生值</x:v>
      </x:c>
      <x:c r="L657" s="17" t="str">
        <x:v>追加/版本/快照，不覆盖已生效历史</x:v>
      </x:c>
      <x:c r="M657" s="4" t="str">
        <x:v>M1</x:v>
      </x:c>
      <x:c r="N657" s="4" t="str">
        <x:v>P0-045,P0-072,P0-119</x:v>
      </x:c>
      <x:c r="O657" s="4" t="str">
        <x:v>综合方案§13核心数据模型</x:v>
      </x:c>
      <x:c r="P657" s="4" t="str">
        <x:v>DRAFT_FROM_SCHEME</x:v>
      </x:c>
    </x:row>
    <x:row r="658" ht="23" customHeight="1">
      <x:c r="A658" s="4" t="str">
        <x:v>AuditLog</x:v>
      </x:c>
      <x:c r="B658" s="4" t="str">
        <x:v>ip</x:v>
      </x:c>
      <x:c r="C658" s="17" t="str">
        <x:v>ip</x:v>
      </x:c>
      <x:c r="D658" s="4" t="str">
        <x:v>10</x:v>
      </x:c>
      <x:c r="E658" s="4" t="str">
        <x:v>String</x:v>
      </x:c>
      <x:c r="F658" s="4" t="str">
        <x:v>YES</x:v>
      </x:c>
      <x:c r="G658" s="4" t="str">
        <x:v>待M阶段冻结</x:v>
      </x:c>
      <x:c r="H658" s="17" t="str">
        <x:v>PERSONAL_OR_SENSITIVE</x:v>
      </x:c>
      <x:c r="I658" s="17" t="str">
        <x:v>按角色、对象归属及配送阶段脱敏/解密</x:v>
      </x:c>
      <x:c r="J658" s="17" t="str">
        <x:v>禁止跨供应商、越阶段或批量无审批导出</x:v>
      </x:c>
      <x:c r="K658" s="17" t="str">
        <x:v>DTO白名单；长度/枚举/归属/状态校验；禁止信任客户端派生值</x:v>
      </x:c>
      <x:c r="L658" s="17" t="str">
        <x:v>追加/版本/快照，不覆盖已生效历史</x:v>
      </x:c>
      <x:c r="M658" s="4" t="str">
        <x:v>M1</x:v>
      </x:c>
      <x:c r="N658" s="4" t="str">
        <x:v>P0-045,P0-072,P0-119</x:v>
      </x:c>
      <x:c r="O658" s="4" t="str">
        <x:v>综合方案§13核心数据模型</x:v>
      </x:c>
      <x:c r="P658" s="4" t="str">
        <x:v>DRAFT_FROM_SCHEME</x:v>
      </x:c>
    </x:row>
    <x:row r="659" ht="23" customHeight="1">
      <x:c r="A659" s="5" t="str">
        <x:v>AuditLog</x:v>
      </x:c>
      <x:c r="B659" s="5" t="str">
        <x:v>occurredAt</x:v>
      </x:c>
      <x:c r="C659" s="18" t="str">
        <x:v>occurredAt</x:v>
      </x:c>
      <x:c r="D659" s="5" t="str">
        <x:v>11</x:v>
      </x:c>
      <x:c r="E659" s="5" t="str">
        <x:v>DateTime</x:v>
      </x:c>
      <x:c r="F659" s="5" t="str">
        <x:v>YES</x:v>
      </x:c>
      <x:c r="G659" s="5" t="str">
        <x:v>ISO-8601+明确时区</x:v>
      </x:c>
      <x:c r="H659" s="18" t="str">
        <x:v>INTERNAL</x:v>
      </x:c>
      <x:c r="I659" s="18" t="str">
        <x:v>按资源权限与数据域访问；公开DTO另行白名单</x:v>
      </x:c>
      <x:c r="J659" s="18" t="str">
        <x:v>数据库实体不得直接序列化为响应</x:v>
      </x:c>
      <x:c r="K659" s="18" t="str">
        <x:v>DTO白名单；长度/枚举/归属/状态校验；禁止信任客户端派生值</x:v>
      </x:c>
      <x:c r="L659" s="18" t="str">
        <x:v>追加/版本/快照，不覆盖已生效历史</x:v>
      </x:c>
      <x:c r="M659" s="5" t="str">
        <x:v>M1</x:v>
      </x:c>
      <x:c r="N659" s="5" t="str">
        <x:v>P0-045,P0-072,P0-119</x:v>
      </x:c>
      <x:c r="O659" s="5" t="str">
        <x:v>综合方案§13核心数据模型</x:v>
      </x:c>
      <x:c r="P659" s="5" t="str">
        <x:v>DRAFT_FROM_SCHEME</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8533fae93ca4aa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DRAFT_TO_FREEZE_IN_STAGE</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DRAFT_TO_FREEZE_IN_STAGE</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DRAFT_TO_FREEZE_IN_STAGE</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启用本主体职能账号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x:v>
      </x:c>
      <x:c r="N5" s="4" t="str">
        <x:v>DRAFT_TO_FREEZE_IN_STAGE</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阻止新提交/新履约授权</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x:v>
      </x:c>
      <x:c r="N6" s="4" t="str">
        <x:v>DRAFT_TO_FREEZE_IN_STAGE</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DRAFT_TO_FREEZE_IN_STAGE</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DRAFT_TO_FREEZE_IN_STAGE</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P0-005,P0-067,P0-070,P0-072</x:v>
      </x:c>
      <x:c r="N9" s="4" t="str">
        <x:v>DRAFT_TO_FREEZE_IN_STAGE</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DRAFT_TO_FREEZE_IN_STAGE</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DRAFT_TO_FREEZE_IN_STAGE</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DRAFT_TO_FREEZE_IN_STAGE</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DRAFT_TO_FREEZE_IN_STAGE</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DRAFT_TO_FREEZE_IN_STAGE</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DRAFT_TO_FREEZE_IN_STAGE</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DRAFT_TO_FREEZE_IN_STAGE</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DRAFT_TO_FREEZE_IN_STAGE</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DRAFT_TO_FREEZE_IN_STAGE</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DRAFT_TO_FREEZE_IN_STAGE</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DRAFT_TO_FREEZE_IN_STAGE</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DRAFT_TO_FREEZE_IN_STAGE</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DRAFT_TO_FREEZE_IN_STAGE</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DRAFT_TO_FREEZE_IN_STAGE</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DRAFT_TO_FREEZE_IN_STAGE</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DRAFT_TO_FREEZE_IN_STAGE</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DRAFT_TO_FREEZE_IN_STAGE</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DRAFT_TO_FREEZE_IN_STAGE</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e4d9c787a1e4834"/>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LOCKED_BY_SCHEME</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LOCKED_BY_SCHEME</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LOCKED_BY_SCHEME</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LOCKED_BY_SCHEME</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LOCKED_BY_SCHEME</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2bbde79c0704de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4" t="str">
        <x:v>PAGE-001</x:v>
      </x:c>
      <x:c r="B2" s="4" t="str">
        <x:v>COMPANY_ADMIN</x:v>
      </x:c>
      <x:c r="C2" s="4" t="str">
        <x:v>公司后台登录</x:v>
      </x:c>
      <x:c r="D2" s="17" t="str">
        <x:v>/company-admin/login</x:v>
      </x:c>
      <x:c r="E2" s="17" t="str">
        <x:v>福礼社UI设计资产/蓝绿供应链暖红福利统一版/公司Admin后台/01-公司后台登录.png</x:v>
      </x:c>
      <x:c r="F2" s="4" t="str">
        <x:v>M1</x:v>
      </x:c>
      <x:c r="G2" s="4" t="str">
        <x:v>公司职能账号</x:v>
      </x:c>
      <x:c r="H2" s="17" t="str">
        <x:v>P0-066</x:v>
      </x:c>
      <x:c r="I2" s="4" t="str">
        <x:v>REQUIRED_FIXED_FUNCTIONAL_SESSION</x:v>
      </x:c>
      <x:c r="J2" s="17" t="str">
        <x:v>NEVER_RETURN</x:v>
      </x:c>
      <x:c r="K2" s="4" t="str">
        <x:v>company-admin</x:v>
      </x:c>
      <x:c r="L2" s="17" t="str">
        <x:v>loading,empty,error,permission-denied,offline-or-timeout,success；交易页增加duplicate/unknown-result</x:v>
      </x:c>
      <x:c r="M2" s="4" t="str">
        <x:v>PC admin</x:v>
      </x:c>
      <x:c r="N2" s="4" t="str">
        <x:v>REFERENCE_ASSET_ONLY</x:v>
      </x:c>
      <x:c r="O2" s="4" t="str">
        <x:v>NOT_EXECUTED</x:v>
      </x:c>
      <x:c r="P2" s="4" t="str">
        <x:v>TO_BE_CREATED</x:v>
      </x:c>
      <x:c r="Q2" s="17" t="str">
        <x:v>视觉基线不覆盖业务、权限和状态机</x:v>
      </x:c>
    </x:row>
    <x:row r="3" ht="23" customHeight="1">
      <x:c r="A3" s="4" t="str">
        <x:v>PAGE-002</x:v>
      </x:c>
      <x:c r="B3" s="4" t="str">
        <x:v>COMPANY_ADMIN</x:v>
      </x:c>
      <x:c r="C3" s="4" t="str">
        <x:v>职能账号选择</x:v>
      </x:c>
      <x:c r="D3" s="17" t="str">
        <x:v>/company-admin/select-workspace</x:v>
      </x:c>
      <x:c r="E3" s="17" t="str">
        <x:v>福礼社UI设计资产/蓝绿供应链暖红福利统一版/公司Admin后台/02-职能账号选择.png</x:v>
      </x:c>
      <x:c r="F3" s="4" t="str">
        <x:v>M1</x:v>
      </x:c>
      <x:c r="G3" s="4" t="str">
        <x:v>公司职能账号</x:v>
      </x:c>
      <x:c r="H3" s="17" t="str">
        <x:v>P0-066</x:v>
      </x:c>
      <x:c r="I3" s="4" t="str">
        <x:v>REQUIRED_FIXED_FUNCTIONAL_SESSION</x:v>
      </x:c>
      <x:c r="J3" s="17" t="str">
        <x:v>NEVER_RETURN</x:v>
      </x:c>
      <x:c r="K3" s="4" t="str">
        <x:v>company-admin</x:v>
      </x:c>
      <x:c r="L3" s="17" t="str">
        <x:v>loading,empty,error,permission-denied,offline-or-timeout,success；交易页增加duplicate/unknown-result</x:v>
      </x:c>
      <x:c r="M3" s="4" t="str">
        <x:v>PC admin</x:v>
      </x:c>
      <x:c r="N3" s="4" t="str">
        <x:v>REFERENCE_ASSET_ONLY</x:v>
      </x:c>
      <x:c r="O3" s="4" t="str">
        <x:v>NOT_EXECUTED</x:v>
      </x:c>
      <x:c r="P3" s="4" t="str">
        <x:v>TO_BE_CREATED</x:v>
      </x:c>
      <x:c r="Q3" s="17" t="str">
        <x:v>视觉基线不覆盖业务、权限和状态机</x:v>
      </x:c>
    </x:row>
    <x:row r="4" ht="23" customHeight="1">
      <x:c r="A4" s="4" t="str">
        <x:v>PAGE-003</x:v>
      </x:c>
      <x:c r="B4" s="4" t="str">
        <x:v>COMPANY_ADMIN</x:v>
      </x:c>
      <x:c r="C4" s="4" t="str">
        <x:v>超级管理员</x:v>
      </x:c>
      <x:c r="D4" s="17" t="str">
        <x:v>/company-admin/workspaces/system</x:v>
      </x:c>
      <x:c r="E4" s="17" t="str">
        <x:v>福礼社UI设计资产/蓝绿供应链暖红福利统一版/公司Admin后台/03-超级管理员.png</x:v>
      </x:c>
      <x:c r="F4" s="4" t="str">
        <x:v>M1</x:v>
      </x:c>
      <x:c r="G4" s="4" t="str">
        <x:v>公司职能账号</x:v>
      </x:c>
      <x:c r="H4" s="17" t="str">
        <x:v>P0-067,P0-068</x:v>
      </x:c>
      <x:c r="I4" s="4" t="str">
        <x:v>REQUIRED_FIXED_FUNCTIONAL_SESSION</x:v>
      </x:c>
      <x:c r="J4" s="17" t="str">
        <x:v>NEVER_RETURN</x:v>
      </x:c>
      <x:c r="K4" s="4" t="str">
        <x:v>company-admin</x:v>
      </x:c>
      <x:c r="L4" s="17" t="str">
        <x:v>loading,empty,error,permission-denied,offline-or-timeout,success；交易页增加duplicate/unknown-result</x:v>
      </x:c>
      <x:c r="M4" s="4" t="str">
        <x:v>PC admin</x:v>
      </x:c>
      <x:c r="N4" s="4" t="str">
        <x:v>REFERENCE_ASSET_ONLY</x:v>
      </x:c>
      <x:c r="O4" s="4" t="str">
        <x:v>NOT_EXECUTED</x:v>
      </x:c>
      <x:c r="P4" s="4" t="str">
        <x:v>TO_BE_CREATED</x:v>
      </x:c>
      <x:c r="Q4" s="17" t="str">
        <x:v>视觉基线不覆盖业务、权限和状态机</x:v>
      </x:c>
    </x:row>
    <x:row r="5" ht="23" customHeight="1">
      <x:c r="A5" s="4" t="str">
        <x:v>PAGE-004</x:v>
      </x:c>
      <x:c r="B5" s="4" t="str">
        <x:v>COMPANY_ADMIN</x:v>
      </x:c>
      <x:c r="C5" s="4" t="str">
        <x:v>供应商运营</x:v>
      </x:c>
      <x:c r="D5" s="17" t="str">
        <x:v>/company-admin/workspaces/supplier-ops</x:v>
      </x:c>
      <x:c r="E5" s="17" t="str">
        <x:v>福礼社UI设计资产/蓝绿供应链暖红福利统一版/公司Admin后台/04-供应商运营.png</x:v>
      </x:c>
      <x:c r="F5" s="4" t="str">
        <x:v>M1</x:v>
      </x:c>
      <x:c r="G5" s="4" t="str">
        <x:v>公司职能账号</x:v>
      </x:c>
      <x:c r="H5" s="17" t="str">
        <x:v>P0-003,P0-067,P0-068</x:v>
      </x:c>
      <x:c r="I5" s="4" t="str">
        <x:v>REQUIRED_FIXED_FUNCTIONAL_SESSION</x:v>
      </x:c>
      <x:c r="J5" s="17" t="str">
        <x:v>NEVER_RETURN</x:v>
      </x:c>
      <x:c r="K5" s="4" t="str">
        <x:v>company-admin</x:v>
      </x:c>
      <x:c r="L5" s="17" t="str">
        <x:v>loading,empty,error,permission-denied,offline-or-timeout,success；交易页增加duplicate/unknown-result</x:v>
      </x:c>
      <x:c r="M5" s="4" t="str">
        <x:v>PC admin</x:v>
      </x:c>
      <x:c r="N5" s="4" t="str">
        <x:v>REFERENCE_ASSET_ONLY</x:v>
      </x:c>
      <x:c r="O5" s="4" t="str">
        <x:v>NOT_EXECUTED</x:v>
      </x:c>
      <x:c r="P5" s="4" t="str">
        <x:v>TO_BE_CREATED</x:v>
      </x:c>
      <x:c r="Q5" s="17" t="str">
        <x:v>视觉基线不覆盖业务、权限和状态机</x:v>
      </x:c>
    </x:row>
    <x:row r="6" ht="23" customHeight="1">
      <x:c r="A6" s="4" t="str">
        <x:v>PAGE-005</x:v>
      </x:c>
      <x:c r="B6" s="4" t="str">
        <x:v>COMPANY_ADMIN</x:v>
      </x:c>
      <x:c r="C6" s="4" t="str">
        <x:v>商品与分类运营</x:v>
      </x:c>
      <x:c r="D6" s="17" t="str">
        <x:v>/company-admin/workspaces/product-ops</x:v>
      </x:c>
      <x:c r="E6" s="17" t="str">
        <x:v>福礼社UI设计资产/蓝绿供应链暖红福利统一版/公司Admin后台/05-商品与分类运营.png</x:v>
      </x:c>
      <x:c r="F6" s="4" t="str">
        <x:v>M2</x:v>
      </x:c>
      <x:c r="G6" s="4" t="str">
        <x:v>公司职能账号</x:v>
      </x:c>
      <x:c r="H6" s="17" t="str">
        <x:v>P0-007,P0-067,P0-068</x:v>
      </x:c>
      <x:c r="I6" s="4" t="str">
        <x:v>REQUIRED_FIXED_FUNCTIONAL_SESSION</x:v>
      </x:c>
      <x:c r="J6" s="17" t="str">
        <x:v>NEVER_RETURN</x:v>
      </x:c>
      <x:c r="K6" s="4" t="str">
        <x:v>company-admin</x:v>
      </x:c>
      <x:c r="L6" s="17" t="str">
        <x:v>loading,empty,error,permission-denied,offline-or-timeout,success；交易页增加duplicate/unknown-result</x:v>
      </x:c>
      <x:c r="M6" s="4" t="str">
        <x:v>PC admin</x:v>
      </x:c>
      <x:c r="N6" s="4" t="str">
        <x:v>REFERENCE_ASSET_ONLY</x:v>
      </x:c>
      <x:c r="O6" s="4" t="str">
        <x:v>NOT_EXECUTED</x:v>
      </x:c>
      <x:c r="P6" s="4" t="str">
        <x:v>TO_BE_CREATED</x:v>
      </x:c>
      <x:c r="Q6" s="17" t="str">
        <x:v>视觉基线不覆盖业务、权限和状态机</x:v>
      </x:c>
    </x:row>
    <x:row r="7" ht="23" customHeight="1">
      <x:c r="A7" s="4" t="str">
        <x:v>PAGE-006</x:v>
      </x:c>
      <x:c r="B7" s="4" t="str">
        <x:v>COMPANY_ADMIN</x:v>
      </x:c>
      <x:c r="C7" s="4" t="str">
        <x:v>价格审核</x:v>
      </x:c>
      <x:c r="D7" s="17" t="str">
        <x:v>/company-admin/workspaces/price-review</x:v>
      </x:c>
      <x:c r="E7" s="17" t="str">
        <x:v>福礼社UI设计资产/蓝绿供应链暖红福利统一版/公司Admin后台/06-价格审核.png</x:v>
      </x:c>
      <x:c r="F7" s="4" t="str">
        <x:v>M2</x:v>
      </x:c>
      <x:c r="G7" s="4" t="str">
        <x:v>公司职能账号</x:v>
      </x:c>
      <x:c r="H7" s="17" t="str">
        <x:v>P0-007,P0-019,P0-071</x:v>
      </x:c>
      <x:c r="I7" s="4" t="str">
        <x:v>REQUIRED_FIXED_FUNCTIONAL_SESSION</x:v>
      </x:c>
      <x:c r="J7" s="17" t="str">
        <x:v>AUTHORIZED_COMPANY_ONLY</x:v>
      </x:c>
      <x:c r="K7" s="4" t="str">
        <x:v>company-admin</x:v>
      </x:c>
      <x:c r="L7" s="17" t="str">
        <x:v>loading,empty,error,permission-denied,offline-or-timeout,success；交易页增加duplicate/unknown-result</x:v>
      </x:c>
      <x:c r="M7" s="4" t="str">
        <x:v>PC admin</x:v>
      </x:c>
      <x:c r="N7" s="4" t="str">
        <x:v>REFERENCE_ASSET_ONLY</x:v>
      </x:c>
      <x:c r="O7" s="4" t="str">
        <x:v>NOT_EXECUTED</x:v>
      </x:c>
      <x:c r="P7" s="4" t="str">
        <x:v>TO_BE_CREATED</x:v>
      </x:c>
      <x:c r="Q7" s="17" t="str">
        <x:v>视觉基线不覆盖业务、权限和状态机</x:v>
      </x:c>
    </x:row>
    <x:row r="8" ht="23" customHeight="1">
      <x:c r="A8" s="4" t="str">
        <x:v>PAGE-007</x:v>
      </x:c>
      <x:c r="B8" s="4" t="str">
        <x:v>COMPANY_ADMIN</x:v>
      </x:c>
      <x:c r="C8" s="4" t="str">
        <x:v>订单客服</x:v>
      </x:c>
      <x:c r="D8" s="17" t="str">
        <x:v>/company-admin/workspaces/order-service</x:v>
      </x:c>
      <x:c r="E8" s="17" t="str">
        <x:v>福礼社UI设计资产/蓝绿供应链暖红福利统一版/公司Admin后台/07-订单客服.png</x:v>
      </x:c>
      <x:c r="F8" s="4" t="str">
        <x:v>M3</x:v>
      </x:c>
      <x:c r="G8" s="4" t="str">
        <x:v>公司职能账号</x:v>
      </x:c>
      <x:c r="H8" s="17" t="str">
        <x:v>P0-038,P0-067,P0-068</x:v>
      </x:c>
      <x:c r="I8" s="4" t="str">
        <x:v>REQUIRED_FIXED_FUNCTIONAL_SESSION</x:v>
      </x:c>
      <x:c r="J8" s="17" t="str">
        <x:v>NEVER_RETURN</x:v>
      </x:c>
      <x:c r="K8" s="4" t="str">
        <x:v>company-admin</x:v>
      </x:c>
      <x:c r="L8" s="17" t="str">
        <x:v>loading,empty,error,permission-denied,offline-or-timeout,success；交易页增加duplicate/unknown-result</x:v>
      </x:c>
      <x:c r="M8" s="4" t="str">
        <x:v>PC admin</x:v>
      </x:c>
      <x:c r="N8" s="4" t="str">
        <x:v>REFERENCE_ASSET_ONLY</x:v>
      </x:c>
      <x:c r="O8" s="4" t="str">
        <x:v>NOT_EXECUTED</x:v>
      </x:c>
      <x:c r="P8" s="4" t="str">
        <x:v>TO_BE_CREATED</x:v>
      </x:c>
      <x:c r="Q8" s="17" t="str">
        <x:v>视觉基线不覆盖业务、权限和状态机</x:v>
      </x:c>
    </x:row>
    <x:row r="9" ht="23" customHeight="1">
      <x:c r="A9" s="4" t="str">
        <x:v>PAGE-008</x:v>
      </x:c>
      <x:c r="B9" s="4" t="str">
        <x:v>COMPANY_ADMIN</x:v>
      </x:c>
      <x:c r="C9" s="4" t="str">
        <x:v>福利卡运营</x:v>
      </x:c>
      <x:c r="D9" s="17" t="str">
        <x:v>/company-admin/workspaces/welfare-card</x:v>
      </x:c>
      <x:c r="E9" s="17" t="str">
        <x:v>福礼社UI设计资产/蓝绿供应链暖红福利统一版/公司Admin后台/08-福利卡运营.png</x:v>
      </x:c>
      <x:c r="F9" s="4" t="str">
        <x:v>M3</x:v>
      </x:c>
      <x:c r="G9" s="4" t="str">
        <x:v>公司职能账号</x:v>
      </x:c>
      <x:c r="H9" s="17" t="str">
        <x:v>P0-051,P0-059,P0-067,P0-068</x:v>
      </x:c>
      <x:c r="I9" s="4" t="str">
        <x:v>REQUIRED_FIXED_FUNCTIONAL_SESSION</x:v>
      </x:c>
      <x:c r="J9" s="17" t="str">
        <x:v>NEVER_RETURN</x:v>
      </x:c>
      <x:c r="K9" s="4" t="str">
        <x:v>company-admin</x:v>
      </x:c>
      <x:c r="L9" s="17" t="str">
        <x:v>loading,empty,error,permission-denied,offline-or-timeout,success；交易页增加duplicate/unknown-result</x:v>
      </x:c>
      <x:c r="M9" s="4" t="str">
        <x:v>PC admin</x:v>
      </x:c>
      <x:c r="N9" s="4" t="str">
        <x:v>REFERENCE_ASSET_ONLY</x:v>
      </x:c>
      <x:c r="O9" s="4" t="str">
        <x:v>NOT_EXECUTED</x:v>
      </x:c>
      <x:c r="P9" s="4" t="str">
        <x:v>TO_BE_CREATED</x:v>
      </x:c>
      <x:c r="Q9" s="17" t="str">
        <x:v>视觉基线不覆盖业务、权限和状态机</x:v>
      </x:c>
    </x:row>
    <x:row r="10" ht="23" customHeight="1">
      <x:c r="A10" s="4" t="str">
        <x:v>PAGE-009</x:v>
      </x:c>
      <x:c r="B10" s="4" t="str">
        <x:v>COMPANY_ADMIN</x:v>
      </x:c>
      <x:c r="C10" s="4" t="str">
        <x:v>财务结算</x:v>
      </x:c>
      <x:c r="D10" s="17" t="str">
        <x:v>/company-admin/workspaces/finance</x:v>
      </x:c>
      <x:c r="E10" s="17" t="str">
        <x:v>福礼社UI设计资产/蓝绿供应链暖红福利统一版/公司Admin后台/09-财务结算.png</x:v>
      </x:c>
      <x:c r="F10" s="4" t="str">
        <x:v>M5</x:v>
      </x:c>
      <x:c r="G10" s="4" t="str">
        <x:v>公司职能账号</x:v>
      </x:c>
      <x:c r="H10" s="17" t="str">
        <x:v>P0-040,P0-042,P0-060,P0-065</x:v>
      </x:c>
      <x:c r="I10" s="4" t="str">
        <x:v>REQUIRED_FIXED_FUNCTIONAL_SESSION</x:v>
      </x:c>
      <x:c r="J10" s="17" t="str">
        <x:v>AUTHORIZED_COMPANY_ONLY</x:v>
      </x:c>
      <x:c r="K10" s="4" t="str">
        <x:v>company-admin</x:v>
      </x:c>
      <x:c r="L10" s="17" t="str">
        <x:v>loading,empty,error,permission-denied,offline-or-timeout,success；交易页增加duplicate/unknown-result</x:v>
      </x:c>
      <x:c r="M10" s="4" t="str">
        <x:v>PC admin</x:v>
      </x:c>
      <x:c r="N10" s="4" t="str">
        <x:v>REFERENCE_ASSET_ONLY</x:v>
      </x:c>
      <x:c r="O10" s="4" t="str">
        <x:v>NOT_EXECUTED</x:v>
      </x:c>
      <x:c r="P10" s="4" t="str">
        <x:v>TO_BE_CREATED</x:v>
      </x:c>
      <x:c r="Q10" s="17" t="str">
        <x:v>视觉基线不覆盖业务、权限和状态机</x:v>
      </x:c>
    </x:row>
    <x:row r="11" ht="23" customHeight="1">
      <x:c r="A11" s="4" t="str">
        <x:v>PAGE-010</x:v>
      </x:c>
      <x:c r="B11" s="4" t="str">
        <x:v>COMPANY_ADMIN</x:v>
      </x:c>
      <x:c r="C11" s="4" t="str">
        <x:v>物流中心</x:v>
      </x:c>
      <x:c r="D11" s="17" t="str">
        <x:v>/company-admin/workspaces/logistics</x:v>
      </x:c>
      <x:c r="E11" s="17" t="str">
        <x:v>福礼社UI设计资产/蓝绿供应链暖红福利统一版/公司Admin后台/10-物流中心.png</x:v>
      </x:c>
      <x:c r="F11" s="4" t="str">
        <x:v>M4</x:v>
      </x:c>
      <x:c r="G11" s="4" t="str">
        <x:v>公司职能账号</x:v>
      </x:c>
      <x:c r="H11" s="17" t="str">
        <x:v>P0-116,P0-118</x:v>
      </x:c>
      <x:c r="I11" s="4" t="str">
        <x:v>REQUIRED_FIXED_FUNCTIONAL_SESSION</x:v>
      </x:c>
      <x:c r="J11" s="17" t="str">
        <x:v>NEVER_RETURN</x:v>
      </x:c>
      <x:c r="K11" s="4" t="str">
        <x:v>company-admin</x:v>
      </x:c>
      <x:c r="L11" s="17" t="str">
        <x:v>loading,empty,error,permission-denied,offline-or-timeout,success；交易页增加duplicate/unknown-result</x:v>
      </x:c>
      <x:c r="M11" s="4" t="str">
        <x:v>PC admin</x:v>
      </x:c>
      <x:c r="N11" s="4" t="str">
        <x:v>REFERENCE_ASSET_ONLY</x:v>
      </x:c>
      <x:c r="O11" s="4" t="str">
        <x:v>NOT_EXECUTED</x:v>
      </x:c>
      <x:c r="P11" s="4" t="str">
        <x:v>TO_BE_CREATED</x:v>
      </x:c>
      <x:c r="Q11" s="17" t="str">
        <x:v>视觉基线不覆盖业务、权限和状态机</x:v>
      </x:c>
    </x:row>
    <x:row r="12" ht="23" customHeight="1">
      <x:c r="A12" s="4" t="str">
        <x:v>PAGE-011</x:v>
      </x:c>
      <x:c r="B12" s="4" t="str">
        <x:v>COMPANY_ADMIN</x:v>
      </x:c>
      <x:c r="C12" s="4" t="str">
        <x:v>门户内容</x:v>
      </x:c>
      <x:c r="D12" s="17" t="str">
        <x:v>/company-admin/workspaces/content</x:v>
      </x:c>
      <x:c r="E12" s="17" t="str">
        <x:v>福礼社UI设计资产/蓝绿供应链暖红福利统一版/公司Admin后台/11-门户内容.png</x:v>
      </x:c>
      <x:c r="F12" s="4" t="str">
        <x:v>M5</x:v>
      </x:c>
      <x:c r="G12" s="4" t="str">
        <x:v>公司职能账号</x:v>
      </x:c>
      <x:c r="H12" s="17" t="str">
        <x:v>P0-073,P0-082</x:v>
      </x:c>
      <x:c r="I12" s="4" t="str">
        <x:v>REQUIRED_FIXED_FUNCTIONAL_SESSION</x:v>
      </x:c>
      <x:c r="J12" s="17" t="str">
        <x:v>NEVER_RETURN</x:v>
      </x:c>
      <x:c r="K12" s="4" t="str">
        <x:v>company-admin</x:v>
      </x:c>
      <x:c r="L12" s="17" t="str">
        <x:v>loading,empty,error,permission-denied,offline-or-timeout,success；交易页增加duplicate/unknown-result</x:v>
      </x:c>
      <x:c r="M12" s="4" t="str">
        <x:v>PC admin</x:v>
      </x:c>
      <x:c r="N12" s="4" t="str">
        <x:v>REFERENCE_ASSET_ONLY</x:v>
      </x:c>
      <x:c r="O12" s="4" t="str">
        <x:v>NOT_EXECUTED</x:v>
      </x:c>
      <x:c r="P12" s="4" t="str">
        <x:v>TO_BE_CREATED</x:v>
      </x:c>
      <x:c r="Q12" s="17" t="str">
        <x:v>视觉基线不覆盖业务、权限和状态机</x:v>
      </x:c>
    </x:row>
    <x:row r="13" ht="23" customHeight="1">
      <x:c r="A13" s="4" t="str">
        <x:v>PAGE-012</x:v>
      </x:c>
      <x:c r="B13" s="4" t="str">
        <x:v>COMPANY_ADMIN</x:v>
      </x:c>
      <x:c r="C13" s="4" t="str">
        <x:v>审计风控</x:v>
      </x:c>
      <x:c r="D13" s="17" t="str">
        <x:v>/company-admin/workspaces/audit</x:v>
      </x:c>
      <x:c r="E13" s="17" t="str">
        <x:v>福礼社UI设计资产/蓝绿供应链暖红福利统一版/公司Admin后台/12-审计风控.png</x:v>
      </x:c>
      <x:c r="F13" s="4" t="str">
        <x:v>M1</x:v>
      </x:c>
      <x:c r="G13" s="4" t="str">
        <x:v>公司职能账号</x:v>
      </x:c>
      <x:c r="H13" s="17" t="str">
        <x:v>P0-045,P0-072</x:v>
      </x:c>
      <x:c r="I13" s="4" t="str">
        <x:v>REQUIRED_FIXED_FUNCTIONAL_SESSION</x:v>
      </x:c>
      <x:c r="J13" s="17" t="str">
        <x:v>NEVER_RETURN</x:v>
      </x:c>
      <x:c r="K13" s="4" t="str">
        <x:v>company-admin</x:v>
      </x:c>
      <x:c r="L13" s="17" t="str">
        <x:v>loading,empty,error,permission-denied,offline-or-timeout,success；交易页增加duplicate/unknown-result</x:v>
      </x:c>
      <x:c r="M13" s="4" t="str">
        <x:v>PC admin</x:v>
      </x:c>
      <x:c r="N13" s="4" t="str">
        <x:v>REFERENCE_ASSET_ONLY</x:v>
      </x:c>
      <x:c r="O13" s="4" t="str">
        <x:v>NOT_EXECUTED</x:v>
      </x:c>
      <x:c r="P13" s="4" t="str">
        <x:v>TO_BE_CREATED</x:v>
      </x:c>
      <x:c r="Q13" s="17" t="str">
        <x:v>视觉基线不覆盖业务、权限和状态机</x:v>
      </x:c>
    </x:row>
    <x:row r="14" ht="23" customHeight="1">
      <x:c r="A14" s="4" t="str">
        <x:v>PAGE-013</x:v>
      </x:c>
      <x:c r="B14" s="4" t="str">
        <x:v>SUPPLIER_ADMIN</x:v>
      </x:c>
      <x:c r="C14" s="4" t="str">
        <x:v>供应商注册</x:v>
      </x:c>
      <x:c r="D14" s="17" t="str">
        <x:v>/supplier/register</x:v>
      </x:c>
      <x:c r="E14" s="17" t="str">
        <x:v>福礼社UI设计资产/蓝绿供应链暖红福利统一版/供应商后台/01-供应商注册.png</x:v>
      </x:c>
      <x:c r="F14" s="4" t="str">
        <x:v>M1</x:v>
      </x:c>
      <x:c r="G14" s="4" t="str">
        <x:v>供应商职能账号</x:v>
      </x:c>
      <x:c r="H14" s="17" t="str">
        <x:v>P0-003,P0-069</x:v>
      </x:c>
      <x:c r="I14" s="4" t="str">
        <x:v>REQUIRED_FIXED_FUNCTIONAL_SESSION</x:v>
      </x:c>
      <x:c r="J14" s="17" t="str">
        <x:v>NEVER_RETURN</x:v>
      </x:c>
      <x:c r="K14" s="4" t="str">
        <x:v>supplier</x:v>
      </x:c>
      <x:c r="L14" s="17" t="str">
        <x:v>loading,empty,error,permission-denied,offline-or-timeout,success；交易页增加duplicate/unknown-result</x:v>
      </x:c>
      <x:c r="M14" s="4" t="str">
        <x:v>PC admin</x:v>
      </x:c>
      <x:c r="N14" s="4" t="str">
        <x:v>REFERENCE_ASSET_ONLY</x:v>
      </x:c>
      <x:c r="O14" s="4" t="str">
        <x:v>NOT_EXECUTED</x:v>
      </x:c>
      <x:c r="P14" s="4" t="str">
        <x:v>TO_BE_CREATED</x:v>
      </x:c>
      <x:c r="Q14" s="17" t="str">
        <x:v>视觉基线不覆盖业务、权限和状态机</x:v>
      </x:c>
    </x:row>
    <x:row r="15" ht="23" customHeight="1">
      <x:c r="A15" s="4" t="str">
        <x:v>PAGE-014</x:v>
      </x:c>
      <x:c r="B15" s="4" t="str">
        <x:v>SUPPLIER_ADMIN</x:v>
      </x:c>
      <x:c r="C15" s="4" t="str">
        <x:v>供应商登录</x:v>
      </x:c>
      <x:c r="D15" s="17" t="str">
        <x:v>/supplier/login</x:v>
      </x:c>
      <x:c r="E15" s="17" t="str">
        <x:v>福礼社UI设计资产/蓝绿供应链暖红福利统一版/供应商后台/02-供应商登录.png</x:v>
      </x:c>
      <x:c r="F15" s="4" t="str">
        <x:v>M1</x:v>
      </x:c>
      <x:c r="G15" s="4" t="str">
        <x:v>供应商职能账号</x:v>
      </x:c>
      <x:c r="H15" s="17" t="str">
        <x:v>P0-069</x:v>
      </x:c>
      <x:c r="I15" s="4" t="str">
        <x:v>REQUIRED_FIXED_FUNCTIONAL_SESSION</x:v>
      </x:c>
      <x:c r="J15" s="17" t="str">
        <x:v>NEVER_RETURN</x:v>
      </x:c>
      <x:c r="K15" s="4" t="str">
        <x:v>supplier</x:v>
      </x:c>
      <x:c r="L15" s="17" t="str">
        <x:v>loading,empty,error,permission-denied,offline-or-timeout,success；交易页增加duplicate/unknown-result</x:v>
      </x:c>
      <x:c r="M15" s="4" t="str">
        <x:v>PC admin</x:v>
      </x:c>
      <x:c r="N15" s="4" t="str">
        <x:v>REFERENCE_ASSET_ONLY</x:v>
      </x:c>
      <x:c r="O15" s="4" t="str">
        <x:v>NOT_EXECUTED</x:v>
      </x:c>
      <x:c r="P15" s="4" t="str">
        <x:v>TO_BE_CREATED</x:v>
      </x:c>
      <x:c r="Q15" s="17" t="str">
        <x:v>视觉基线不覆盖业务、权限和状态机</x:v>
      </x:c>
    </x:row>
    <x:row r="16" ht="23" customHeight="1">
      <x:c r="A16" s="4" t="str">
        <x:v>PAGE-015</x:v>
      </x:c>
      <x:c r="B16" s="4" t="str">
        <x:v>SUPPLIER_ADMIN</x:v>
      </x:c>
      <x:c r="C16" s="4" t="str">
        <x:v>职能账号选择</x:v>
      </x:c>
      <x:c r="D16" s="17" t="str">
        <x:v>/supplier/select-workspace</x:v>
      </x:c>
      <x:c r="E16" s="17" t="str">
        <x:v>福礼社UI设计资产/蓝绿供应链暖红福利统一版/供应商后台/03-职能账号选择.png</x:v>
      </x:c>
      <x:c r="F16" s="4" t="str">
        <x:v>M1</x:v>
      </x:c>
      <x:c r="G16" s="4" t="str">
        <x:v>供应商职能账号</x:v>
      </x:c>
      <x:c r="H16" s="17" t="str">
        <x:v>P0-066</x:v>
      </x:c>
      <x:c r="I16" s="4" t="str">
        <x:v>REQUIRED_FIXED_FUNCTIONAL_SESSION</x:v>
      </x:c>
      <x:c r="J16" s="17" t="str">
        <x:v>NEVER_RETURN</x:v>
      </x:c>
      <x:c r="K16" s="4" t="str">
        <x:v>supplier</x:v>
      </x:c>
      <x:c r="L16" s="17" t="str">
        <x:v>loading,empty,error,permission-denied,offline-or-timeout,success；交易页增加duplicate/unknown-result</x:v>
      </x:c>
      <x:c r="M16" s="4" t="str">
        <x:v>PC admin</x:v>
      </x:c>
      <x:c r="N16" s="4" t="str">
        <x:v>REFERENCE_ASSET_ONLY</x:v>
      </x:c>
      <x:c r="O16" s="4" t="str">
        <x:v>NOT_EXECUTED</x:v>
      </x:c>
      <x:c r="P16" s="4" t="str">
        <x:v>TO_BE_CREATED</x:v>
      </x:c>
      <x:c r="Q16" s="17" t="str">
        <x:v>视觉基线不覆盖业务、权限和状态机</x:v>
      </x:c>
    </x:row>
    <x:row r="17" ht="23" customHeight="1">
      <x:c r="A17" s="4" t="str">
        <x:v>PAGE-016</x:v>
      </x:c>
      <x:c r="B17" s="4" t="str">
        <x:v>SUPPLIER_ADMIN</x:v>
      </x:c>
      <x:c r="C17" s="4" t="str">
        <x:v>主体管理</x:v>
      </x:c>
      <x:c r="D17" s="17" t="str">
        <x:v>/supplier/workspaces/account-admin</x:v>
      </x:c>
      <x:c r="E17" s="17" t="str">
        <x:v>福礼社UI设计资产/蓝绿供应链暖红福利统一版/供应商后台/04-主体管理.png</x:v>
      </x:c>
      <x:c r="F17" s="4" t="str">
        <x:v>M1</x:v>
      </x:c>
      <x:c r="G17" s="4" t="str">
        <x:v>供应商职能账号</x:v>
      </x:c>
      <x:c r="H17" s="17" t="str">
        <x:v>P0-005,P0-070</x:v>
      </x:c>
      <x:c r="I17" s="4" t="str">
        <x:v>REQUIRED_FIXED_FUNCTIONAL_SESSION</x:v>
      </x:c>
      <x:c r="J17" s="17" t="str">
        <x:v>NEVER_RETURN</x:v>
      </x:c>
      <x:c r="K17" s="4" t="str">
        <x:v>supplier</x:v>
      </x:c>
      <x:c r="L17" s="17" t="str">
        <x:v>loading,empty,error,permission-denied,offline-or-timeout,success；交易页增加duplicate/unknown-result</x:v>
      </x:c>
      <x:c r="M17" s="4" t="str">
        <x:v>PC admin</x:v>
      </x:c>
      <x:c r="N17" s="4" t="str">
        <x:v>REFERENCE_ASSET_ONLY</x:v>
      </x:c>
      <x:c r="O17" s="4" t="str">
        <x:v>NOT_EXECUTED</x:v>
      </x:c>
      <x:c r="P17" s="4" t="str">
        <x:v>TO_BE_CREATED</x:v>
      </x:c>
      <x:c r="Q17" s="17" t="str">
        <x:v>视觉基线不覆盖业务、权限和状态机</x:v>
      </x:c>
    </x:row>
    <x:row r="18" ht="23" customHeight="1">
      <x:c r="A18" s="4" t="str">
        <x:v>PAGE-017</x:v>
      </x:c>
      <x:c r="B18" s="4" t="str">
        <x:v>SUPPLIER_ADMIN</x:v>
      </x:c>
      <x:c r="C18" s="4" t="str">
        <x:v>商品管理</x:v>
      </x:c>
      <x:c r="D18" s="17" t="str">
        <x:v>/supplier/workspaces/products</x:v>
      </x:c>
      <x:c r="E18" s="17" t="str">
        <x:v>福礼社UI设计资产/蓝绿供应链暖红福利统一版/供应商后台/05-商品管理.png</x:v>
      </x:c>
      <x:c r="F18" s="4" t="str">
        <x:v>M2</x:v>
      </x:c>
      <x:c r="G18" s="4" t="str">
        <x:v>供应商职能账号</x:v>
      </x:c>
      <x:c r="H18" s="17" t="str">
        <x:v>P0-006,P0-008,P0-061,P0-070</x:v>
      </x:c>
      <x:c r="I18" s="4" t="str">
        <x:v>REQUIRED_FIXED_FUNCTIONAL_SESSION</x:v>
      </x:c>
      <x:c r="J18" s="17" t="str">
        <x:v>NEVER_RETURN</x:v>
      </x:c>
      <x:c r="K18" s="4" t="str">
        <x:v>supplier</x:v>
      </x:c>
      <x:c r="L18" s="17" t="str">
        <x:v>loading,empty,error,permission-denied,offline-or-timeout,success；交易页增加duplicate/unknown-result</x:v>
      </x:c>
      <x:c r="M18" s="4" t="str">
        <x:v>PC admin</x:v>
      </x:c>
      <x:c r="N18" s="4" t="str">
        <x:v>REFERENCE_ASSET_ONLY</x:v>
      </x:c>
      <x:c r="O18" s="4" t="str">
        <x:v>NOT_EXECUTED</x:v>
      </x:c>
      <x:c r="P18" s="4" t="str">
        <x:v>TO_BE_CREATED</x:v>
      </x:c>
      <x:c r="Q18" s="17" t="str">
        <x:v>视觉基线不覆盖业务、权限和状态机</x:v>
      </x:c>
    </x:row>
    <x:row r="19" ht="23" customHeight="1">
      <x:c r="A19" s="4" t="str">
        <x:v>PAGE-018</x:v>
      </x:c>
      <x:c r="B19" s="4" t="str">
        <x:v>SUPPLIER_ADMIN</x:v>
      </x:c>
      <x:c r="C19" s="4" t="str">
        <x:v>价格管理</x:v>
      </x:c>
      <x:c r="D19" s="17" t="str">
        <x:v>/supplier/workspaces/pricing</x:v>
      </x:c>
      <x:c r="E19" s="17" t="str">
        <x:v>福礼社UI设计资产/蓝绿供应链暖红福利统一版/供应商后台/06-价格管理.png</x:v>
      </x:c>
      <x:c r="F19" s="4" t="str">
        <x:v>M2</x:v>
      </x:c>
      <x:c r="G19" s="4" t="str">
        <x:v>供应商职能账号</x:v>
      </x:c>
      <x:c r="H19" s="17" t="str">
        <x:v>P0-008,P0-019,P0-071</x:v>
      </x:c>
      <x:c r="I19" s="4" t="str">
        <x:v>REQUIRED_FIXED_FUNCTIONAL_SESSION</x:v>
      </x:c>
      <x:c r="J19" s="17" t="str">
        <x:v>OWN_SUPPLIER_ONLY</x:v>
      </x:c>
      <x:c r="K19" s="4" t="str">
        <x:v>supplier</x:v>
      </x:c>
      <x:c r="L19" s="17" t="str">
        <x:v>loading,empty,error,permission-denied,offline-or-timeout,success；交易页增加duplicate/unknown-result</x:v>
      </x:c>
      <x:c r="M19" s="4" t="str">
        <x:v>PC admin</x:v>
      </x:c>
      <x:c r="N19" s="4" t="str">
        <x:v>REFERENCE_ASSET_ONLY</x:v>
      </x:c>
      <x:c r="O19" s="4" t="str">
        <x:v>NOT_EXECUTED</x:v>
      </x:c>
      <x:c r="P19" s="4" t="str">
        <x:v>TO_BE_CREATED</x:v>
      </x:c>
      <x:c r="Q19" s="17" t="str">
        <x:v>视觉基线不覆盖业务、权限和状态机</x:v>
      </x:c>
    </x:row>
    <x:row r="20" ht="23" customHeight="1">
      <x:c r="A20" s="4" t="str">
        <x:v>PAGE-019</x:v>
      </x:c>
      <x:c r="B20" s="4" t="str">
        <x:v>SUPPLIER_ADMIN</x:v>
      </x:c>
      <x:c r="C20" s="4" t="str">
        <x:v>库存管理</x:v>
      </x:c>
      <x:c r="D20" s="17" t="str">
        <x:v>/supplier/workspaces/inventory</x:v>
      </x:c>
      <x:c r="E20" s="17" t="str">
        <x:v>福礼社UI设计资产/蓝绿供应链暖红福利统一版/供应商后台/07-库存管理.png</x:v>
      </x:c>
      <x:c r="F20" s="4" t="str">
        <x:v>M2</x:v>
      </x:c>
      <x:c r="G20" s="4" t="str">
        <x:v>供应商职能账号</x:v>
      </x:c>
      <x:c r="H20" s="17" t="str">
        <x:v>P0-023,P0-070</x:v>
      </x:c>
      <x:c r="I20" s="4" t="str">
        <x:v>REQUIRED_FIXED_FUNCTIONAL_SESSION</x:v>
      </x:c>
      <x:c r="J20" s="17" t="str">
        <x:v>NEVER_RETURN</x:v>
      </x:c>
      <x:c r="K20" s="4" t="str">
        <x:v>supplier</x:v>
      </x:c>
      <x:c r="L20" s="17" t="str">
        <x:v>loading,empty,error,permission-denied,offline-or-timeout,success；交易页增加duplicate/unknown-result</x:v>
      </x:c>
      <x:c r="M20" s="4" t="str">
        <x:v>PC admin</x:v>
      </x:c>
      <x:c r="N20" s="4" t="str">
        <x:v>REFERENCE_ASSET_ONLY</x:v>
      </x:c>
      <x:c r="O20" s="4" t="str">
        <x:v>NOT_EXECUTED</x:v>
      </x:c>
      <x:c r="P20" s="4" t="str">
        <x:v>TO_BE_CREATED</x:v>
      </x:c>
      <x:c r="Q20" s="17" t="str">
        <x:v>视觉基线不覆盖业务、权限和状态机</x:v>
      </x:c>
    </x:row>
    <x:row r="21" ht="23" customHeight="1">
      <x:c r="A21" s="4" t="str">
        <x:v>PAGE-020</x:v>
      </x:c>
      <x:c r="B21" s="4" t="str">
        <x:v>SUPPLIER_ADMIN</x:v>
      </x:c>
      <x:c r="C21" s="4" t="str">
        <x:v>履约管理</x:v>
      </x:c>
      <x:c r="D21" s="17" t="str">
        <x:v>/supplier/workspaces/fulfillment</x:v>
      </x:c>
      <x:c r="E21" s="17" t="str">
        <x:v>福礼社UI设计资产/蓝绿供应链暖红福利统一版/供应商后台/08-履约管理.png</x:v>
      </x:c>
      <x:c r="F21" s="4" t="str">
        <x:v>M3</x:v>
      </x:c>
      <x:c r="G21" s="4" t="str">
        <x:v>供应商职能账号</x:v>
      </x:c>
      <x:c r="H21" s="17" t="str">
        <x:v>P0-031,P0-070</x:v>
      </x:c>
      <x:c r="I21" s="4" t="str">
        <x:v>REQUIRED_FIXED_FUNCTIONAL_SESSION</x:v>
      </x:c>
      <x:c r="J21" s="17" t="str">
        <x:v>NEVER_RETURN</x:v>
      </x:c>
      <x:c r="K21" s="4" t="str">
        <x:v>supplier</x:v>
      </x:c>
      <x:c r="L21" s="17" t="str">
        <x:v>loading,empty,error,permission-denied,offline-or-timeout,success；交易页增加duplicate/unknown-result</x:v>
      </x:c>
      <x:c r="M21" s="4" t="str">
        <x:v>PC admin</x:v>
      </x:c>
      <x:c r="N21" s="4" t="str">
        <x:v>REFERENCE_ASSET_ONLY</x:v>
      </x:c>
      <x:c r="O21" s="4" t="str">
        <x:v>NOT_EXECUTED</x:v>
      </x:c>
      <x:c r="P21" s="4" t="str">
        <x:v>TO_BE_CREATED</x:v>
      </x:c>
      <x:c r="Q21" s="17" t="str">
        <x:v>视觉基线不覆盖业务、权限和状态机</x:v>
      </x:c>
    </x:row>
    <x:row r="22" ht="23" customHeight="1">
      <x:c r="A22" s="4" t="str">
        <x:v>PAGE-021</x:v>
      </x:c>
      <x:c r="B22" s="4" t="str">
        <x:v>SUPPLIER_ADMIN</x:v>
      </x:c>
      <x:c r="C22" s="4" t="str">
        <x:v>售后协同</x:v>
      </x:c>
      <x:c r="D22" s="17" t="str">
        <x:v>/supplier/workspaces/aftersales</x:v>
      </x:c>
      <x:c r="E22" s="17" t="str">
        <x:v>福礼社UI设计资产/蓝绿供应链暖红福利统一版/供应商后台/09-售后协同.png</x:v>
      </x:c>
      <x:c r="F22" s="4" t="str">
        <x:v>M5</x:v>
      </x:c>
      <x:c r="G22" s="4" t="str">
        <x:v>供应商职能账号</x:v>
      </x:c>
      <x:c r="H22" s="17" t="str">
        <x:v>P0-038,P0-039,P0-070</x:v>
      </x:c>
      <x:c r="I22" s="4" t="str">
        <x:v>REQUIRED_FIXED_FUNCTIONAL_SESSION</x:v>
      </x:c>
      <x:c r="J22" s="17" t="str">
        <x:v>NEVER_RETURN</x:v>
      </x:c>
      <x:c r="K22" s="4" t="str">
        <x:v>supplier</x:v>
      </x:c>
      <x:c r="L22" s="17" t="str">
        <x:v>loading,empty,error,permission-denied,offline-or-timeout,success；交易页增加duplicate/unknown-result</x:v>
      </x:c>
      <x:c r="M22" s="4" t="str">
        <x:v>PC admin</x:v>
      </x:c>
      <x:c r="N22" s="4" t="str">
        <x:v>REFERENCE_ASSET_ONLY</x:v>
      </x:c>
      <x:c r="O22" s="4" t="str">
        <x:v>NOT_EXECUTED</x:v>
      </x:c>
      <x:c r="P22" s="4" t="str">
        <x:v>TO_BE_CREATED</x:v>
      </x:c>
      <x:c r="Q22" s="17" t="str">
        <x:v>视觉基线不覆盖业务、权限和状态机</x:v>
      </x:c>
    </x:row>
    <x:row r="23" ht="23" customHeight="1">
      <x:c r="A23" s="4" t="str">
        <x:v>PAGE-022</x:v>
      </x:c>
      <x:c r="B23" s="4" t="str">
        <x:v>SUPPLIER_ADMIN</x:v>
      </x:c>
      <x:c r="C23" s="4" t="str">
        <x:v>财务对账</x:v>
      </x:c>
      <x:c r="D23" s="17" t="str">
        <x:v>/supplier/workspaces/finance</x:v>
      </x:c>
      <x:c r="E23" s="17" t="str">
        <x:v>福礼社UI设计资产/蓝绿供应链暖红福利统一版/供应商后台/10-财务对账.png</x:v>
      </x:c>
      <x:c r="F23" s="4" t="str">
        <x:v>M5</x:v>
      </x:c>
      <x:c r="G23" s="4" t="str">
        <x:v>供应商职能账号</x:v>
      </x:c>
      <x:c r="H23" s="17" t="str">
        <x:v>P0-040,P0-041,P0-042,P0-060,P0-065</x:v>
      </x:c>
      <x:c r="I23" s="4" t="str">
        <x:v>REQUIRED_FIXED_FUNCTIONAL_SESSION</x:v>
      </x:c>
      <x:c r="J23" s="17" t="str">
        <x:v>OWN_SUPPLIER_ONLY</x:v>
      </x:c>
      <x:c r="K23" s="4" t="str">
        <x:v>supplier</x:v>
      </x:c>
      <x:c r="L23" s="17" t="str">
        <x:v>loading,empty,error,permission-denied,offline-or-timeout,success；交易页增加duplicate/unknown-result</x:v>
      </x:c>
      <x:c r="M23" s="4" t="str">
        <x:v>PC admin</x:v>
      </x:c>
      <x:c r="N23" s="4" t="str">
        <x:v>REFERENCE_ASSET_ONLY</x:v>
      </x:c>
      <x:c r="O23" s="4" t="str">
        <x:v>NOT_EXECUTED</x:v>
      </x:c>
      <x:c r="P23" s="4" t="str">
        <x:v>TO_BE_CREATED</x:v>
      </x:c>
      <x:c r="Q23" s="17" t="str">
        <x:v>视觉基线不覆盖业务、权限和状态机</x:v>
      </x:c>
    </x:row>
    <x:row r="24" ht="23" customHeight="1">
      <x:c r="A24" s="4" t="str">
        <x:v>PAGE-023</x:v>
      </x:c>
      <x:c r="B24" s="4" t="str">
        <x:v>SUPPLIER_ADMIN</x:v>
      </x:c>
      <x:c r="C24" s="4" t="str">
        <x:v>审计记录</x:v>
      </x:c>
      <x:c r="D24" s="17" t="str">
        <x:v>/supplier/workspaces/audit</x:v>
      </x:c>
      <x:c r="E24" s="17" t="str">
        <x:v>福礼社UI设计资产/蓝绿供应链暖红福利统一版/供应商后台/11-审计记录.png</x:v>
      </x:c>
      <x:c r="F24" s="4" t="str">
        <x:v>M1</x:v>
      </x:c>
      <x:c r="G24" s="4" t="str">
        <x:v>供应商职能账号</x:v>
      </x:c>
      <x:c r="H24" s="17" t="str">
        <x:v>P0-070,P0-072</x:v>
      </x:c>
      <x:c r="I24" s="4" t="str">
        <x:v>REQUIRED_FIXED_FUNCTIONAL_SESSION</x:v>
      </x:c>
      <x:c r="J24" s="17" t="str">
        <x:v>NEVER_RETURN</x:v>
      </x:c>
      <x:c r="K24" s="4" t="str">
        <x:v>supplier</x:v>
      </x:c>
      <x:c r="L24" s="17" t="str">
        <x:v>loading,empty,error,permission-denied,offline-or-timeout,success；交易页增加duplicate/unknown-result</x:v>
      </x:c>
      <x:c r="M24" s="4" t="str">
        <x:v>PC admin</x:v>
      </x:c>
      <x:c r="N24" s="4" t="str">
        <x:v>REFERENCE_ASSET_ONLY</x:v>
      </x:c>
      <x:c r="O24" s="4" t="str">
        <x:v>NOT_EXECUTED</x:v>
      </x:c>
      <x:c r="P24" s="4" t="str">
        <x:v>TO_BE_CREATED</x:v>
      </x:c>
      <x:c r="Q24" s="17" t="str">
        <x:v>视觉基线不覆盖业务、权限和状态机</x:v>
      </x:c>
    </x:row>
    <x:row r="25" ht="23" customHeight="1">
      <x:c r="A25" s="4" t="str">
        <x:v>PAGE-024</x:v>
      </x:c>
      <x:c r="B25" s="4" t="str">
        <x:v>SUPPLIER_ADMIN</x:v>
      </x:c>
      <x:c r="C25" s="4" t="str">
        <x:v>职能账号管理</x:v>
      </x:c>
      <x:c r="D25" s="17" t="str">
        <x:v>/supplier/workspaces/account-admin/accounts</x:v>
      </x:c>
      <x:c r="E25" s="17" t="str">
        <x:v>福礼社UI设计资产/蓝绿供应链暖红福利统一版/供应商后台/12-职能账号管理.png</x:v>
      </x:c>
      <x:c r="F25" s="4" t="str">
        <x:v>M1</x:v>
      </x:c>
      <x:c r="G25" s="4" t="str">
        <x:v>供应商职能账号</x:v>
      </x:c>
      <x:c r="H25" s="17" t="str">
        <x:v>P0-005,P0-070</x:v>
      </x:c>
      <x:c r="I25" s="4" t="str">
        <x:v>REQUIRED_FIXED_FUNCTIONAL_SESSION</x:v>
      </x:c>
      <x:c r="J25" s="17" t="str">
        <x:v>NEVER_RETURN</x:v>
      </x:c>
      <x:c r="K25" s="4" t="str">
        <x:v>supplier</x:v>
      </x:c>
      <x:c r="L25" s="17" t="str">
        <x:v>loading,empty,error,permission-denied,offline-or-timeout,success；交易页增加duplicate/unknown-result</x:v>
      </x:c>
      <x:c r="M25" s="4" t="str">
        <x:v>PC admin</x:v>
      </x:c>
      <x:c r="N25" s="4" t="str">
        <x:v>REFERENCE_ASSET_ONLY</x:v>
      </x:c>
      <x:c r="O25" s="4" t="str">
        <x:v>NOT_EXECUTED</x:v>
      </x:c>
      <x:c r="P25" s="4" t="str">
        <x:v>TO_BE_CREATED</x:v>
      </x:c>
      <x:c r="Q25" s="17" t="str">
        <x:v>视觉基线不覆盖业务、权限和状态机</x:v>
      </x:c>
    </x:row>
    <x:row r="26" ht="23" customHeight="1">
      <x:c r="A26" s="4" t="str">
        <x:v>PAGE-025</x:v>
      </x:c>
      <x:c r="B26" s="4" t="str">
        <x:v>PORTAL_ENTERPRISE</x:v>
      </x:c>
      <x:c r="C26" s="4" t="str">
        <x:v>门户首页</x:v>
      </x:c>
      <x:c r="D26" s="17" t="str">
        <x:v>/</x:v>
      </x:c>
      <x:c r="E26" s="17" t="str">
        <x:v>福礼社UI设计资产/蓝绿供应链暖红福利统一版/企业门户网站/01-门户首页.png</x:v>
      </x:c>
      <x:c r="F26" s="4" t="str">
        <x:v>M3</x:v>
      </x:c>
      <x:c r="G26" s="4" t="str">
        <x:v>公开访客/企业用户</x:v>
      </x:c>
      <x:c r="H26" s="17" t="str">
        <x:v>P0-027,P0-074</x:v>
      </x:c>
      <x:c r="I26" s="4" t="str">
        <x:v>PUBLIC_SSG_ISR</x:v>
      </x:c>
      <x:c r="J26" s="17" t="str">
        <x:v>NEVER_RETURN</x:v>
      </x:c>
      <x:c r="K26" s="4" t="str">
        <x:v>portal/enterprise</x:v>
      </x:c>
      <x:c r="L26" s="17" t="str">
        <x:v>loading,empty,error,permission-denied,offline-or-timeout,success；交易页增加duplicate/unknown-result</x:v>
      </x:c>
      <x:c r="M26" s="4" t="str">
        <x:v>PC+mobile responsive</x:v>
      </x:c>
      <x:c r="N26" s="4" t="str">
        <x:v>REFERENCE_ASSET_ONLY</x:v>
      </x:c>
      <x:c r="O26" s="4" t="str">
        <x:v>NOT_EXECUTED</x:v>
      </x:c>
      <x:c r="P26" s="4" t="str">
        <x:v>TO_BE_CREATED</x:v>
      </x:c>
      <x:c r="Q26" s="17" t="str">
        <x:v>Next.js App Router；可抓取服务端HTML；唯一metadata/canonical/structured data；进入sitemap；CMS按slug触发ISR失效</x:v>
      </x:c>
    </x:row>
    <x:row r="27" ht="23" customHeight="1">
      <x:c r="A27" s="4" t="str">
        <x:v>PAGE-026</x:v>
      </x:c>
      <x:c r="B27" s="4" t="str">
        <x:v>PORTAL_ENTERPRISE</x:v>
      </x:c>
      <x:c r="C27" s="4" t="str">
        <x:v>关于福礼社</x:v>
      </x:c>
      <x:c r="D27" s="17" t="str">
        <x:v>/about</x:v>
      </x:c>
      <x:c r="E27" s="17" t="str">
        <x:v>福礼社UI设计资产/蓝绿供应链暖红福利统一版/企业门户网站/02-关于福礼社.png</x:v>
      </x:c>
      <x:c r="F27" s="4" t="str">
        <x:v>M5</x:v>
      </x:c>
      <x:c r="G27" s="4" t="str">
        <x:v>公开访客/企业用户</x:v>
      </x:c>
      <x:c r="H27" s="17" t="str">
        <x:v>P0-075</x:v>
      </x:c>
      <x:c r="I27" s="4" t="str">
        <x:v>PUBLIC_SSG_ISR</x:v>
      </x:c>
      <x:c r="J27" s="17" t="str">
        <x:v>NEVER_RETURN</x:v>
      </x:c>
      <x:c r="K27" s="4" t="str">
        <x:v>portal/enterprise</x:v>
      </x:c>
      <x:c r="L27" s="17" t="str">
        <x:v>loading,empty,error,permission-denied,offline-or-timeout,success；交易页增加duplicate/unknown-result</x:v>
      </x:c>
      <x:c r="M27" s="4" t="str">
        <x:v>PC+mobile responsive</x:v>
      </x:c>
      <x:c r="N27" s="4" t="str">
        <x:v>REFERENCE_ASSET_ONLY</x:v>
      </x:c>
      <x:c r="O27" s="4" t="str">
        <x:v>NOT_EXECUTED</x:v>
      </x:c>
      <x:c r="P27" s="4" t="str">
        <x:v>TO_BE_CREATED</x:v>
      </x:c>
      <x:c r="Q27" s="17" t="str">
        <x:v>Next.js App Router；可抓取服务端HTML；唯一metadata/canonical/structured data；进入sitemap；CMS按slug触发ISR失效</x:v>
      </x:c>
    </x:row>
    <x:row r="28" ht="23" customHeight="1">
      <x:c r="A28" s="4" t="str">
        <x:v>PAGE-027</x:v>
      </x:c>
      <x:c r="B28" s="4" t="str">
        <x:v>PORTAL_ENTERPRISE</x:v>
      </x:c>
      <x:c r="C28" s="4" t="str">
        <x:v>供应链能力</x:v>
      </x:c>
      <x:c r="D28" s="17" t="str">
        <x:v>/capabilities</x:v>
      </x:c>
      <x:c r="E28" s="17" t="str">
        <x:v>福礼社UI设计资产/蓝绿供应链暖红福利统一版/企业门户网站/03-供应链能力.png</x:v>
      </x:c>
      <x:c r="F28" s="4" t="str">
        <x:v>M5</x:v>
      </x:c>
      <x:c r="G28" s="4" t="str">
        <x:v>公开访客/企业用户</x:v>
      </x:c>
      <x:c r="H28" s="17" t="str">
        <x:v>P0-075</x:v>
      </x:c>
      <x:c r="I28" s="4" t="str">
        <x:v>PUBLIC_SSG_ISR</x:v>
      </x:c>
      <x:c r="J28" s="17" t="str">
        <x:v>NEVER_RETURN</x:v>
      </x:c>
      <x:c r="K28" s="4" t="str">
        <x:v>portal/enterprise</x:v>
      </x:c>
      <x:c r="L28" s="17" t="str">
        <x:v>loading,empty,error,permission-denied,offline-or-timeout,success；交易页增加duplicate/unknown-result</x:v>
      </x:c>
      <x:c r="M28" s="4" t="str">
        <x:v>PC+mobile responsive</x:v>
      </x:c>
      <x:c r="N28" s="4" t="str">
        <x:v>REFERENCE_ASSET_ONLY</x:v>
      </x:c>
      <x:c r="O28" s="4" t="str">
        <x:v>NOT_EXECUTED</x:v>
      </x:c>
      <x:c r="P28" s="4" t="str">
        <x:v>TO_BE_CREATED</x:v>
      </x:c>
      <x:c r="Q28" s="17" t="str">
        <x:v>Next.js App Router；可抓取服务端HTML；唯一metadata/canonical/structured data；进入sitemap；CMS按slug触发ISR失效</x:v>
      </x:c>
    </x:row>
    <x:row r="29" ht="23" customHeight="1">
      <x:c r="A29" s="4" t="str">
        <x:v>PAGE-028</x:v>
      </x:c>
      <x:c r="B29" s="4" t="str">
        <x:v>PORTAL_ENTERPRISE</x:v>
      </x:c>
      <x:c r="C29" s="4" t="str">
        <x:v>合作案例</x:v>
      </x:c>
      <x:c r="D29" s="17" t="str">
        <x:v>/cases</x:v>
      </x:c>
      <x:c r="E29" s="17" t="str">
        <x:v>福礼社UI设计资产/蓝绿供应链暖红福利统一版/企业门户网站/04-合作案例.png</x:v>
      </x:c>
      <x:c r="F29" s="4" t="str">
        <x:v>M5</x:v>
      </x:c>
      <x:c r="G29" s="4" t="str">
        <x:v>公开访客/企业用户</x:v>
      </x:c>
      <x:c r="H29" s="17" t="str">
        <x:v>P0-075</x:v>
      </x:c>
      <x:c r="I29" s="4" t="str">
        <x:v>PUBLIC_SSG_ISR</x:v>
      </x:c>
      <x:c r="J29" s="17" t="str">
        <x:v>NEVER_RETURN</x:v>
      </x:c>
      <x:c r="K29" s="4" t="str">
        <x:v>portal/enterprise</x:v>
      </x:c>
      <x:c r="L29" s="17" t="str">
        <x:v>loading,empty,error,permission-denied,offline-or-timeout,success；交易页增加duplicate/unknown-result</x:v>
      </x:c>
      <x:c r="M29" s="4" t="str">
        <x:v>PC+mobile responsive</x:v>
      </x:c>
      <x:c r="N29" s="4" t="str">
        <x:v>REFERENCE_ASSET_ONLY</x:v>
      </x:c>
      <x:c r="O29" s="4" t="str">
        <x:v>NOT_EXECUTED</x:v>
      </x:c>
      <x:c r="P29" s="4" t="str">
        <x:v>TO_BE_CREATED</x:v>
      </x:c>
      <x:c r="Q29" s="17" t="str">
        <x:v>Next.js App Router；可抓取服务端HTML；唯一metadata/canonical/structured data；进入sitemap；CMS按slug触发ISR失效</x:v>
      </x:c>
    </x:row>
    <x:row r="30" ht="23" customHeight="1">
      <x:c r="A30" s="4" t="str">
        <x:v>PAGE-029</x:v>
      </x:c>
      <x:c r="B30" s="4" t="str">
        <x:v>PORTAL_ENTERPRISE</x:v>
      </x:c>
      <x:c r="C30" s="4" t="str">
        <x:v>案例详情</x:v>
      </x:c>
      <x:c r="D30" s="17" t="str">
        <x:v>/cases/[slug]</x:v>
      </x:c>
      <x:c r="E30" s="17" t="str">
        <x:v>福礼社UI设计资产/蓝绿供应链暖红福利统一版/企业门户网站/05-案例详情.png</x:v>
      </x:c>
      <x:c r="F30" s="4" t="str">
        <x:v>M5</x:v>
      </x:c>
      <x:c r="G30" s="4" t="str">
        <x:v>公开访客/企业用户</x:v>
      </x:c>
      <x:c r="H30" s="17" t="str">
        <x:v>P0-075</x:v>
      </x:c>
      <x:c r="I30" s="4" t="str">
        <x:v>PUBLIC_SSG_ISR</x:v>
      </x:c>
      <x:c r="J30" s="17" t="str">
        <x:v>NEVER_RETURN</x:v>
      </x:c>
      <x:c r="K30" s="4" t="str">
        <x:v>portal/enterprise</x:v>
      </x:c>
      <x:c r="L30" s="17" t="str">
        <x:v>loading,empty,error,permission-denied,offline-or-timeout,success；交易页增加duplicate/unknown-result</x:v>
      </x:c>
      <x:c r="M30" s="4" t="str">
        <x:v>PC+mobile responsive</x:v>
      </x:c>
      <x:c r="N30" s="4" t="str">
        <x:v>REFERENCE_ASSET_ONLY</x:v>
      </x:c>
      <x:c r="O30" s="4" t="str">
        <x:v>NOT_EXECUTED</x:v>
      </x:c>
      <x:c r="P30" s="4" t="str">
        <x:v>TO_BE_CREATED</x:v>
      </x:c>
      <x:c r="Q30" s="17" t="str">
        <x:v>Next.js App Router；可抓取服务端HTML；唯一metadata/canonical/structured data；进入sitemap；CMS按slug触发ISR失效</x:v>
      </x:c>
    </x:row>
    <x:row r="31" ht="23" customHeight="1">
      <x:c r="A31" s="4" t="str">
        <x:v>PAGE-030</x:v>
      </x:c>
      <x:c r="B31" s="4" t="str">
        <x:v>PORTAL_ENTERPRISE</x:v>
      </x:c>
      <x:c r="C31" s="4" t="str">
        <x:v>社区集采入口</x:v>
      </x:c>
      <x:c r="D31" s="17" t="str">
        <x:v>/enterprise-procurement</x:v>
      </x:c>
      <x:c r="E31" s="17" t="str">
        <x:v>福礼社UI设计资产/蓝绿供应链暖红福利统一版/企业门户网站/06-社区集采入口.png</x:v>
      </x:c>
      <x:c r="F31" s="4" t="str">
        <x:v>M3</x:v>
      </x:c>
      <x:c r="G31" s="4" t="str">
        <x:v>公开访客/企业用户</x:v>
      </x:c>
      <x:c r="H31" s="17" t="str">
        <x:v>P0-030,P0-073,P0-074</x:v>
      </x:c>
      <x:c r="I31" s="4" t="str">
        <x:v>PUBLIC_SSG_ISR</x:v>
      </x:c>
      <x:c r="J31" s="17" t="str">
        <x:v>NEVER_RETURN</x:v>
      </x:c>
      <x:c r="K31" s="4" t="str">
        <x:v>portal/enterprise</x:v>
      </x:c>
      <x:c r="L31" s="17" t="str">
        <x:v>loading,empty,error,permission-denied,offline-or-timeout,success；交易页增加duplicate/unknown-result</x:v>
      </x:c>
      <x:c r="M31" s="4" t="str">
        <x:v>PC+mobile responsive</x:v>
      </x:c>
      <x:c r="N31" s="4" t="str">
        <x:v>REFERENCE_ASSET_ONLY</x:v>
      </x:c>
      <x:c r="O31" s="4" t="str">
        <x:v>NOT_EXECUTED</x:v>
      </x:c>
      <x:c r="P31" s="4" t="str">
        <x:v>TO_BE_CREATED</x:v>
      </x:c>
      <x:c r="Q31" s="17" t="str">
        <x:v>Next.js App Router；可抓取服务端HTML；唯一metadata/canonical/structured data；进入sitemap；CMS按slug触发ISR失效</x:v>
      </x:c>
    </x:row>
    <x:row r="32" ht="23" customHeight="1">
      <x:c r="A32" s="4" t="str">
        <x:v>PAGE-031</x:v>
      </x:c>
      <x:c r="B32" s="4" t="str">
        <x:v>PORTAL_ENTERPRISE</x:v>
      </x:c>
      <x:c r="C32" s="4" t="str">
        <x:v>企业注册</x:v>
      </x:c>
      <x:c r="D32" s="17" t="str">
        <x:v>/enterprise/register</x:v>
      </x:c>
      <x:c r="E32" s="17" t="str">
        <x:v>福礼社UI设计资产/蓝绿供应链暖红福利统一版/企业门户网站/07-企业注册.png</x:v>
      </x:c>
      <x:c r="F32" s="4" t="str">
        <x:v>M3</x:v>
      </x:c>
      <x:c r="G32" s="4" t="str">
        <x:v>公开访客/企业用户</x:v>
      </x:c>
      <x:c r="H32" s="17" t="str">
        <x:v>P0-028,P0-077</x:v>
      </x:c>
      <x:c r="I32" s="4" t="str">
        <x:v>PUBLIC_NOINDEX_NO_STORE</x:v>
      </x:c>
      <x:c r="J32" s="17" t="str">
        <x:v>NEVER_RETURN</x:v>
      </x:c>
      <x:c r="K32" s="4" t="str">
        <x:v>portal/enterprise</x:v>
      </x:c>
      <x:c r="L32" s="17" t="str">
        <x:v>loading,empty,error,permission-denied,offline-or-timeout,success；交易页增加duplicate/unknown-result</x:v>
      </x:c>
      <x:c r="M32" s="4" t="str">
        <x:v>PC+mobile responsive</x:v>
      </x:c>
      <x:c r="N32" s="4" t="str">
        <x:v>REFERENCE_ASSET_ONLY</x:v>
      </x:c>
      <x:c r="O32" s="4" t="str">
        <x:v>NOT_EXECUTED</x:v>
      </x:c>
      <x:c r="P32" s="4" t="str">
        <x:v>TO_BE_CREATED</x:v>
      </x:c>
      <x:c r="Q32" s="17" t="str">
        <x:v>公开可访问但禁止索引和公共缓存；认证令牌与错误不写入HTML或日志</x:v>
      </x:c>
    </x:row>
    <x:row r="33" ht="23" customHeight="1">
      <x:c r="A33" s="4" t="str">
        <x:v>PAGE-032</x:v>
      </x:c>
      <x:c r="B33" s="4" t="str">
        <x:v>PORTAL_ENTERPRISE</x:v>
      </x:c>
      <x:c r="C33" s="4" t="str">
        <x:v>企业登录</x:v>
      </x:c>
      <x:c r="D33" s="17" t="str">
        <x:v>/enterprise/login</x:v>
      </x:c>
      <x:c r="E33" s="17" t="str">
        <x:v>福礼社UI设计资产/蓝绿供应链暖红福利统一版/企业门户网站/08-企业登录.png</x:v>
      </x:c>
      <x:c r="F33" s="4" t="str">
        <x:v>M3</x:v>
      </x:c>
      <x:c r="G33" s="4" t="str">
        <x:v>公开访客/企业用户</x:v>
      </x:c>
      <x:c r="H33" s="17" t="str">
        <x:v>P0-077</x:v>
      </x:c>
      <x:c r="I33" s="4" t="str">
        <x:v>PUBLIC_NOINDEX_NO_STORE</x:v>
      </x:c>
      <x:c r="J33" s="17" t="str">
        <x:v>NEVER_RETURN</x:v>
      </x:c>
      <x:c r="K33" s="4" t="str">
        <x:v>portal/enterprise</x:v>
      </x:c>
      <x:c r="L33" s="17" t="str">
        <x:v>loading,empty,error,permission-denied,offline-or-timeout,success；交易页增加duplicate/unknown-result</x:v>
      </x:c>
      <x:c r="M33" s="4" t="str">
        <x:v>PC+mobile responsive</x:v>
      </x:c>
      <x:c r="N33" s="4" t="str">
        <x:v>REFERENCE_ASSET_ONLY</x:v>
      </x:c>
      <x:c r="O33" s="4" t="str">
        <x:v>NOT_EXECUTED</x:v>
      </x:c>
      <x:c r="P33" s="4" t="str">
        <x:v>TO_BE_CREATED</x:v>
      </x:c>
      <x:c r="Q33" s="17" t="str">
        <x:v>公开可访问但禁止索引和公共缓存；认证令牌与错误不写入HTML或日志</x:v>
      </x:c>
    </x:row>
    <x:row r="34" ht="23" customHeight="1">
      <x:c r="A34" s="4" t="str">
        <x:v>PAGE-033</x:v>
      </x:c>
      <x:c r="B34" s="4" t="str">
        <x:v>PORTAL_ENTERPRISE</x:v>
      </x:c>
      <x:c r="C34" s="4" t="str">
        <x:v>认证进度</x:v>
      </x:c>
      <x:c r="D34" s="17" t="str">
        <x:v>/enterprise/certification</x:v>
      </x:c>
      <x:c r="E34" s="17" t="str">
        <x:v>福礼社UI设计资产/蓝绿供应链暖红福利统一版/企业门户网站/09-认证进度.png</x:v>
      </x:c>
      <x:c r="F34" s="4" t="str">
        <x:v>M3</x:v>
      </x:c>
      <x:c r="G34" s="4" t="str">
        <x:v>公开访客/企业用户</x:v>
      </x:c>
      <x:c r="H34" s="17" t="str">
        <x:v>P0-077</x:v>
      </x:c>
      <x:c r="I34" s="4" t="str">
        <x:v>ENTERPRISE_AUTH_PRIVATE_NO_STORE_NOINDEX</x:v>
      </x:c>
      <x:c r="J34" s="17" t="str">
        <x:v>NEVER_RETURN</x:v>
      </x:c>
      <x:c r="K34" s="4" t="str">
        <x:v>portal/enterprise</x:v>
      </x:c>
      <x:c r="L34" s="17" t="str">
        <x:v>loading,empty,error,permission-denied,offline-or-timeout,success；交易页增加duplicate/unknown-result</x:v>
      </x:c>
      <x:c r="M34" s="4" t="str">
        <x:v>PC+mobile responsive</x:v>
      </x:c>
      <x:c r="N34" s="4" t="str">
        <x:v>REFERENCE_ASSET_ONLY</x:v>
      </x:c>
      <x:c r="O34" s="4" t="str">
        <x:v>NOT_EXECUTED</x:v>
      </x:c>
      <x:c r="P34" s="4" t="str">
        <x:v>TO_BE_CREATED</x:v>
      </x:c>
      <x:c r="Q34" s="17" t="str">
        <x:v>企业身份服务端校验；用户特定响应private/no-store；noindex,nofollow；不得进入sitemap/CDN公共缓存</x:v>
      </x:c>
    </x:row>
    <x:row r="35" ht="23" customHeight="1">
      <x:c r="A35" s="4" t="str">
        <x:v>PAGE-034</x:v>
      </x:c>
      <x:c r="B35" s="4" t="str">
        <x:v>PORTAL_ENTERPRISE</x:v>
      </x:c>
      <x:c r="C35" s="4" t="str">
        <x:v>采购货架</x:v>
      </x:c>
      <x:c r="D35" s="17" t="str">
        <x:v>/enterprise/procurement/products</x:v>
      </x:c>
      <x:c r="E35" s="17" t="str">
        <x:v>福礼社UI设计资产/蓝绿供应链暖红福利统一版/企业门户网站/10-采购货架.png</x:v>
      </x:c>
      <x:c r="F35" s="4" t="str">
        <x:v>M3</x:v>
      </x:c>
      <x:c r="G35" s="4" t="str">
        <x:v>公开访客/企业用户</x:v>
      </x:c>
      <x:c r="H35" s="17" t="str">
        <x:v>P0-061,P0-078</x:v>
      </x:c>
      <x:c r="I35" s="4" t="str">
        <x:v>ENTERPRISE_AUTH_PRIVATE_NO_STORE_NOINDEX</x:v>
      </x:c>
      <x:c r="J35" s="17" t="str">
        <x:v>NEVER_RETURN</x:v>
      </x:c>
      <x:c r="K35" s="4" t="str">
        <x:v>portal/enterprise</x:v>
      </x:c>
      <x:c r="L35" s="17" t="str">
        <x:v>loading,empty,error,permission-denied,offline-or-timeout,success；交易页增加duplicate/unknown-result</x:v>
      </x:c>
      <x:c r="M35" s="4" t="str">
        <x:v>PC+mobile responsive</x:v>
      </x:c>
      <x:c r="N35" s="4" t="str">
        <x:v>REFERENCE_ASSET_ONLY</x:v>
      </x:c>
      <x:c r="O35" s="4" t="str">
        <x:v>NOT_EXECUTED</x:v>
      </x:c>
      <x:c r="P35" s="4" t="str">
        <x:v>TO_BE_CREATED</x:v>
      </x:c>
      <x:c r="Q35" s="17" t="str">
        <x:v>企业身份服务端校验；用户特定响应private/no-store；noindex,nofollow；不得进入sitemap/CDN公共缓存</x:v>
      </x:c>
    </x:row>
    <x:row r="36" ht="23" customHeight="1">
      <x:c r="A36" s="4" t="str">
        <x:v>PAGE-035</x:v>
      </x:c>
      <x:c r="B36" s="4" t="str">
        <x:v>PORTAL_ENTERPRISE</x:v>
      </x:c>
      <x:c r="C36" s="4" t="str">
        <x:v>企业商品详情</x:v>
      </x:c>
      <x:c r="D36" s="17" t="str">
        <x:v>/enterprise/procurement/products/[productId]</x:v>
      </x:c>
      <x:c r="E36" s="17" t="str">
        <x:v>福礼社UI设计资产/蓝绿供应链暖红福利统一版/企业门户网站/11-企业商品详情.png</x:v>
      </x:c>
      <x:c r="F36" s="4" t="str">
        <x:v>M3</x:v>
      </x:c>
      <x:c r="G36" s="4" t="str">
        <x:v>公开访客/企业用户</x:v>
      </x:c>
      <x:c r="H36" s="17" t="str">
        <x:v>P0-061,P0-078</x:v>
      </x:c>
      <x:c r="I36" s="4" t="str">
        <x:v>ENTERPRISE_AUTH_PRIVATE_NO_STORE_NOINDEX</x:v>
      </x:c>
      <x:c r="J36" s="17" t="str">
        <x:v>NEVER_RETURN</x:v>
      </x:c>
      <x:c r="K36" s="4" t="str">
        <x:v>portal/enterprise</x:v>
      </x:c>
      <x:c r="L36" s="17" t="str">
        <x:v>loading,empty,error,permission-denied,offline-or-timeout,success；交易页增加duplicate/unknown-result</x:v>
      </x:c>
      <x:c r="M36" s="4" t="str">
        <x:v>PC+mobile responsive</x:v>
      </x:c>
      <x:c r="N36" s="4" t="str">
        <x:v>REFERENCE_ASSET_ONLY</x:v>
      </x:c>
      <x:c r="O36" s="4" t="str">
        <x:v>NOT_EXECUTED</x:v>
      </x:c>
      <x:c r="P36" s="4" t="str">
        <x:v>TO_BE_CREATED</x:v>
      </x:c>
      <x:c r="Q36" s="17" t="str">
        <x:v>企业身份服务端校验；用户特定响应private/no-store；noindex,nofollow；不得进入sitemap/CDN公共缓存</x:v>
      </x:c>
    </x:row>
    <x:row r="37" ht="23" customHeight="1">
      <x:c r="A37" s="4" t="str">
        <x:v>PAGE-036</x:v>
      </x:c>
      <x:c r="B37" s="4" t="str">
        <x:v>PORTAL_ENTERPRISE</x:v>
      </x:c>
      <x:c r="C37" s="4" t="str">
        <x:v>采购车</x:v>
      </x:c>
      <x:c r="D37" s="17" t="str">
        <x:v>/enterprise/procurement/cart</x:v>
      </x:c>
      <x:c r="E37" s="17" t="str">
        <x:v>福礼社UI设计资产/蓝绿供应链暖红福利统一版/企业门户网站/12-采购车.png</x:v>
      </x:c>
      <x:c r="F37" s="4" t="str">
        <x:v>M3</x:v>
      </x:c>
      <x:c r="G37" s="4" t="str">
        <x:v>公开访客/企业用户</x:v>
      </x:c>
      <x:c r="H37" s="17" t="str">
        <x:v>P0-062,P0-079</x:v>
      </x:c>
      <x:c r="I37" s="4" t="str">
        <x:v>ENTERPRISE_AUTH_PRIVATE_NO_STORE_NOINDEX</x:v>
      </x:c>
      <x:c r="J37" s="17" t="str">
        <x:v>NEVER_RETURN</x:v>
      </x:c>
      <x:c r="K37" s="4" t="str">
        <x:v>portal/enterprise</x:v>
      </x:c>
      <x:c r="L37" s="17" t="str">
        <x:v>loading,empty,error,permission-denied,offline-or-timeout,success；交易页增加duplicate/unknown-result</x:v>
      </x:c>
      <x:c r="M37" s="4" t="str">
        <x:v>PC+mobile responsive</x:v>
      </x:c>
      <x:c r="N37" s="4" t="str">
        <x:v>REFERENCE_ASSET_ONLY</x:v>
      </x:c>
      <x:c r="O37" s="4" t="str">
        <x:v>NOT_EXECUTED</x:v>
      </x:c>
      <x:c r="P37" s="4" t="str">
        <x:v>TO_BE_CREATED</x:v>
      </x:c>
      <x:c r="Q37" s="17" t="str">
        <x:v>企业身份服务端校验；用户特定响应private/no-store；noindex,nofollow；不得进入sitemap/CDN公共缓存</x:v>
      </x:c>
    </x:row>
    <x:row r="38" ht="23" customHeight="1">
      <x:c r="A38" s="4" t="str">
        <x:v>PAGE-037</x:v>
      </x:c>
      <x:c r="B38" s="4" t="str">
        <x:v>PORTAL_ENTERPRISE</x:v>
      </x:c>
      <x:c r="C38" s="4" t="str">
        <x:v>采购结算</x:v>
      </x:c>
      <x:c r="D38" s="17" t="str">
        <x:v>/enterprise/procurement/checkout</x:v>
      </x:c>
      <x:c r="E38" s="17" t="str">
        <x:v>福礼社UI设计资产/蓝绿供应链暖红福利统一版/企业门户网站/13-采购结算.png</x:v>
      </x:c>
      <x:c r="F38" s="4" t="str">
        <x:v>M3</x:v>
      </x:c>
      <x:c r="G38" s="4" t="str">
        <x:v>公开访客/企业用户</x:v>
      </x:c>
      <x:c r="H38" s="17" t="str">
        <x:v>P0-062,P0-079</x:v>
      </x:c>
      <x:c r="I38" s="4" t="str">
        <x:v>ENTERPRISE_AUTH_PRIVATE_NO_STORE_NOINDEX</x:v>
      </x:c>
      <x:c r="J38" s="17" t="str">
        <x:v>NEVER_RETURN</x:v>
      </x:c>
      <x:c r="K38" s="4" t="str">
        <x:v>portal/enterprise</x:v>
      </x:c>
      <x:c r="L38" s="17" t="str">
        <x:v>loading,empty,error,permission-denied,offline-or-timeout,success；交易页增加duplicate/unknown-result</x:v>
      </x:c>
      <x:c r="M38" s="4" t="str">
        <x:v>PC+mobile responsive</x:v>
      </x:c>
      <x:c r="N38" s="4" t="str">
        <x:v>REFERENCE_ASSET_ONLY</x:v>
      </x:c>
      <x:c r="O38" s="4" t="str">
        <x:v>NOT_EXECUTED</x:v>
      </x:c>
      <x:c r="P38" s="4" t="str">
        <x:v>TO_BE_CREATED</x:v>
      </x:c>
      <x:c r="Q38" s="17" t="str">
        <x:v>企业身份服务端校验；用户特定响应private/no-store；noindex,nofollow；不得进入sitemap/CDN公共缓存</x:v>
      </x:c>
    </x:row>
    <x:row r="39" ht="23" customHeight="1">
      <x:c r="A39" s="4" t="str">
        <x:v>PAGE-038</x:v>
      </x:c>
      <x:c r="B39" s="4" t="str">
        <x:v>PORTAL_ENTERPRISE</x:v>
      </x:c>
      <x:c r="C39" s="4" t="str">
        <x:v>企业工作台</x:v>
      </x:c>
      <x:c r="D39" s="17" t="str">
        <x:v>/enterprise/workspace</x:v>
      </x:c>
      <x:c r="E39" s="17" t="str">
        <x:v>福礼社UI设计资产/蓝绿供应链暖红福利统一版/企业门户网站/14-企业工作台.png</x:v>
      </x:c>
      <x:c r="F39" s="4" t="str">
        <x:v>M3</x:v>
      </x:c>
      <x:c r="G39" s="4" t="str">
        <x:v>公开访客/企业用户</x:v>
      </x:c>
      <x:c r="H39" s="17" t="str">
        <x:v>P0-080</x:v>
      </x:c>
      <x:c r="I39" s="4" t="str">
        <x:v>ENTERPRISE_AUTH_PRIVATE_NO_STORE_NOINDEX</x:v>
      </x:c>
      <x:c r="J39" s="17" t="str">
        <x:v>NEVER_RETURN</x:v>
      </x:c>
      <x:c r="K39" s="4" t="str">
        <x:v>portal/enterprise</x:v>
      </x:c>
      <x:c r="L39" s="17" t="str">
        <x:v>loading,empty,error,permission-denied,offline-or-timeout,success；交易页增加duplicate/unknown-result</x:v>
      </x:c>
      <x:c r="M39" s="4" t="str">
        <x:v>PC+mobile responsive</x:v>
      </x:c>
      <x:c r="N39" s="4" t="str">
        <x:v>REFERENCE_ASSET_ONLY</x:v>
      </x:c>
      <x:c r="O39" s="4" t="str">
        <x:v>NOT_EXECUTED</x:v>
      </x:c>
      <x:c r="P39" s="4" t="str">
        <x:v>TO_BE_CREATED</x:v>
      </x:c>
      <x:c r="Q39" s="17" t="str">
        <x:v>企业身份服务端校验；用户特定响应private/no-store；noindex,nofollow；不得进入sitemap/CDN公共缓存</x:v>
      </x:c>
    </x:row>
    <x:row r="40" ht="23" customHeight="1">
      <x:c r="A40" s="4" t="str">
        <x:v>PAGE-039</x:v>
      </x:c>
      <x:c r="B40" s="4" t="str">
        <x:v>PORTAL_ENTERPRISE</x:v>
      </x:c>
      <x:c r="C40" s="4" t="str">
        <x:v>企业订单</x:v>
      </x:c>
      <x:c r="D40" s="17" t="str">
        <x:v>/enterprise/orders</x:v>
      </x:c>
      <x:c r="E40" s="17" t="str">
        <x:v>福礼社UI设计资产/蓝绿供应链暖红福利统一版/企业门户网站/15-企业订单.png</x:v>
      </x:c>
      <x:c r="F40" s="4" t="str">
        <x:v>M3</x:v>
      </x:c>
      <x:c r="G40" s="4" t="str">
        <x:v>公开访客/企业用户</x:v>
      </x:c>
      <x:c r="H40" s="17" t="str">
        <x:v>P0-080</x:v>
      </x:c>
      <x:c r="I40" s="4" t="str">
        <x:v>ENTERPRISE_AUTH_PRIVATE_NO_STORE_NOINDEX</x:v>
      </x:c>
      <x:c r="J40" s="17" t="str">
        <x:v>NEVER_RETURN</x:v>
      </x:c>
      <x:c r="K40" s="4" t="str">
        <x:v>portal/enterprise</x:v>
      </x:c>
      <x:c r="L40" s="17" t="str">
        <x:v>loading,empty,error,permission-denied,offline-or-timeout,success；交易页增加duplicate/unknown-result</x:v>
      </x:c>
      <x:c r="M40" s="4" t="str">
        <x:v>PC+mobile responsive</x:v>
      </x:c>
      <x:c r="N40" s="4" t="str">
        <x:v>REFERENCE_ASSET_ONLY</x:v>
      </x:c>
      <x:c r="O40" s="4" t="str">
        <x:v>NOT_EXECUTED</x:v>
      </x:c>
      <x:c r="P40" s="4" t="str">
        <x:v>TO_BE_CREATED</x:v>
      </x:c>
      <x:c r="Q40" s="17" t="str">
        <x:v>企业身份服务端校验；用户特定响应private/no-store；noindex,nofollow；不得进入sitemap/CDN公共缓存</x:v>
      </x:c>
    </x:row>
    <x:row r="41" ht="23" customHeight="1">
      <x:c r="A41" s="4" t="str">
        <x:v>PAGE-040</x:v>
      </x:c>
      <x:c r="B41" s="4" t="str">
        <x:v>PORTAL_ENTERPRISE</x:v>
      </x:c>
      <x:c r="C41" s="4" t="str">
        <x:v>企业订单详情</x:v>
      </x:c>
      <x:c r="D41" s="17" t="str">
        <x:v>/enterprise/orders/[orderId]</x:v>
      </x:c>
      <x:c r="E41" s="17" t="str">
        <x:v>福礼社UI设计资产/蓝绿供应链暖红福利统一版/企业门户网站/16-企业订单详情.png</x:v>
      </x:c>
      <x:c r="F41" s="4" t="str">
        <x:v>M3</x:v>
      </x:c>
      <x:c r="G41" s="4" t="str">
        <x:v>公开访客/企业用户</x:v>
      </x:c>
      <x:c r="H41" s="17" t="str">
        <x:v>P0-080,P0-117,P0-119</x:v>
      </x:c>
      <x:c r="I41" s="4" t="str">
        <x:v>ENTERPRISE_AUTH_PRIVATE_NO_STORE_NOINDEX</x:v>
      </x:c>
      <x:c r="J41" s="17" t="str">
        <x:v>NEVER_RETURN</x:v>
      </x:c>
      <x:c r="K41" s="4" t="str">
        <x:v>portal/enterprise</x:v>
      </x:c>
      <x:c r="L41" s="17" t="str">
        <x:v>loading,empty,error,permission-denied,offline-or-timeout,success；交易页增加duplicate/unknown-result</x:v>
      </x:c>
      <x:c r="M41" s="4" t="str">
        <x:v>PC+mobile responsive</x:v>
      </x:c>
      <x:c r="N41" s="4" t="str">
        <x:v>REFERENCE_ASSET_ONLY</x:v>
      </x:c>
      <x:c r="O41" s="4" t="str">
        <x:v>NOT_EXECUTED</x:v>
      </x:c>
      <x:c r="P41" s="4" t="str">
        <x:v>TO_BE_CREATED</x:v>
      </x:c>
      <x:c r="Q41" s="17" t="str">
        <x:v>企业身份服务端校验；用户特定响应private/no-store；noindex,nofollow；不得进入sitemap/CDN公共缓存</x:v>
      </x:c>
    </x:row>
    <x:row r="42" ht="23" customHeight="1">
      <x:c r="A42" s="4" t="str">
        <x:v>PAGE-041</x:v>
      </x:c>
      <x:c r="B42" s="4" t="str">
        <x:v>PORTAL_ENTERPRISE</x:v>
      </x:c>
      <x:c r="C42" s="4" t="str">
        <x:v>企业售后</x:v>
      </x:c>
      <x:c r="D42" s="17" t="str">
        <x:v>/enterprise/aftersales</x:v>
      </x:c>
      <x:c r="E42" s="17" t="str">
        <x:v>福礼社UI设计资产/蓝绿供应链暖红福利统一版/企业门户网站/17-企业售后.png</x:v>
      </x:c>
      <x:c r="F42" s="4" t="str">
        <x:v>M3</x:v>
      </x:c>
      <x:c r="G42" s="4" t="str">
        <x:v>公开访客/企业用户</x:v>
      </x:c>
      <x:c r="H42" s="17" t="str">
        <x:v>P0-038,P0-080</x:v>
      </x:c>
      <x:c r="I42" s="4" t="str">
        <x:v>ENTERPRISE_AUTH_PRIVATE_NO_STORE_NOINDEX</x:v>
      </x:c>
      <x:c r="J42" s="17" t="str">
        <x:v>NEVER_RETURN</x:v>
      </x:c>
      <x:c r="K42" s="4" t="str">
        <x:v>portal/enterprise</x:v>
      </x:c>
      <x:c r="L42" s="17" t="str">
        <x:v>loading,empty,error,permission-denied,offline-or-timeout,success；交易页增加duplicate/unknown-result</x:v>
      </x:c>
      <x:c r="M42" s="4" t="str">
        <x:v>PC+mobile responsive</x:v>
      </x:c>
      <x:c r="N42" s="4" t="str">
        <x:v>REFERENCE_ASSET_ONLY</x:v>
      </x:c>
      <x:c r="O42" s="4" t="str">
        <x:v>NOT_EXECUTED</x:v>
      </x:c>
      <x:c r="P42" s="4" t="str">
        <x:v>TO_BE_CREATED</x:v>
      </x:c>
      <x:c r="Q42" s="17" t="str">
        <x:v>企业身份服务端校验；用户特定响应private/no-store；noindex,nofollow；不得进入sitemap/CDN公共缓存</x:v>
      </x:c>
    </x:row>
    <x:row r="43" ht="23" customHeight="1">
      <x:c r="A43" s="4" t="str">
        <x:v>PAGE-042</x:v>
      </x:c>
      <x:c r="B43" s="4" t="str">
        <x:v>PORTAL_ENTERPRISE</x:v>
      </x:c>
      <x:c r="C43" s="4" t="str">
        <x:v>福利卡服务</x:v>
      </x:c>
      <x:c r="D43" s="17" t="str">
        <x:v>/welfare-card-service</x:v>
      </x:c>
      <x:c r="E43" s="17" t="str">
        <x:v>福礼社UI设计资产/蓝绿供应链暖红福利统一版/企业门户网站/18-福利卡服务.png</x:v>
      </x:c>
      <x:c r="F43" s="4" t="str">
        <x:v>M5</x:v>
      </x:c>
      <x:c r="G43" s="4" t="str">
        <x:v>公开访客/企业用户</x:v>
      </x:c>
      <x:c r="H43" s="17" t="str">
        <x:v>P0-051,P0-076</x:v>
      </x:c>
      <x:c r="I43" s="4" t="str">
        <x:v>PUBLIC_SSG_ISR</x:v>
      </x:c>
      <x:c r="J43" s="17" t="str">
        <x:v>NEVER_RETURN</x:v>
      </x:c>
      <x:c r="K43" s="4" t="str">
        <x:v>portal/enterprise</x:v>
      </x:c>
      <x:c r="L43" s="17" t="str">
        <x:v>loading,empty,error,permission-denied,offline-or-timeout,success；交易页增加duplicate/unknown-result</x:v>
      </x:c>
      <x:c r="M43" s="4" t="str">
        <x:v>PC+mobile responsive</x:v>
      </x:c>
      <x:c r="N43" s="4" t="str">
        <x:v>REFERENCE_ASSET_ONLY</x:v>
      </x:c>
      <x:c r="O43" s="4" t="str">
        <x:v>NOT_EXECUTED</x:v>
      </x:c>
      <x:c r="P43" s="4" t="str">
        <x:v>TO_BE_CREATED</x:v>
      </x:c>
      <x:c r="Q43" s="17" t="str">
        <x:v>Next.js App Router；可抓取服务端HTML；唯一metadata/canonical/structured data；进入sitemap；CMS按slug触发ISR失效</x:v>
      </x:c>
    </x:row>
    <x:row r="44" ht="23" customHeight="1">
      <x:c r="A44" s="4" t="str">
        <x:v>PAGE-043</x:v>
      </x:c>
      <x:c r="B44" s="4" t="str">
        <x:v>PORTAL_ENTERPRISE</x:v>
      </x:c>
      <x:c r="C44" s="4" t="str">
        <x:v>供应商合作</x:v>
      </x:c>
      <x:c r="D44" s="17" t="str">
        <x:v>/supplier-cooperation</x:v>
      </x:c>
      <x:c r="E44" s="17" t="str">
        <x:v>福礼社UI设计资产/蓝绿供应链暖红福利统一版/企业门户网站/19-供应商合作.png</x:v>
      </x:c>
      <x:c r="F44" s="4" t="str">
        <x:v>M5</x:v>
      </x:c>
      <x:c r="G44" s="4" t="str">
        <x:v>公开访客/企业用户</x:v>
      </x:c>
      <x:c r="H44" s="17" t="str">
        <x:v>P0-003,P0-076</x:v>
      </x:c>
      <x:c r="I44" s="4" t="str">
        <x:v>PUBLIC_SSG_ISR</x:v>
      </x:c>
      <x:c r="J44" s="17" t="str">
        <x:v>NEVER_RETURN</x:v>
      </x:c>
      <x:c r="K44" s="4" t="str">
        <x:v>portal/enterprise</x:v>
      </x:c>
      <x:c r="L44" s="17" t="str">
        <x:v>loading,empty,error,permission-denied,offline-or-timeout,success；交易页增加duplicate/unknown-result</x:v>
      </x:c>
      <x:c r="M44" s="4" t="str">
        <x:v>PC+mobile responsive</x:v>
      </x:c>
      <x:c r="N44" s="4" t="str">
        <x:v>REFERENCE_ASSET_ONLY</x:v>
      </x:c>
      <x:c r="O44" s="4" t="str">
        <x:v>NOT_EXECUTED</x:v>
      </x:c>
      <x:c r="P44" s="4" t="str">
        <x:v>TO_BE_CREATED</x:v>
      </x:c>
      <x:c r="Q44" s="17" t="str">
        <x:v>Next.js App Router；可抓取服务端HTML；唯一metadata/canonical/structured data；进入sitemap；CMS按slug触发ISR失效</x:v>
      </x:c>
    </x:row>
    <x:row r="45" ht="23" customHeight="1">
      <x:c r="A45" s="4" t="str">
        <x:v>PAGE-044</x:v>
      </x:c>
      <x:c r="B45" s="4" t="str">
        <x:v>PORTAL_ENTERPRISE</x:v>
      </x:c>
      <x:c r="C45" s="4" t="str">
        <x:v>新闻资讯</x:v>
      </x:c>
      <x:c r="D45" s="17" t="str">
        <x:v>/news</x:v>
      </x:c>
      <x:c r="E45" s="17" t="str">
        <x:v>福礼社UI设计资产/蓝绿供应链暖红福利统一版/企业门户网站/20-新闻资讯.png</x:v>
      </x:c>
      <x:c r="F45" s="4" t="str">
        <x:v>M5</x:v>
      </x:c>
      <x:c r="G45" s="4" t="str">
        <x:v>公开访客/企业用户</x:v>
      </x:c>
      <x:c r="H45" s="17" t="str">
        <x:v>P0-073,P0-082</x:v>
      </x:c>
      <x:c r="I45" s="4" t="str">
        <x:v>PUBLIC_SSG_ISR</x:v>
      </x:c>
      <x:c r="J45" s="17" t="str">
        <x:v>NEVER_RETURN</x:v>
      </x:c>
      <x:c r="K45" s="4" t="str">
        <x:v>portal/enterprise</x:v>
      </x:c>
      <x:c r="L45" s="17" t="str">
        <x:v>loading,empty,error,permission-denied,offline-or-timeout,success；交易页增加duplicate/unknown-result</x:v>
      </x:c>
      <x:c r="M45" s="4" t="str">
        <x:v>PC+mobile responsive</x:v>
      </x:c>
      <x:c r="N45" s="4" t="str">
        <x:v>REFERENCE_ASSET_ONLY</x:v>
      </x:c>
      <x:c r="O45" s="4" t="str">
        <x:v>NOT_EXECUTED</x:v>
      </x:c>
      <x:c r="P45" s="4" t="str">
        <x:v>TO_BE_CREATED</x:v>
      </x:c>
      <x:c r="Q45" s="17" t="str">
        <x:v>Next.js App Router；可抓取服务端HTML；唯一metadata/canonical/structured data；进入sitemap；CMS按slug触发ISR失效</x:v>
      </x:c>
    </x:row>
    <x:row r="46" ht="23" customHeight="1">
      <x:c r="A46" s="4" t="str">
        <x:v>PAGE-045</x:v>
      </x:c>
      <x:c r="B46" s="4" t="str">
        <x:v>PORTAL_ENTERPRISE</x:v>
      </x:c>
      <x:c r="C46" s="4" t="str">
        <x:v>新闻详情</x:v>
      </x:c>
      <x:c r="D46" s="17" t="str">
        <x:v>/news/[slug]</x:v>
      </x:c>
      <x:c r="E46" s="17" t="str">
        <x:v>福礼社UI设计资产/蓝绿供应链暖红福利统一版/企业门户网站/21-新闻详情.png</x:v>
      </x:c>
      <x:c r="F46" s="4" t="str">
        <x:v>M5</x:v>
      </x:c>
      <x:c r="G46" s="4" t="str">
        <x:v>公开访客/企业用户</x:v>
      </x:c>
      <x:c r="H46" s="17" t="str">
        <x:v>P0-073,P0-082</x:v>
      </x:c>
      <x:c r="I46" s="4" t="str">
        <x:v>PUBLIC_SSG_ISR</x:v>
      </x:c>
      <x:c r="J46" s="17" t="str">
        <x:v>NEVER_RETURN</x:v>
      </x:c>
      <x:c r="K46" s="4" t="str">
        <x:v>portal/enterprise</x:v>
      </x:c>
      <x:c r="L46" s="17" t="str">
        <x:v>loading,empty,error,permission-denied,offline-or-timeout,success；交易页增加duplicate/unknown-result</x:v>
      </x:c>
      <x:c r="M46" s="4" t="str">
        <x:v>PC+mobile responsive</x:v>
      </x:c>
      <x:c r="N46" s="4" t="str">
        <x:v>REFERENCE_ASSET_ONLY</x:v>
      </x:c>
      <x:c r="O46" s="4" t="str">
        <x:v>NOT_EXECUTED</x:v>
      </x:c>
      <x:c r="P46" s="4" t="str">
        <x:v>TO_BE_CREATED</x:v>
      </x:c>
      <x:c r="Q46" s="17" t="str">
        <x:v>Next.js App Router；可抓取服务端HTML；唯一metadata/canonical/structured data；进入sitemap；CMS按slug触发ISR失效</x:v>
      </x:c>
    </x:row>
    <x:row r="47" ht="23" customHeight="1">
      <x:c r="A47" s="4" t="str">
        <x:v>PAGE-046</x:v>
      </x:c>
      <x:c r="B47" s="4" t="str">
        <x:v>PORTAL_ENTERPRISE</x:v>
      </x:c>
      <x:c r="C47" s="4" t="str">
        <x:v>联系我们</x:v>
      </x:c>
      <x:c r="D47" s="17" t="str">
        <x:v>/contact</x:v>
      </x:c>
      <x:c r="E47" s="17" t="str">
        <x:v>福礼社UI设计资产/蓝绿供应链暖红福利统一版/企业门户网站/22-联系我们.png</x:v>
      </x:c>
      <x:c r="F47" s="4" t="str">
        <x:v>M5</x:v>
      </x:c>
      <x:c r="G47" s="4" t="str">
        <x:v>公开访客/企业用户</x:v>
      </x:c>
      <x:c r="H47" s="17" t="str">
        <x:v>P0-074,P0-076</x:v>
      </x:c>
      <x:c r="I47" s="4" t="str">
        <x:v>PUBLIC_SSG_ISR</x:v>
      </x:c>
      <x:c r="J47" s="17" t="str">
        <x:v>NEVER_RETURN</x:v>
      </x:c>
      <x:c r="K47" s="4" t="str">
        <x:v>portal/enterprise</x:v>
      </x:c>
      <x:c r="L47" s="17" t="str">
        <x:v>loading,empty,error,permission-denied,offline-or-timeout,success；交易页增加duplicate/unknown-result</x:v>
      </x:c>
      <x:c r="M47" s="4" t="str">
        <x:v>PC+mobile responsive</x:v>
      </x:c>
      <x:c r="N47" s="4" t="str">
        <x:v>REFERENCE_ASSET_ONLY</x:v>
      </x:c>
      <x:c r="O47" s="4" t="str">
        <x:v>NOT_EXECUTED</x:v>
      </x:c>
      <x:c r="P47" s="4" t="str">
        <x:v>TO_BE_CREATED</x:v>
      </x:c>
      <x:c r="Q47" s="17" t="str">
        <x:v>Next.js App Router；可抓取服务端HTML；唯一metadata/canonical/structured data；进入sitemap；CMS按slug触发ISR失效</x:v>
      </x:c>
    </x:row>
    <x:row r="48" ht="23" customHeight="1">
      <x:c r="A48" s="4" t="str">
        <x:v>PAGE-047</x:v>
      </x:c>
      <x:c r="B48" s="4" t="str">
        <x:v>PORTAL_ENTERPRISE</x:v>
      </x:c>
      <x:c r="C48" s="4" t="str">
        <x:v>协议政策</x:v>
      </x:c>
      <x:c r="D48" s="17" t="str">
        <x:v>/policies/[slug]</x:v>
      </x:c>
      <x:c r="E48" s="17" t="str">
        <x:v>福礼社UI设计资产/蓝绿供应链暖红福利统一版/企业门户网站/23-协议政策.png</x:v>
      </x:c>
      <x:c r="F48" s="4" t="str">
        <x:v>M5</x:v>
      </x:c>
      <x:c r="G48" s="4" t="str">
        <x:v>公开访客/企业用户</x:v>
      </x:c>
      <x:c r="H48" s="17" t="str">
        <x:v>P0-082</x:v>
      </x:c>
      <x:c r="I48" s="4" t="str">
        <x:v>PUBLIC_SSG_ISR</x:v>
      </x:c>
      <x:c r="J48" s="17" t="str">
        <x:v>NEVER_RETURN</x:v>
      </x:c>
      <x:c r="K48" s="4" t="str">
        <x:v>portal/enterprise</x:v>
      </x:c>
      <x:c r="L48" s="17" t="str">
        <x:v>loading,empty,error,permission-denied,offline-or-timeout,success；交易页增加duplicate/unknown-result</x:v>
      </x:c>
      <x:c r="M48" s="4" t="str">
        <x:v>PC+mobile responsive</x:v>
      </x:c>
      <x:c r="N48" s="4" t="str">
        <x:v>REFERENCE_ASSET_ONLY</x:v>
      </x:c>
      <x:c r="O48" s="4" t="str">
        <x:v>NOT_EXECUTED</x:v>
      </x:c>
      <x:c r="P48" s="4" t="str">
        <x:v>TO_BE_CREATED</x:v>
      </x:c>
      <x:c r="Q48" s="17" t="str">
        <x:v>Next.js App Router；可抓取服务端HTML；唯一metadata/canonical/structured data；进入sitemap；CMS按slug触发ISR失效</x:v>
      </x:c>
    </x:row>
    <x:row r="49" ht="23" customHeight="1">
      <x:c r="A49" s="4" t="str">
        <x:v>PAGE-048</x:v>
      </x:c>
      <x:c r="B49" s="4" t="str">
        <x:v>PORTAL_ENTERPRISE</x:v>
      </x:c>
      <x:c r="C49" s="4" t="str">
        <x:v>企业消息</x:v>
      </x:c>
      <x:c r="D49" s="17" t="str">
        <x:v>/enterprise/messages</x:v>
      </x:c>
      <x:c r="E49" s="17" t="str">
        <x:v>福礼社UI设计资产/蓝绿供应链暖红福利统一版/企业门户网站/24-企业消息.png</x:v>
      </x:c>
      <x:c r="F49" s="4" t="str">
        <x:v>M3</x:v>
      </x:c>
      <x:c r="G49" s="4" t="str">
        <x:v>公开访客/企业用户</x:v>
      </x:c>
      <x:c r="H49" s="17" t="str">
        <x:v>P0-080,P0-119</x:v>
      </x:c>
      <x:c r="I49" s="4" t="str">
        <x:v>ENTERPRISE_AUTH_PRIVATE_NO_STORE_NOINDEX</x:v>
      </x:c>
      <x:c r="J49" s="17" t="str">
        <x:v>NEVER_RETURN</x:v>
      </x:c>
      <x:c r="K49" s="4" t="str">
        <x:v>portal/enterprise</x:v>
      </x:c>
      <x:c r="L49" s="17" t="str">
        <x:v>loading,empty,error,permission-denied,offline-or-timeout,success；交易页增加duplicate/unknown-result</x:v>
      </x:c>
      <x:c r="M49" s="4" t="str">
        <x:v>PC+mobile responsive</x:v>
      </x:c>
      <x:c r="N49" s="4" t="str">
        <x:v>REFERENCE_ASSET_ONLY</x:v>
      </x:c>
      <x:c r="O49" s="4" t="str">
        <x:v>NOT_EXECUTED</x:v>
      </x:c>
      <x:c r="P49" s="4" t="str">
        <x:v>TO_BE_CREATED</x:v>
      </x:c>
      <x:c r="Q49" s="17" t="str">
        <x:v>企业身份服务端校验；用户特定响应private/no-store；noindex,nofollow；不得进入sitemap/CDN公共缓存</x:v>
      </x:c>
    </x:row>
    <x:row r="50" ht="23" customHeight="1">
      <x:c r="A50" s="4" t="str">
        <x:v>PAGE-049</x:v>
      </x:c>
      <x:c r="B50" s="4" t="str">
        <x:v>CONSUMER_MINIPROGRAM</x:v>
      </x:c>
      <x:c r="C50" s="4" t="str">
        <x:v>首页</x:v>
      </x:c>
      <x:c r="D50" s="17" t="str">
        <x:v>/pages/home/index</x:v>
      </x:c>
      <x:c r="E50" s="17" t="str">
        <x:v>福礼社UI设计资产/美团式用户小程序方案/全部22页/01-首页.png</x:v>
      </x:c>
      <x:c r="F50" s="4" t="str">
        <x:v>M3</x:v>
      </x:c>
      <x:c r="G50" s="4" t="str">
        <x:v>个人用户</x:v>
      </x:c>
      <x:c r="H50" s="17" t="str">
        <x:v>P0-020,P0-086</x:v>
      </x:c>
      <x:c r="I50" s="4" t="str">
        <x:v>PUBLIC_OR_ON_DEMAND</x:v>
      </x:c>
      <x:c r="J50" s="17" t="str">
        <x:v>NEVER_RETURN</x:v>
      </x:c>
      <x:c r="K50" s="4" t="str">
        <x:v>consumer</x:v>
      </x:c>
      <x:c r="L50" s="17" t="str">
        <x:v>loading,empty,error,permission-denied,offline-or-timeout,success；交易页增加duplicate/unknown-result</x:v>
      </x:c>
      <x:c r="M50" s="4" t="str">
        <x:v>微信小程序真机</x:v>
      </x:c>
      <x:c r="N50" s="4" t="str">
        <x:v>REFERENCE_ASSET_ONLY</x:v>
      </x:c>
      <x:c r="O50" s="4" t="str">
        <x:v>NOT_EXECUTED</x:v>
      </x:c>
      <x:c r="P50" s="4" t="str">
        <x:v>TO_BE_CREATED</x:v>
      </x:c>
      <x:c r="Q50" s="17" t="str">
        <x:v>视觉基线不覆盖业务、权限和状态机</x:v>
      </x:c>
    </x:row>
    <x:row r="51" ht="23" customHeight="1">
      <x:c r="A51" s="4" t="str">
        <x:v>PAGE-050</x:v>
      </x:c>
      <x:c r="B51" s="4" t="str">
        <x:v>CONSUMER_MINIPROGRAM</x:v>
      </x:c>
      <x:c r="C51" s="4" t="str">
        <x:v>分类</x:v>
      </x:c>
      <x:c r="D51" s="17" t="str">
        <x:v>/pages/category/index</x:v>
      </x:c>
      <x:c r="E51" s="17" t="str">
        <x:v>福礼社UI设计资产/美团式用户小程序方案/全部22页/02-分类.png</x:v>
      </x:c>
      <x:c r="F51" s="4" t="str">
        <x:v>M3</x:v>
      </x:c>
      <x:c r="G51" s="4" t="str">
        <x:v>个人用户</x:v>
      </x:c>
      <x:c r="H51" s="17" t="str">
        <x:v>P0-087</x:v>
      </x:c>
      <x:c r="I51" s="4" t="str">
        <x:v>PUBLIC_OR_ON_DEMAND</x:v>
      </x:c>
      <x:c r="J51" s="17" t="str">
        <x:v>NEVER_RETURN</x:v>
      </x:c>
      <x:c r="K51" s="4" t="str">
        <x:v>consumer</x:v>
      </x:c>
      <x:c r="L51" s="17" t="str">
        <x:v>loading,empty,error,permission-denied,offline-or-timeout,success；交易页增加duplicate/unknown-result</x:v>
      </x:c>
      <x:c r="M51" s="4" t="str">
        <x:v>微信小程序真机</x:v>
      </x:c>
      <x:c r="N51" s="4" t="str">
        <x:v>REFERENCE_ASSET_ONLY</x:v>
      </x:c>
      <x:c r="O51" s="4" t="str">
        <x:v>NOT_EXECUTED</x:v>
      </x:c>
      <x:c r="P51" s="4" t="str">
        <x:v>TO_BE_CREATED</x:v>
      </x:c>
      <x:c r="Q51" s="17" t="str">
        <x:v>视觉基线不覆盖业务、权限和状态机</x:v>
      </x:c>
    </x:row>
    <x:row r="52" ht="23" customHeight="1">
      <x:c r="A52" s="4" t="str">
        <x:v>PAGE-051</x:v>
      </x:c>
      <x:c r="B52" s="4" t="str">
        <x:v>CONSUMER_MINIPROGRAM</x:v>
      </x:c>
      <x:c r="C52" s="4" t="str">
        <x:v>搜索</x:v>
      </x:c>
      <x:c r="D52" s="17" t="str">
        <x:v>/pages/search/index</x:v>
      </x:c>
      <x:c r="E52" s="17" t="str">
        <x:v>福礼社UI设计资产/美团式用户小程序方案/全部22页/03-搜索.png</x:v>
      </x:c>
      <x:c r="F52" s="4" t="str">
        <x:v>M3</x:v>
      </x:c>
      <x:c r="G52" s="4" t="str">
        <x:v>个人用户</x:v>
      </x:c>
      <x:c r="H52" s="17" t="str">
        <x:v>P0-087</x:v>
      </x:c>
      <x:c r="I52" s="4" t="str">
        <x:v>PUBLIC_OR_ON_DEMAND</x:v>
      </x:c>
      <x:c r="J52" s="17" t="str">
        <x:v>NEVER_RETURN</x:v>
      </x:c>
      <x:c r="K52" s="4" t="str">
        <x:v>consumer</x:v>
      </x:c>
      <x:c r="L52" s="17" t="str">
        <x:v>loading,empty,error,permission-denied,offline-or-timeout,success；交易页增加duplicate/unknown-result</x:v>
      </x:c>
      <x:c r="M52" s="4" t="str">
        <x:v>微信小程序真机</x:v>
      </x:c>
      <x:c r="N52" s="4" t="str">
        <x:v>REFERENCE_ASSET_ONLY</x:v>
      </x:c>
      <x:c r="O52" s="4" t="str">
        <x:v>NOT_EXECUTED</x:v>
      </x:c>
      <x:c r="P52" s="4" t="str">
        <x:v>TO_BE_CREATED</x:v>
      </x:c>
      <x:c r="Q52" s="17" t="str">
        <x:v>视觉基线不覆盖业务、权限和状态机</x:v>
      </x:c>
    </x:row>
    <x:row r="53" ht="23" customHeight="1">
      <x:c r="A53" s="4" t="str">
        <x:v>PAGE-052</x:v>
      </x:c>
      <x:c r="B53" s="4" t="str">
        <x:v>CONSUMER_MINIPROGRAM</x:v>
      </x:c>
      <x:c r="C53" s="4" t="str">
        <x:v>搜索结果</x:v>
      </x:c>
      <x:c r="D53" s="17" t="str">
        <x:v>/pages/search-results/index</x:v>
      </x:c>
      <x:c r="E53" s="17" t="str">
        <x:v>福礼社UI设计资产/美团式用户小程序方案/全部22页/04-搜索结果.png</x:v>
      </x:c>
      <x:c r="F53" s="4" t="str">
        <x:v>M3</x:v>
      </x:c>
      <x:c r="G53" s="4" t="str">
        <x:v>个人用户</x:v>
      </x:c>
      <x:c r="H53" s="17" t="str">
        <x:v>P0-087</x:v>
      </x:c>
      <x:c r="I53" s="4" t="str">
        <x:v>PUBLIC_OR_ON_DEMAND</x:v>
      </x:c>
      <x:c r="J53" s="17" t="str">
        <x:v>NEVER_RETURN</x:v>
      </x:c>
      <x:c r="K53" s="4" t="str">
        <x:v>consumer</x:v>
      </x:c>
      <x:c r="L53" s="17" t="str">
        <x:v>loading,empty,error,permission-denied,offline-or-timeout,success；交易页增加duplicate/unknown-result</x:v>
      </x:c>
      <x:c r="M53" s="4" t="str">
        <x:v>微信小程序真机</x:v>
      </x:c>
      <x:c r="N53" s="4" t="str">
        <x:v>REFERENCE_ASSET_ONLY</x:v>
      </x:c>
      <x:c r="O53" s="4" t="str">
        <x:v>NOT_EXECUTED</x:v>
      </x:c>
      <x:c r="P53" s="4" t="str">
        <x:v>TO_BE_CREATED</x:v>
      </x:c>
      <x:c r="Q53" s="17" t="str">
        <x:v>视觉基线不覆盖业务、权限和状态机</x:v>
      </x:c>
    </x:row>
    <x:row r="54" ht="23" customHeight="1">
      <x:c r="A54" s="4" t="str">
        <x:v>PAGE-053</x:v>
      </x:c>
      <x:c r="B54" s="4" t="str">
        <x:v>CONSUMER_MINIPROGRAM</x:v>
      </x:c>
      <x:c r="C54" s="4" t="str">
        <x:v>商品详情</x:v>
      </x:c>
      <x:c r="D54" s="17" t="str">
        <x:v>/pages/product-detail/index</x:v>
      </x:c>
      <x:c r="E54" s="17" t="str">
        <x:v>福礼社UI设计资产/美团式用户小程序方案/全部22页/05-商品详情.png</x:v>
      </x:c>
      <x:c r="F54" s="4" t="str">
        <x:v>M3</x:v>
      </x:c>
      <x:c r="G54" s="4" t="str">
        <x:v>个人用户</x:v>
      </x:c>
      <x:c r="H54" s="17" t="str">
        <x:v>P0-021,P0-088</x:v>
      </x:c>
      <x:c r="I54" s="4" t="str">
        <x:v>PUBLIC_OR_ON_DEMAND</x:v>
      </x:c>
      <x:c r="J54" s="17" t="str">
        <x:v>NEVER_RETURN</x:v>
      </x:c>
      <x:c r="K54" s="4" t="str">
        <x:v>consumer</x:v>
      </x:c>
      <x:c r="L54" s="17" t="str">
        <x:v>loading,empty,error,permission-denied,offline-or-timeout,success；交易页增加duplicate/unknown-result</x:v>
      </x:c>
      <x:c r="M54" s="4" t="str">
        <x:v>微信小程序真机</x:v>
      </x:c>
      <x:c r="N54" s="4" t="str">
        <x:v>REFERENCE_ASSET_ONLY</x:v>
      </x:c>
      <x:c r="O54" s="4" t="str">
        <x:v>NOT_EXECUTED</x:v>
      </x:c>
      <x:c r="P54" s="4" t="str">
        <x:v>TO_BE_CREATED</x:v>
      </x:c>
      <x:c r="Q54" s="17" t="str">
        <x:v>视觉基线不覆盖业务、权限和状态机</x:v>
      </x:c>
    </x:row>
    <x:row r="55" ht="23" customHeight="1">
      <x:c r="A55" s="4" t="str">
        <x:v>PAGE-054</x:v>
      </x:c>
      <x:c r="B55" s="4" t="str">
        <x:v>CONSUMER_MINIPROGRAM</x:v>
      </x:c>
      <x:c r="C55" s="4" t="str">
        <x:v>看他还卖什么</x:v>
      </x:c>
      <x:c r="D55" s="17" t="str">
        <x:v>/pages/supplier-products/index</x:v>
      </x:c>
      <x:c r="E55" s="17" t="str">
        <x:v>福礼社UI设计资产/美团式用户小程序方案/全部22页/06-看他还卖什么.png</x:v>
      </x:c>
      <x:c r="F55" s="4" t="str">
        <x:v>M3</x:v>
      </x:c>
      <x:c r="G55" s="4" t="str">
        <x:v>个人用户</x:v>
      </x:c>
      <x:c r="H55" s="17" t="str">
        <x:v>P0-010,P0-089</x:v>
      </x:c>
      <x:c r="I55" s="4" t="str">
        <x:v>PUBLIC_OR_ON_DEMAND</x:v>
      </x:c>
      <x:c r="J55" s="17" t="str">
        <x:v>NEVER_RETURN</x:v>
      </x:c>
      <x:c r="K55" s="4" t="str">
        <x:v>consumer</x:v>
      </x:c>
      <x:c r="L55" s="17" t="str">
        <x:v>loading,empty,error,permission-denied,offline-or-timeout,success；交易页增加duplicate/unknown-result</x:v>
      </x:c>
      <x:c r="M55" s="4" t="str">
        <x:v>微信小程序真机</x:v>
      </x:c>
      <x:c r="N55" s="4" t="str">
        <x:v>REFERENCE_ASSET_ONLY</x:v>
      </x:c>
      <x:c r="O55" s="4" t="str">
        <x:v>NOT_EXECUTED</x:v>
      </x:c>
      <x:c r="P55" s="4" t="str">
        <x:v>TO_BE_CREATED</x:v>
      </x:c>
      <x:c r="Q55" s="17" t="str">
        <x:v>视觉基线不覆盖业务、权限和状态机</x:v>
      </x:c>
    </x:row>
    <x:row r="56" ht="23" customHeight="1">
      <x:c r="A56" s="4" t="str">
        <x:v>PAGE-055</x:v>
      </x:c>
      <x:c r="B56" s="4" t="str">
        <x:v>CONSUMER_MINIPROGRAM</x:v>
      </x:c>
      <x:c r="C56" s="4" t="str">
        <x:v>购物车</x:v>
      </x:c>
      <x:c r="D56" s="17" t="str">
        <x:v>/pages/cart/index</x:v>
      </x:c>
      <x:c r="E56" s="17" t="str">
        <x:v>福礼社UI设计资产/美团式用户小程序方案/全部22页/07-购物车.png</x:v>
      </x:c>
      <x:c r="F56" s="4" t="str">
        <x:v>M3</x:v>
      </x:c>
      <x:c r="G56" s="4" t="str">
        <x:v>个人用户</x:v>
      </x:c>
      <x:c r="H56" s="17" t="str">
        <x:v>P0-022,P0-090</x:v>
      </x:c>
      <x:c r="I56" s="4" t="str">
        <x:v>PUBLIC_OR_ON_DEMAND</x:v>
      </x:c>
      <x:c r="J56" s="17" t="str">
        <x:v>NEVER_RETURN</x:v>
      </x:c>
      <x:c r="K56" s="4" t="str">
        <x:v>consumer</x:v>
      </x:c>
      <x:c r="L56" s="17" t="str">
        <x:v>loading,empty,error,permission-denied,offline-or-timeout,success；交易页增加duplicate/unknown-result</x:v>
      </x:c>
      <x:c r="M56" s="4" t="str">
        <x:v>微信小程序真机</x:v>
      </x:c>
      <x:c r="N56" s="4" t="str">
        <x:v>REFERENCE_ASSET_ONLY</x:v>
      </x:c>
      <x:c r="O56" s="4" t="str">
        <x:v>NOT_EXECUTED</x:v>
      </x:c>
      <x:c r="P56" s="4" t="str">
        <x:v>TO_BE_CREATED</x:v>
      </x:c>
      <x:c r="Q56" s="17" t="str">
        <x:v>视觉基线不覆盖业务、权限和状态机</x:v>
      </x:c>
    </x:row>
    <x:row r="57" ht="23" customHeight="1">
      <x:c r="A57" s="4" t="str">
        <x:v>PAGE-056</x:v>
      </x:c>
      <x:c r="B57" s="4" t="str">
        <x:v>CONSUMER_MINIPROGRAM</x:v>
      </x:c>
      <x:c r="C57" s="4" t="str">
        <x:v>确认订单</x:v>
      </x:c>
      <x:c r="D57" s="17" t="str">
        <x:v>/pages/checkout/index</x:v>
      </x:c>
      <x:c r="E57" s="17" t="str">
        <x:v>福礼社UI设计资产/美团式用户小程序方案/全部22页/08-确认订单.png</x:v>
      </x:c>
      <x:c r="F57" s="4" t="str">
        <x:v>M3</x:v>
      </x:c>
      <x:c r="G57" s="4" t="str">
        <x:v>个人用户</x:v>
      </x:c>
      <x:c r="H57" s="17" t="str">
        <x:v>P0-091,P0-092</x:v>
      </x:c>
      <x:c r="I57" s="4" t="str">
        <x:v>PUBLIC_OR_ON_DEMAND</x:v>
      </x:c>
      <x:c r="J57" s="17" t="str">
        <x:v>NEVER_RETURN</x:v>
      </x:c>
      <x:c r="K57" s="4" t="str">
        <x:v>consumer</x:v>
      </x:c>
      <x:c r="L57" s="17" t="str">
        <x:v>loading,empty,error,permission-denied,offline-or-timeout,success；交易页增加duplicate/unknown-result</x:v>
      </x:c>
      <x:c r="M57" s="4" t="str">
        <x:v>微信小程序真机</x:v>
      </x:c>
      <x:c r="N57" s="4" t="str">
        <x:v>REFERENCE_ASSET_ONLY</x:v>
      </x:c>
      <x:c r="O57" s="4" t="str">
        <x:v>NOT_EXECUTED</x:v>
      </x:c>
      <x:c r="P57" s="4" t="str">
        <x:v>TO_BE_CREATED</x:v>
      </x:c>
      <x:c r="Q57" s="17" t="str">
        <x:v>视觉基线不覆盖业务、权限和状态机</x:v>
      </x:c>
    </x:row>
    <x:row r="58" ht="23" customHeight="1">
      <x:c r="A58" s="4" t="str">
        <x:v>PAGE-057</x:v>
      </x:c>
      <x:c r="B58" s="4" t="str">
        <x:v>CONSUMER_MINIPROGRAM</x:v>
      </x:c>
      <x:c r="C58" s="4" t="str">
        <x:v>支付结果</x:v>
      </x:c>
      <x:c r="D58" s="17" t="str">
        <x:v>/pages/payment-result/index</x:v>
      </x:c>
      <x:c r="E58" s="17" t="str">
        <x:v>福礼社UI设计资产/美团式用户小程序方案/全部22页/09-支付结果.png</x:v>
      </x:c>
      <x:c r="F58" s="4" t="str">
        <x:v>M3</x:v>
      </x:c>
      <x:c r="G58" s="4" t="str">
        <x:v>个人用户</x:v>
      </x:c>
      <x:c r="H58" s="17" t="str">
        <x:v>P0-093</x:v>
      </x:c>
      <x:c r="I58" s="4" t="str">
        <x:v>PUBLIC_OR_ON_DEMAND</x:v>
      </x:c>
      <x:c r="J58" s="17" t="str">
        <x:v>NEVER_RETURN</x:v>
      </x:c>
      <x:c r="K58" s="4" t="str">
        <x:v>consumer</x:v>
      </x:c>
      <x:c r="L58" s="17" t="str">
        <x:v>loading,empty,error,permission-denied,offline-or-timeout,success；交易页增加duplicate/unknown-result</x:v>
      </x:c>
      <x:c r="M58" s="4" t="str">
        <x:v>微信小程序真机</x:v>
      </x:c>
      <x:c r="N58" s="4" t="str">
        <x:v>REFERENCE_ASSET_ONLY</x:v>
      </x:c>
      <x:c r="O58" s="4" t="str">
        <x:v>NOT_EXECUTED</x:v>
      </x:c>
      <x:c r="P58" s="4" t="str">
        <x:v>TO_BE_CREATED</x:v>
      </x:c>
      <x:c r="Q58" s="17" t="str">
        <x:v>视觉基线不覆盖业务、权限和状态机</x:v>
      </x:c>
    </x:row>
    <x:row r="59" ht="23" customHeight="1">
      <x:c r="A59" s="4" t="str">
        <x:v>PAGE-058</x:v>
      </x:c>
      <x:c r="B59" s="4" t="str">
        <x:v>CONSUMER_MINIPROGRAM</x:v>
      </x:c>
      <x:c r="C59" s="4" t="str">
        <x:v>订单列表</x:v>
      </x:c>
      <x:c r="D59" s="17" t="str">
        <x:v>/pages/orders/index</x:v>
      </x:c>
      <x:c r="E59" s="17" t="str">
        <x:v>福礼社UI设计资产/美团式用户小程序方案/全部22页/10-订单列表.png</x:v>
      </x:c>
      <x:c r="F59" s="4" t="str">
        <x:v>M3</x:v>
      </x:c>
      <x:c r="G59" s="4" t="str">
        <x:v>个人用户</x:v>
      </x:c>
      <x:c r="H59" s="17" t="str">
        <x:v>P0-094</x:v>
      </x:c>
      <x:c r="I59" s="4" t="str">
        <x:v>PUBLIC_OR_ON_DEMAND</x:v>
      </x:c>
      <x:c r="J59" s="17" t="str">
        <x:v>NEVER_RETURN</x:v>
      </x:c>
      <x:c r="K59" s="4" t="str">
        <x:v>consumer</x:v>
      </x:c>
      <x:c r="L59" s="17" t="str">
        <x:v>loading,empty,error,permission-denied,offline-or-timeout,success；交易页增加duplicate/unknown-result</x:v>
      </x:c>
      <x:c r="M59" s="4" t="str">
        <x:v>微信小程序真机</x:v>
      </x:c>
      <x:c r="N59" s="4" t="str">
        <x:v>REFERENCE_ASSET_ONLY</x:v>
      </x:c>
      <x:c r="O59" s="4" t="str">
        <x:v>NOT_EXECUTED</x:v>
      </x:c>
      <x:c r="P59" s="4" t="str">
        <x:v>TO_BE_CREATED</x:v>
      </x:c>
      <x:c r="Q59" s="17" t="str">
        <x:v>视觉基线不覆盖业务、权限和状态机</x:v>
      </x:c>
    </x:row>
    <x:row r="60" ht="23" customHeight="1">
      <x:c r="A60" s="4" t="str">
        <x:v>PAGE-059</x:v>
      </x:c>
      <x:c r="B60" s="4" t="str">
        <x:v>CONSUMER_MINIPROGRAM</x:v>
      </x:c>
      <x:c r="C60" s="4" t="str">
        <x:v>订单详情</x:v>
      </x:c>
      <x:c r="D60" s="17" t="str">
        <x:v>/pages/order-detail/index</x:v>
      </x:c>
      <x:c r="E60" s="17" t="str">
        <x:v>福礼社UI设计资产/美团式用户小程序方案/全部22页/11-订单详情.png</x:v>
      </x:c>
      <x:c r="F60" s="4" t="str">
        <x:v>M3</x:v>
      </x:c>
      <x:c r="G60" s="4" t="str">
        <x:v>个人用户</x:v>
      </x:c>
      <x:c r="H60" s="17" t="str">
        <x:v>P0-094,P0-095</x:v>
      </x:c>
      <x:c r="I60" s="4" t="str">
        <x:v>PUBLIC_OR_ON_DEMAND</x:v>
      </x:c>
      <x:c r="J60" s="17" t="str">
        <x:v>NEVER_RETURN</x:v>
      </x:c>
      <x:c r="K60" s="4" t="str">
        <x:v>consumer</x:v>
      </x:c>
      <x:c r="L60" s="17" t="str">
        <x:v>loading,empty,error,permission-denied,offline-or-timeout,success；交易页增加duplicate/unknown-result</x:v>
      </x:c>
      <x:c r="M60" s="4" t="str">
        <x:v>微信小程序真机</x:v>
      </x:c>
      <x:c r="N60" s="4" t="str">
        <x:v>REFERENCE_ASSET_ONLY</x:v>
      </x:c>
      <x:c r="O60" s="4" t="str">
        <x:v>NOT_EXECUTED</x:v>
      </x:c>
      <x:c r="P60" s="4" t="str">
        <x:v>TO_BE_CREATED</x:v>
      </x:c>
      <x:c r="Q60" s="17" t="str">
        <x:v>视觉基线不覆盖业务、权限和状态机</x:v>
      </x:c>
    </x:row>
    <x:row r="61" ht="23" customHeight="1">
      <x:c r="A61" s="4" t="str">
        <x:v>PAGE-060</x:v>
      </x:c>
      <x:c r="B61" s="4" t="str">
        <x:v>CONSUMER_MINIPROGRAM</x:v>
      </x:c>
      <x:c r="C61" s="4" t="str">
        <x:v>售后申请</x:v>
      </x:c>
      <x:c r="D61" s="17" t="str">
        <x:v>/pages/aftersale-apply/index</x:v>
      </x:c>
      <x:c r="E61" s="17" t="str">
        <x:v>福礼社UI设计资产/美团式用户小程序方案/全部22页/12-售后申请.png</x:v>
      </x:c>
      <x:c r="F61" s="4" t="str">
        <x:v>M3</x:v>
      </x:c>
      <x:c r="G61" s="4" t="str">
        <x:v>个人用户</x:v>
      </x:c>
      <x:c r="H61" s="17" t="str">
        <x:v>P0-096</x:v>
      </x:c>
      <x:c r="I61" s="4" t="str">
        <x:v>PUBLIC_OR_ON_DEMAND</x:v>
      </x:c>
      <x:c r="J61" s="17" t="str">
        <x:v>NEVER_RETURN</x:v>
      </x:c>
      <x:c r="K61" s="4" t="str">
        <x:v>consumer</x:v>
      </x:c>
      <x:c r="L61" s="17" t="str">
        <x:v>loading,empty,error,permission-denied,offline-or-timeout,success；交易页增加duplicate/unknown-result</x:v>
      </x:c>
      <x:c r="M61" s="4" t="str">
        <x:v>微信小程序真机</x:v>
      </x:c>
      <x:c r="N61" s="4" t="str">
        <x:v>REFERENCE_ASSET_ONLY</x:v>
      </x:c>
      <x:c r="O61" s="4" t="str">
        <x:v>NOT_EXECUTED</x:v>
      </x:c>
      <x:c r="P61" s="4" t="str">
        <x:v>TO_BE_CREATED</x:v>
      </x:c>
      <x:c r="Q61" s="17" t="str">
        <x:v>视觉基线不覆盖业务、权限和状态机</x:v>
      </x:c>
    </x:row>
    <x:row r="62" ht="23" customHeight="1">
      <x:c r="A62" s="4" t="str">
        <x:v>PAGE-061</x:v>
      </x:c>
      <x:c r="B62" s="4" t="str">
        <x:v>CONSUMER_MINIPROGRAM</x:v>
      </x:c>
      <x:c r="C62" s="4" t="str">
        <x:v>售后详情</x:v>
      </x:c>
      <x:c r="D62" s="17" t="str">
        <x:v>/pages/aftersale-detail/index</x:v>
      </x:c>
      <x:c r="E62" s="17" t="str">
        <x:v>福礼社UI设计资产/美团式用户小程序方案/全部22页/13-售后详情.png</x:v>
      </x:c>
      <x:c r="F62" s="4" t="str">
        <x:v>M3</x:v>
      </x:c>
      <x:c r="G62" s="4" t="str">
        <x:v>个人用户</x:v>
      </x:c>
      <x:c r="H62" s="17" t="str">
        <x:v>P0-096</x:v>
      </x:c>
      <x:c r="I62" s="4" t="str">
        <x:v>PUBLIC_OR_ON_DEMAND</x:v>
      </x:c>
      <x:c r="J62" s="17" t="str">
        <x:v>NEVER_RETURN</x:v>
      </x:c>
      <x:c r="K62" s="4" t="str">
        <x:v>consumer</x:v>
      </x:c>
      <x:c r="L62" s="17" t="str">
        <x:v>loading,empty,error,permission-denied,offline-or-timeout,success；交易页增加duplicate/unknown-result</x:v>
      </x:c>
      <x:c r="M62" s="4" t="str">
        <x:v>微信小程序真机</x:v>
      </x:c>
      <x:c r="N62" s="4" t="str">
        <x:v>REFERENCE_ASSET_ONLY</x:v>
      </x:c>
      <x:c r="O62" s="4" t="str">
        <x:v>NOT_EXECUTED</x:v>
      </x:c>
      <x:c r="P62" s="4" t="str">
        <x:v>TO_BE_CREATED</x:v>
      </x:c>
      <x:c r="Q62" s="17" t="str">
        <x:v>视觉基线不覆盖业务、权限和状态机</x:v>
      </x:c>
    </x:row>
    <x:row r="63" ht="23" customHeight="1">
      <x:c r="A63" s="4" t="str">
        <x:v>PAGE-062</x:v>
      </x:c>
      <x:c r="B63" s="4" t="str">
        <x:v>CONSUMER_MINIPROGRAM</x:v>
      </x:c>
      <x:c r="C63" s="4" t="str">
        <x:v>福利卡首页</x:v>
      </x:c>
      <x:c r="D63" s="17" t="str">
        <x:v>/pages/welfare-card/index</x:v>
      </x:c>
      <x:c r="E63" s="17" t="str">
        <x:v>福礼社UI设计资产/美团式用户小程序方案/全部22页/14-福利卡首页.png</x:v>
      </x:c>
      <x:c r="F63" s="4" t="str">
        <x:v>M3</x:v>
      </x:c>
      <x:c r="G63" s="4" t="str">
        <x:v>个人用户</x:v>
      </x:c>
      <x:c r="H63" s="17" t="str">
        <x:v>P0-052,P0-053,P0-097</x:v>
      </x:c>
      <x:c r="I63" s="4" t="str">
        <x:v>PUBLIC_OR_ON_DEMAND</x:v>
      </x:c>
      <x:c r="J63" s="17" t="str">
        <x:v>NEVER_RETURN</x:v>
      </x:c>
      <x:c r="K63" s="4" t="str">
        <x:v>consumer</x:v>
      </x:c>
      <x:c r="L63" s="17" t="str">
        <x:v>loading,empty,error,permission-denied,offline-or-timeout,success；交易页增加duplicate/unknown-result</x:v>
      </x:c>
      <x:c r="M63" s="4" t="str">
        <x:v>微信小程序真机</x:v>
      </x:c>
      <x:c r="N63" s="4" t="str">
        <x:v>REFERENCE_ASSET_ONLY</x:v>
      </x:c>
      <x:c r="O63" s="4" t="str">
        <x:v>NOT_EXECUTED</x:v>
      </x:c>
      <x:c r="P63" s="4" t="str">
        <x:v>TO_BE_CREATED</x:v>
      </x:c>
      <x:c r="Q63" s="17" t="str">
        <x:v>视觉基线不覆盖业务、权限和状态机</x:v>
      </x:c>
    </x:row>
    <x:row r="64" ht="23" customHeight="1">
      <x:c r="A64" s="4" t="str">
        <x:v>PAGE-063</x:v>
      </x:c>
      <x:c r="B64" s="4" t="str">
        <x:v>CONSUMER_MINIPROGRAM</x:v>
      </x:c>
      <x:c r="C64" s="4" t="str">
        <x:v>福利卡详情</x:v>
      </x:c>
      <x:c r="D64" s="17" t="str">
        <x:v>/pages/welfare-card-detail/index</x:v>
      </x:c>
      <x:c r="E64" s="17" t="str">
        <x:v>福礼社UI设计资产/美团式用户小程序方案/全部22页/15-福利卡详情.png</x:v>
      </x:c>
      <x:c r="F64" s="4" t="str">
        <x:v>M3</x:v>
      </x:c>
      <x:c r="G64" s="4" t="str">
        <x:v>个人用户</x:v>
      </x:c>
      <x:c r="H64" s="17" t="str">
        <x:v>P0-053,P0-059,P0-097</x:v>
      </x:c>
      <x:c r="I64" s="4" t="str">
        <x:v>PUBLIC_OR_ON_DEMAND</x:v>
      </x:c>
      <x:c r="J64" s="17" t="str">
        <x:v>NEVER_RETURN</x:v>
      </x:c>
      <x:c r="K64" s="4" t="str">
        <x:v>consumer</x:v>
      </x:c>
      <x:c r="L64" s="17" t="str">
        <x:v>loading,empty,error,permission-denied,offline-or-timeout,success；交易页增加duplicate/unknown-result</x:v>
      </x:c>
      <x:c r="M64" s="4" t="str">
        <x:v>微信小程序真机</x:v>
      </x:c>
      <x:c r="N64" s="4" t="str">
        <x:v>REFERENCE_ASSET_ONLY</x:v>
      </x:c>
      <x:c r="O64" s="4" t="str">
        <x:v>NOT_EXECUTED</x:v>
      </x:c>
      <x:c r="P64" s="4" t="str">
        <x:v>TO_BE_CREATED</x:v>
      </x:c>
      <x:c r="Q64" s="17" t="str">
        <x:v>视觉基线不覆盖业务、权限和状态机</x:v>
      </x:c>
    </x:row>
    <x:row r="65" ht="23" customHeight="1">
      <x:c r="A65" s="4" t="str">
        <x:v>PAGE-064</x:v>
      </x:c>
      <x:c r="B65" s="4" t="str">
        <x:v>CONSUMER_MINIPROGRAM</x:v>
      </x:c>
      <x:c r="C65" s="4" t="str">
        <x:v>福利卡绑定</x:v>
      </x:c>
      <x:c r="D65" s="17" t="str">
        <x:v>/pages/welfare-card-bind/index</x:v>
      </x:c>
      <x:c r="E65" s="17" t="str">
        <x:v>福礼社UI设计资产/美团式用户小程序方案/全部22页/16-福利卡绑定.png</x:v>
      </x:c>
      <x:c r="F65" s="4" t="str">
        <x:v>M3</x:v>
      </x:c>
      <x:c r="G65" s="4" t="str">
        <x:v>个人用户</x:v>
      </x:c>
      <x:c r="H65" s="17" t="str">
        <x:v>P0-052,P0-097</x:v>
      </x:c>
      <x:c r="I65" s="4" t="str">
        <x:v>PUBLIC_OR_ON_DEMAND</x:v>
      </x:c>
      <x:c r="J65" s="17" t="str">
        <x:v>NEVER_RETURN</x:v>
      </x:c>
      <x:c r="K65" s="4" t="str">
        <x:v>consumer</x:v>
      </x:c>
      <x:c r="L65" s="17" t="str">
        <x:v>loading,empty,error,permission-denied,offline-or-timeout,success；交易页增加duplicate/unknown-result</x:v>
      </x:c>
      <x:c r="M65" s="4" t="str">
        <x:v>微信小程序真机</x:v>
      </x:c>
      <x:c r="N65" s="4" t="str">
        <x:v>REFERENCE_ASSET_ONLY</x:v>
      </x:c>
      <x:c r="O65" s="4" t="str">
        <x:v>NOT_EXECUTED</x:v>
      </x:c>
      <x:c r="P65" s="4" t="str">
        <x:v>TO_BE_CREATED</x:v>
      </x:c>
      <x:c r="Q65" s="17" t="str">
        <x:v>视觉基线不覆盖业务、权限和状态机</x:v>
      </x:c>
    </x:row>
    <x:row r="66" ht="23" customHeight="1">
      <x:c r="A66" s="4" t="str">
        <x:v>PAGE-065</x:v>
      </x:c>
      <x:c r="B66" s="4" t="str">
        <x:v>CONSUMER_MINIPROGRAM</x:v>
      </x:c>
      <x:c r="C66" s="4" t="str">
        <x:v>个人中心</x:v>
      </x:c>
      <x:c r="D66" s="17" t="str">
        <x:v>/pages/profile/index</x:v>
      </x:c>
      <x:c r="E66" s="17" t="str">
        <x:v>福礼社UI设计资产/美团式用户小程序方案/全部22页/17-个人中心.png</x:v>
      </x:c>
      <x:c r="F66" s="4" t="str">
        <x:v>M3</x:v>
      </x:c>
      <x:c r="G66" s="4" t="str">
        <x:v>个人用户</x:v>
      </x:c>
      <x:c r="H66" s="17" t="str">
        <x:v>P0-085,P0-097</x:v>
      </x:c>
      <x:c r="I66" s="4" t="str">
        <x:v>PUBLIC_OR_ON_DEMAND</x:v>
      </x:c>
      <x:c r="J66" s="17" t="str">
        <x:v>NEVER_RETURN</x:v>
      </x:c>
      <x:c r="K66" s="4" t="str">
        <x:v>consumer</x:v>
      </x:c>
      <x:c r="L66" s="17" t="str">
        <x:v>loading,empty,error,permission-denied,offline-or-timeout,success；交易页增加duplicate/unknown-result</x:v>
      </x:c>
      <x:c r="M66" s="4" t="str">
        <x:v>微信小程序真机</x:v>
      </x:c>
      <x:c r="N66" s="4" t="str">
        <x:v>REFERENCE_ASSET_ONLY</x:v>
      </x:c>
      <x:c r="O66" s="4" t="str">
        <x:v>NOT_EXECUTED</x:v>
      </x:c>
      <x:c r="P66" s="4" t="str">
        <x:v>TO_BE_CREATED</x:v>
      </x:c>
      <x:c r="Q66" s="17" t="str">
        <x:v>视觉基线不覆盖业务、权限和状态机</x:v>
      </x:c>
    </x:row>
    <x:row r="67" ht="23" customHeight="1">
      <x:c r="A67" s="4" t="str">
        <x:v>PAGE-066</x:v>
      </x:c>
      <x:c r="B67" s="4" t="str">
        <x:v>CONSUMER_MINIPROGRAM</x:v>
      </x:c>
      <x:c r="C67" s="4" t="str">
        <x:v>地址管理</x:v>
      </x:c>
      <x:c r="D67" s="17" t="str">
        <x:v>/pages/addresses/index</x:v>
      </x:c>
      <x:c r="E67" s="17" t="str">
        <x:v>福礼社UI设计资产/美团式用户小程序方案/全部22页/18-地址管理.png</x:v>
      </x:c>
      <x:c r="F67" s="4" t="str">
        <x:v>M3</x:v>
      </x:c>
      <x:c r="G67" s="4" t="str">
        <x:v>个人用户</x:v>
      </x:c>
      <x:c r="H67" s="17" t="str">
        <x:v>P0-085</x:v>
      </x:c>
      <x:c r="I67" s="4" t="str">
        <x:v>PUBLIC_OR_ON_DEMAND</x:v>
      </x:c>
      <x:c r="J67" s="17" t="str">
        <x:v>NEVER_RETURN</x:v>
      </x:c>
      <x:c r="K67" s="4" t="str">
        <x:v>consumer</x:v>
      </x:c>
      <x:c r="L67" s="17" t="str">
        <x:v>loading,empty,error,permission-denied,offline-or-timeout,success；交易页增加duplicate/unknown-result</x:v>
      </x:c>
      <x:c r="M67" s="4" t="str">
        <x:v>微信小程序真机</x:v>
      </x:c>
      <x:c r="N67" s="4" t="str">
        <x:v>REFERENCE_ASSET_ONLY</x:v>
      </x:c>
      <x:c r="O67" s="4" t="str">
        <x:v>NOT_EXECUTED</x:v>
      </x:c>
      <x:c r="P67" s="4" t="str">
        <x:v>TO_BE_CREATED</x:v>
      </x:c>
      <x:c r="Q67" s="17" t="str">
        <x:v>视觉基线不覆盖业务、权限和状态机</x:v>
      </x:c>
    </x:row>
    <x:row r="68" ht="23" customHeight="1">
      <x:c r="A68" s="4" t="str">
        <x:v>PAGE-067</x:v>
      </x:c>
      <x:c r="B68" s="4" t="str">
        <x:v>CONSUMER_MINIPROGRAM</x:v>
      </x:c>
      <x:c r="C68" s="4" t="str">
        <x:v>发票资料</x:v>
      </x:c>
      <x:c r="D68" s="17" t="str">
        <x:v>/pages/invoices/index</x:v>
      </x:c>
      <x:c r="E68" s="17" t="str">
        <x:v>福礼社UI设计资产/美团式用户小程序方案/全部22页/19-发票资料.png</x:v>
      </x:c>
      <x:c r="F68" s="4" t="str">
        <x:v>M3</x:v>
      </x:c>
      <x:c r="G68" s="4" t="str">
        <x:v>个人用户</x:v>
      </x:c>
      <x:c r="H68" s="17" t="str">
        <x:v>P0-085</x:v>
      </x:c>
      <x:c r="I68" s="4" t="str">
        <x:v>PUBLIC_OR_ON_DEMAND</x:v>
      </x:c>
      <x:c r="J68" s="17" t="str">
        <x:v>NEVER_RETURN</x:v>
      </x:c>
      <x:c r="K68" s="4" t="str">
        <x:v>consumer</x:v>
      </x:c>
      <x:c r="L68" s="17" t="str">
        <x:v>loading,empty,error,permission-denied,offline-or-timeout,success；交易页增加duplicate/unknown-result</x:v>
      </x:c>
      <x:c r="M68" s="4" t="str">
        <x:v>微信小程序真机</x:v>
      </x:c>
      <x:c r="N68" s="4" t="str">
        <x:v>REFERENCE_ASSET_ONLY</x:v>
      </x:c>
      <x:c r="O68" s="4" t="str">
        <x:v>NOT_EXECUTED</x:v>
      </x:c>
      <x:c r="P68" s="4" t="str">
        <x:v>TO_BE_CREATED</x:v>
      </x:c>
      <x:c r="Q68" s="17" t="str">
        <x:v>视觉基线不覆盖业务、权限和状态机</x:v>
      </x:c>
    </x:row>
    <x:row r="69" ht="23" customHeight="1">
      <x:c r="A69" s="4" t="str">
        <x:v>PAGE-068</x:v>
      </x:c>
      <x:c r="B69" s="4" t="str">
        <x:v>CONSUMER_MINIPROGRAM</x:v>
      </x:c>
      <x:c r="C69" s="4" t="str">
        <x:v>消息中心</x:v>
      </x:c>
      <x:c r="D69" s="17" t="str">
        <x:v>/pages/messages/index</x:v>
      </x:c>
      <x:c r="E69" s="17" t="str">
        <x:v>福礼社UI设计资产/美团式用户小程序方案/全部22页/20-消息中心.png</x:v>
      </x:c>
      <x:c r="F69" s="4" t="str">
        <x:v>M3</x:v>
      </x:c>
      <x:c r="G69" s="4" t="str">
        <x:v>个人用户</x:v>
      </x:c>
      <x:c r="H69" s="17" t="str">
        <x:v>P0-094,P0-097</x:v>
      </x:c>
      <x:c r="I69" s="4" t="str">
        <x:v>PUBLIC_OR_ON_DEMAND</x:v>
      </x:c>
      <x:c r="J69" s="17" t="str">
        <x:v>NEVER_RETURN</x:v>
      </x:c>
      <x:c r="K69" s="4" t="str">
        <x:v>consumer</x:v>
      </x:c>
      <x:c r="L69" s="17" t="str">
        <x:v>loading,empty,error,permission-denied,offline-or-timeout,success；交易页增加duplicate/unknown-result</x:v>
      </x:c>
      <x:c r="M69" s="4" t="str">
        <x:v>微信小程序真机</x:v>
      </x:c>
      <x:c r="N69" s="4" t="str">
        <x:v>REFERENCE_ASSET_ONLY</x:v>
      </x:c>
      <x:c r="O69" s="4" t="str">
        <x:v>NOT_EXECUTED</x:v>
      </x:c>
      <x:c r="P69" s="4" t="str">
        <x:v>TO_BE_CREATED</x:v>
      </x:c>
      <x:c r="Q69" s="17" t="str">
        <x:v>视觉基线不覆盖业务、权限和状态机</x:v>
      </x:c>
    </x:row>
    <x:row r="70" ht="23" customHeight="1">
      <x:c r="A70" s="4" t="str">
        <x:v>PAGE-069</x:v>
      </x:c>
      <x:c r="B70" s="4" t="str">
        <x:v>CONSUMER_MINIPROGRAM</x:v>
      </x:c>
      <x:c r="C70" s="4" t="str">
        <x:v>客服中心</x:v>
      </x:c>
      <x:c r="D70" s="17" t="str">
        <x:v>/pages/customer-service/index</x:v>
      </x:c>
      <x:c r="E70" s="17" t="str">
        <x:v>福礼社UI设计资产/美团式用户小程序方案/全部22页/21-客服中心.png</x:v>
      </x:c>
      <x:c r="F70" s="4" t="str">
        <x:v>M3</x:v>
      </x:c>
      <x:c r="G70" s="4" t="str">
        <x:v>个人用户</x:v>
      </x:c>
      <x:c r="H70" s="17" t="str">
        <x:v>P0-096</x:v>
      </x:c>
      <x:c r="I70" s="4" t="str">
        <x:v>PUBLIC_OR_ON_DEMAND</x:v>
      </x:c>
      <x:c r="J70" s="17" t="str">
        <x:v>NEVER_RETURN</x:v>
      </x:c>
      <x:c r="K70" s="4" t="str">
        <x:v>consumer</x:v>
      </x:c>
      <x:c r="L70" s="17" t="str">
        <x:v>loading,empty,error,permission-denied,offline-or-timeout,success；交易页增加duplicate/unknown-result</x:v>
      </x:c>
      <x:c r="M70" s="4" t="str">
        <x:v>微信小程序真机</x:v>
      </x:c>
      <x:c r="N70" s="4" t="str">
        <x:v>REFERENCE_ASSET_ONLY</x:v>
      </x:c>
      <x:c r="O70" s="4" t="str">
        <x:v>NOT_EXECUTED</x:v>
      </x:c>
      <x:c r="P70" s="4" t="str">
        <x:v>TO_BE_CREATED</x:v>
      </x:c>
      <x:c r="Q70" s="17" t="str">
        <x:v>视觉基线不覆盖业务、权限和状态机</x:v>
      </x:c>
    </x:row>
    <x:row r="71" ht="23" customHeight="1">
      <x:c r="A71" s="4" t="str">
        <x:v>PAGE-070</x:v>
      </x:c>
      <x:c r="B71" s="4" t="str">
        <x:v>CONSUMER_MINIPROGRAM</x:v>
      </x:c>
      <x:c r="C71" s="4" t="str">
        <x:v>设置与安全</x:v>
      </x:c>
      <x:c r="D71" s="17" t="str">
        <x:v>/pages/settings/index</x:v>
      </x:c>
      <x:c r="E71" s="17" t="str">
        <x:v>福礼社UI设计资产/美团式用户小程序方案/全部22页/22-设置与安全.png</x:v>
      </x:c>
      <x:c r="F71" s="4" t="str">
        <x:v>M3</x:v>
      </x:c>
      <x:c r="G71" s="4" t="str">
        <x:v>个人用户</x:v>
      </x:c>
      <x:c r="H71" s="17" t="str">
        <x:v>P0-085,P0-098</x:v>
      </x:c>
      <x:c r="I71" s="4" t="str">
        <x:v>PUBLIC_OR_ON_DEMAND</x:v>
      </x:c>
      <x:c r="J71" s="17" t="str">
        <x:v>NEVER_RETURN</x:v>
      </x:c>
      <x:c r="K71" s="4" t="str">
        <x:v>consumer</x:v>
      </x:c>
      <x:c r="L71" s="17" t="str">
        <x:v>loading,empty,error,permission-denied,offline-or-timeout,success；交易页增加duplicate/unknown-result</x:v>
      </x:c>
      <x:c r="M71" s="4" t="str">
        <x:v>微信小程序真机</x:v>
      </x:c>
      <x:c r="N71" s="4" t="str">
        <x:v>REFERENCE_ASSET_ONLY</x:v>
      </x:c>
      <x:c r="O71" s="4" t="str">
        <x:v>NOT_EXECUTED</x:v>
      </x:c>
      <x:c r="P71" s="4" t="str">
        <x:v>TO_BE_CREATED</x:v>
      </x:c>
      <x:c r="Q71" s="17" t="str">
        <x:v>视觉基线不覆盖业务、权限和状态机</x:v>
      </x:c>
    </x:row>
    <x:row r="72" ht="23" customHeight="1">
      <x:c r="A72" s="4" t="str">
        <x:v>PAGE-071</x:v>
      </x:c>
      <x:c r="B72" s="4" t="str">
        <x:v>RUNNER_MINIPROGRAM</x:v>
      </x:c>
      <x:c r="C72" s="4" t="str">
        <x:v>登录</x:v>
      </x:c>
      <x:c r="D72" s="17" t="str">
        <x:v>/pages/login/index</x:v>
      </x:c>
      <x:c r="E72" s="17" t="str">
        <x:v>福礼社UI设计资产/蓝绿供应链暖红福利统一版/跑腿配送小程序/01-登录.png</x:v>
      </x:c>
      <x:c r="F72" s="4" t="str">
        <x:v>M4</x:v>
      </x:c>
      <x:c r="G72" s="4" t="str">
        <x:v>跑腿员</x:v>
      </x:c>
      <x:c r="H72" s="17" t="str">
        <x:v>P0-101</x:v>
      </x:c>
      <x:c r="I72" s="4" t="str">
        <x:v>REQUIRED_FIXED_FUNCTIONAL_SESSION</x:v>
      </x:c>
      <x:c r="J72" s="17" t="str">
        <x:v>NEVER_RETURN</x:v>
      </x:c>
      <x:c r="K72" s="4" t="str">
        <x:v>runner</x:v>
      </x:c>
      <x:c r="L72" s="17" t="str">
        <x:v>loading,empty,error,permission-denied,offline-or-timeout,success；交易页增加duplicate/unknown-result</x:v>
      </x:c>
      <x:c r="M72" s="4" t="str">
        <x:v>微信小程序真机</x:v>
      </x:c>
      <x:c r="N72" s="4" t="str">
        <x:v>REFERENCE_ASSET_ONLY</x:v>
      </x:c>
      <x:c r="O72" s="4" t="str">
        <x:v>NOT_EXECUTED</x:v>
      </x:c>
      <x:c r="P72" s="4" t="str">
        <x:v>TO_BE_CREATED</x:v>
      </x:c>
      <x:c r="Q72" s="17" t="str">
        <x:v>视觉基线不覆盖业务、权限和状态机</x:v>
      </x:c>
    </x:row>
    <x:row r="73" ht="23" customHeight="1">
      <x:c r="A73" s="4" t="str">
        <x:v>PAGE-072</x:v>
      </x:c>
      <x:c r="B73" s="4" t="str">
        <x:v>RUNNER_MINIPROGRAM</x:v>
      </x:c>
      <x:c r="C73" s="4" t="str">
        <x:v>注册申请</x:v>
      </x:c>
      <x:c r="D73" s="17" t="str">
        <x:v>/pages/register/index</x:v>
      </x:c>
      <x:c r="E73" s="17" t="str">
        <x:v>福礼社UI设计资产/蓝绿供应链暖红福利统一版/跑腿配送小程序/02-注册申请.png</x:v>
      </x:c>
      <x:c r="F73" s="4" t="str">
        <x:v>M4</x:v>
      </x:c>
      <x:c r="G73" s="4" t="str">
        <x:v>跑腿员</x:v>
      </x:c>
      <x:c r="H73" s="17" t="str">
        <x:v>P0-100,P0-101</x:v>
      </x:c>
      <x:c r="I73" s="4" t="str">
        <x:v>REQUIRED_FIXED_FUNCTIONAL_SESSION</x:v>
      </x:c>
      <x:c r="J73" s="17" t="str">
        <x:v>NEVER_RETURN</x:v>
      </x:c>
      <x:c r="K73" s="4" t="str">
        <x:v>runner</x:v>
      </x:c>
      <x:c r="L73" s="17" t="str">
        <x:v>loading,empty,error,permission-denied,offline-or-timeout,success；交易页增加duplicate/unknown-result</x:v>
      </x:c>
      <x:c r="M73" s="4" t="str">
        <x:v>微信小程序真机</x:v>
      </x:c>
      <x:c r="N73" s="4" t="str">
        <x:v>REFERENCE_ASSET_ONLY</x:v>
      </x:c>
      <x:c r="O73" s="4" t="str">
        <x:v>NOT_EXECUTED</x:v>
      </x:c>
      <x:c r="P73" s="4" t="str">
        <x:v>TO_BE_CREATED</x:v>
      </x:c>
      <x:c r="Q73" s="17" t="str">
        <x:v>视觉基线不覆盖业务、权限和状态机</x:v>
      </x:c>
    </x:row>
    <x:row r="74" ht="23" customHeight="1">
      <x:c r="A74" s="4" t="str">
        <x:v>PAGE-073</x:v>
      </x:c>
      <x:c r="B74" s="4" t="str">
        <x:v>RUNNER_MINIPROGRAM</x:v>
      </x:c>
      <x:c r="C74" s="4" t="str">
        <x:v>审核进度</x:v>
      </x:c>
      <x:c r="D74" s="17" t="str">
        <x:v>/pages/review-progress/index</x:v>
      </x:c>
      <x:c r="E74" s="17" t="str">
        <x:v>福礼社UI设计资产/蓝绿供应链暖红福利统一版/跑腿配送小程序/03-审核进度.png</x:v>
      </x:c>
      <x:c r="F74" s="4" t="str">
        <x:v>M4</x:v>
      </x:c>
      <x:c r="G74" s="4" t="str">
        <x:v>跑腿员</x:v>
      </x:c>
      <x:c r="H74" s="17" t="str">
        <x:v>P0-100,P0-101</x:v>
      </x:c>
      <x:c r="I74" s="4" t="str">
        <x:v>REQUIRED_FIXED_FUNCTIONAL_SESSION</x:v>
      </x:c>
      <x:c r="J74" s="17" t="str">
        <x:v>NEVER_RETURN</x:v>
      </x:c>
      <x:c r="K74" s="4" t="str">
        <x:v>runner</x:v>
      </x:c>
      <x:c r="L74" s="17" t="str">
        <x:v>loading,empty,error,permission-denied,offline-or-timeout,success；交易页增加duplicate/unknown-result</x:v>
      </x:c>
      <x:c r="M74" s="4" t="str">
        <x:v>微信小程序真机</x:v>
      </x:c>
      <x:c r="N74" s="4" t="str">
        <x:v>REFERENCE_ASSET_ONLY</x:v>
      </x:c>
      <x:c r="O74" s="4" t="str">
        <x:v>NOT_EXECUTED</x:v>
      </x:c>
      <x:c r="P74" s="4" t="str">
        <x:v>TO_BE_CREATED</x:v>
      </x:c>
      <x:c r="Q74" s="17" t="str">
        <x:v>视觉基线不覆盖业务、权限和状态机</x:v>
      </x:c>
    </x:row>
    <x:row r="75" ht="23" customHeight="1">
      <x:c r="A75" s="4" t="str">
        <x:v>PAGE-074</x:v>
      </x:c>
      <x:c r="B75" s="4" t="str">
        <x:v>RUNNER_MINIPROGRAM</x:v>
      </x:c>
      <x:c r="C75" s="4" t="str">
        <x:v>配送首页</x:v>
      </x:c>
      <x:c r="D75" s="17" t="str">
        <x:v>/pages/home/index</x:v>
      </x:c>
      <x:c r="E75" s="17" t="str">
        <x:v>福礼社UI设计资产/蓝绿供应链暖红福利统一版/跑腿配送小程序/04-配送首页.png</x:v>
      </x:c>
      <x:c r="F75" s="4" t="str">
        <x:v>M4</x:v>
      </x:c>
      <x:c r="G75" s="4" t="str">
        <x:v>跑腿员</x:v>
      </x:c>
      <x:c r="H75" s="17" t="str">
        <x:v>P0-101,P0-112</x:v>
      </x:c>
      <x:c r="I75" s="4" t="str">
        <x:v>REQUIRED_FIXED_FUNCTIONAL_SESSION</x:v>
      </x:c>
      <x:c r="J75" s="17" t="str">
        <x:v>NEVER_RETURN</x:v>
      </x:c>
      <x:c r="K75" s="4" t="str">
        <x:v>runner</x:v>
      </x:c>
      <x:c r="L75" s="17" t="str">
        <x:v>loading,empty,error,permission-denied,offline-or-timeout,success；交易页增加duplicate/unknown-result</x:v>
      </x:c>
      <x:c r="M75" s="4" t="str">
        <x:v>微信小程序真机</x:v>
      </x:c>
      <x:c r="N75" s="4" t="str">
        <x:v>REFERENCE_ASSET_ONLY</x:v>
      </x:c>
      <x:c r="O75" s="4" t="str">
        <x:v>NOT_EXECUTED</x:v>
      </x:c>
      <x:c r="P75" s="4" t="str">
        <x:v>TO_BE_CREATED</x:v>
      </x:c>
      <x:c r="Q75" s="17" t="str">
        <x:v>视觉基线不覆盖业务、权限和状态机</x:v>
      </x:c>
    </x:row>
    <x:row r="76" ht="23" customHeight="1">
      <x:c r="A76" s="4" t="str">
        <x:v>PAGE-075</x:v>
      </x:c>
      <x:c r="B76" s="4" t="str">
        <x:v>RUNNER_MINIPROGRAM</x:v>
      </x:c>
      <x:c r="C76" s="4" t="str">
        <x:v>抢单大厅</x:v>
      </x:c>
      <x:c r="D76" s="17" t="str">
        <x:v>/pages/task-hall/index</x:v>
      </x:c>
      <x:c r="E76" s="17" t="str">
        <x:v>福礼社UI设计资产/蓝绿供应链暖红福利统一版/跑腿配送小程序/05-抢单大厅.png</x:v>
      </x:c>
      <x:c r="F76" s="4" t="str">
        <x:v>M4</x:v>
      </x:c>
      <x:c r="G76" s="4" t="str">
        <x:v>跑腿员</x:v>
      </x:c>
      <x:c r="H76" s="17" t="str">
        <x:v>P0-103,P0-104,P0-105</x:v>
      </x:c>
      <x:c r="I76" s="4" t="str">
        <x:v>REQUIRED_FIXED_FUNCTIONAL_SESSION</x:v>
      </x:c>
      <x:c r="J76" s="17" t="str">
        <x:v>NEVER_RETURN</x:v>
      </x:c>
      <x:c r="K76" s="4" t="str">
        <x:v>runner</x:v>
      </x:c>
      <x:c r="L76" s="17" t="str">
        <x:v>loading,empty,error,permission-denied,offline-or-timeout,success；交易页增加duplicate/unknown-result</x:v>
      </x:c>
      <x:c r="M76" s="4" t="str">
        <x:v>微信小程序真机</x:v>
      </x:c>
      <x:c r="N76" s="4" t="str">
        <x:v>REFERENCE_ASSET_ONLY</x:v>
      </x:c>
      <x:c r="O76" s="4" t="str">
        <x:v>NOT_EXECUTED</x:v>
      </x:c>
      <x:c r="P76" s="4" t="str">
        <x:v>TO_BE_CREATED</x:v>
      </x:c>
      <x:c r="Q76" s="17" t="str">
        <x:v>视觉基线不覆盖业务、权限和状态机</x:v>
      </x:c>
    </x:row>
    <x:row r="77" ht="23" customHeight="1">
      <x:c r="A77" s="4" t="str">
        <x:v>PAGE-076</x:v>
      </x:c>
      <x:c r="B77" s="4" t="str">
        <x:v>RUNNER_MINIPROGRAM</x:v>
      </x:c>
      <x:c r="C77" s="4" t="str">
        <x:v>我的任务</x:v>
      </x:c>
      <x:c r="D77" s="17" t="str">
        <x:v>/pages/my-tasks/index</x:v>
      </x:c>
      <x:c r="E77" s="17" t="str">
        <x:v>福礼社UI设计资产/蓝绿供应链暖红福利统一版/跑腿配送小程序/06-我的任务.png</x:v>
      </x:c>
      <x:c r="F77" s="4" t="str">
        <x:v>M4</x:v>
      </x:c>
      <x:c r="G77" s="4" t="str">
        <x:v>跑腿员</x:v>
      </x:c>
      <x:c r="H77" s="17" t="str">
        <x:v>P0-106,P0-110</x:v>
      </x:c>
      <x:c r="I77" s="4" t="str">
        <x:v>REQUIRED_FIXED_FUNCTIONAL_SESSION</x:v>
      </x:c>
      <x:c r="J77" s="17" t="str">
        <x:v>NEVER_RETURN</x:v>
      </x:c>
      <x:c r="K77" s="4" t="str">
        <x:v>runner</x:v>
      </x:c>
      <x:c r="L77" s="17" t="str">
        <x:v>loading,empty,error,permission-denied,offline-or-timeout,success；交易页增加duplicate/unknown-result</x:v>
      </x:c>
      <x:c r="M77" s="4" t="str">
        <x:v>微信小程序真机</x:v>
      </x:c>
      <x:c r="N77" s="4" t="str">
        <x:v>REFERENCE_ASSET_ONLY</x:v>
      </x:c>
      <x:c r="O77" s="4" t="str">
        <x:v>NOT_EXECUTED</x:v>
      </x:c>
      <x:c r="P77" s="4" t="str">
        <x:v>TO_BE_CREATED</x:v>
      </x:c>
      <x:c r="Q77" s="17" t="str">
        <x:v>视觉基线不覆盖业务、权限和状态机</x:v>
      </x:c>
    </x:row>
    <x:row r="78" ht="23" customHeight="1">
      <x:c r="A78" s="4" t="str">
        <x:v>PAGE-077</x:v>
      </x:c>
      <x:c r="B78" s="4" t="str">
        <x:v>RUNNER_MINIPROGRAM</x:v>
      </x:c>
      <x:c r="C78" s="4" t="str">
        <x:v>任务详情</x:v>
      </x:c>
      <x:c r="D78" s="17" t="str">
        <x:v>/pages/task-detail/index</x:v>
      </x:c>
      <x:c r="E78" s="17" t="str">
        <x:v>福礼社UI设计资产/蓝绿供应链暖红福利统一版/跑腿配送小程序/07-任务详情.png</x:v>
      </x:c>
      <x:c r="F78" s="4" t="str">
        <x:v>M4</x:v>
      </x:c>
      <x:c r="G78" s="4" t="str">
        <x:v>跑腿员</x:v>
      </x:c>
      <x:c r="H78" s="17" t="str">
        <x:v>P0-106,P0-107,P0-108,P0-111</x:v>
      </x:c>
      <x:c r="I78" s="4" t="str">
        <x:v>REQUIRED_FIXED_FUNCTIONAL_SESSION</x:v>
      </x:c>
      <x:c r="J78" s="17" t="str">
        <x:v>NEVER_RETURN</x:v>
      </x:c>
      <x:c r="K78" s="4" t="str">
        <x:v>runner</x:v>
      </x:c>
      <x:c r="L78" s="17" t="str">
        <x:v>loading,empty,error,permission-denied,offline-or-timeout,success；交易页增加duplicate/unknown-result</x:v>
      </x:c>
      <x:c r="M78" s="4" t="str">
        <x:v>微信小程序真机</x:v>
      </x:c>
      <x:c r="N78" s="4" t="str">
        <x:v>REFERENCE_ASSET_ONLY</x:v>
      </x:c>
      <x:c r="O78" s="4" t="str">
        <x:v>NOT_EXECUTED</x:v>
      </x:c>
      <x:c r="P78" s="4" t="str">
        <x:v>TO_BE_CREATED</x:v>
      </x:c>
      <x:c r="Q78" s="17" t="str">
        <x:v>视觉基线不覆盖业务、权限和状态机</x:v>
      </x:c>
    </x:row>
    <x:row r="79" ht="23" customHeight="1">
      <x:c r="A79" s="4" t="str">
        <x:v>PAGE-078</x:v>
      </x:c>
      <x:c r="B79" s="4" t="str">
        <x:v>RUNNER_MINIPROGRAM</x:v>
      </x:c>
      <x:c r="C79" s="4" t="str">
        <x:v>异常上报</x:v>
      </x:c>
      <x:c r="D79" s="17" t="str">
        <x:v>/pages/exception-report/index</x:v>
      </x:c>
      <x:c r="E79" s="17" t="str">
        <x:v>福礼社UI设计资产/蓝绿供应链暖红福利统一版/跑腿配送小程序/08-异常上报.png</x:v>
      </x:c>
      <x:c r="F79" s="4" t="str">
        <x:v>M4</x:v>
      </x:c>
      <x:c r="G79" s="4" t="str">
        <x:v>跑腿员</x:v>
      </x:c>
      <x:c r="H79" s="17" t="str">
        <x:v>P0-109</x:v>
      </x:c>
      <x:c r="I79" s="4" t="str">
        <x:v>REQUIRED_FIXED_FUNCTIONAL_SESSION</x:v>
      </x:c>
      <x:c r="J79" s="17" t="str">
        <x:v>NEVER_RETURN</x:v>
      </x:c>
      <x:c r="K79" s="4" t="str">
        <x:v>runner</x:v>
      </x:c>
      <x:c r="L79" s="17" t="str">
        <x:v>loading,empty,error,permission-denied,offline-or-timeout,success；交易页增加duplicate/unknown-result</x:v>
      </x:c>
      <x:c r="M79" s="4" t="str">
        <x:v>微信小程序真机</x:v>
      </x:c>
      <x:c r="N79" s="4" t="str">
        <x:v>REFERENCE_ASSET_ONLY</x:v>
      </x:c>
      <x:c r="O79" s="4" t="str">
        <x:v>NOT_EXECUTED</x:v>
      </x:c>
      <x:c r="P79" s="4" t="str">
        <x:v>TO_BE_CREATED</x:v>
      </x:c>
      <x:c r="Q79" s="17" t="str">
        <x:v>视觉基线不覆盖业务、权限和状态机</x:v>
      </x:c>
    </x:row>
    <x:row r="80" ht="23" customHeight="1">
      <x:c r="A80" s="4" t="str">
        <x:v>PAGE-079</x:v>
      </x:c>
      <x:c r="B80" s="4" t="str">
        <x:v>RUNNER_MINIPROGRAM</x:v>
      </x:c>
      <x:c r="C80" s="4" t="str">
        <x:v>任务记录</x:v>
      </x:c>
      <x:c r="D80" s="17" t="str">
        <x:v>/pages/task-history/index</x:v>
      </x:c>
      <x:c r="E80" s="17" t="str">
        <x:v>福礼社UI设计资产/蓝绿供应链暖红福利统一版/跑腿配送小程序/09-任务记录.png</x:v>
      </x:c>
      <x:c r="F80" s="4" t="str">
        <x:v>M4</x:v>
      </x:c>
      <x:c r="G80" s="4" t="str">
        <x:v>跑腿员</x:v>
      </x:c>
      <x:c r="H80" s="17" t="str">
        <x:v>P0-113</x:v>
      </x:c>
      <x:c r="I80" s="4" t="str">
        <x:v>REQUIRED_FIXED_FUNCTIONAL_SESSION</x:v>
      </x:c>
      <x:c r="J80" s="17" t="str">
        <x:v>NEVER_RETURN</x:v>
      </x:c>
      <x:c r="K80" s="4" t="str">
        <x:v>runner</x:v>
      </x:c>
      <x:c r="L80" s="17" t="str">
        <x:v>loading,empty,error,permission-denied,offline-or-timeout,success；交易页增加duplicate/unknown-result</x:v>
      </x:c>
      <x:c r="M80" s="4" t="str">
        <x:v>微信小程序真机</x:v>
      </x:c>
      <x:c r="N80" s="4" t="str">
        <x:v>REFERENCE_ASSET_ONLY</x:v>
      </x:c>
      <x:c r="O80" s="4" t="str">
        <x:v>NOT_EXECUTED</x:v>
      </x:c>
      <x:c r="P80" s="4" t="str">
        <x:v>TO_BE_CREATED</x:v>
      </x:c>
      <x:c r="Q80" s="17" t="str">
        <x:v>视觉基线不覆盖业务、权限和状态机</x:v>
      </x:c>
    </x:row>
    <x:row r="81" ht="23" customHeight="1">
      <x:c r="A81" s="5" t="str">
        <x:v>PAGE-080</x:v>
      </x:c>
      <x:c r="B81" s="5" t="str">
        <x:v>RUNNER_MINIPROGRAM</x:v>
      </x:c>
      <x:c r="C81" s="5" t="str">
        <x:v>我的</x:v>
      </x:c>
      <x:c r="D81" s="18" t="str">
        <x:v>/pages/profile/index</x:v>
      </x:c>
      <x:c r="E81" s="18" t="str">
        <x:v>福礼社UI设计资产/蓝绿供应链暖红福利统一版/跑腿配送小程序/10-我的.png</x:v>
      </x:c>
      <x:c r="F81" s="5" t="str">
        <x:v>M4</x:v>
      </x:c>
      <x:c r="G81" s="5" t="str">
        <x:v>跑腿员</x:v>
      </x:c>
      <x:c r="H81" s="18" t="str">
        <x:v>P0-112,P0-113,P0-114</x:v>
      </x:c>
      <x:c r="I81" s="5" t="str">
        <x:v>REQUIRED_FIXED_FUNCTIONAL_SESSION</x:v>
      </x:c>
      <x:c r="J81" s="18" t="str">
        <x:v>NEVER_RETURN</x:v>
      </x:c>
      <x:c r="K81" s="5" t="str">
        <x:v>runner</x:v>
      </x:c>
      <x:c r="L81" s="18" t="str">
        <x:v>loading,empty,error,permission-denied,offline-or-timeout,success；交易页增加duplicate/unknown-result</x:v>
      </x:c>
      <x:c r="M81" s="5" t="str">
        <x:v>微信小程序真机</x:v>
      </x:c>
      <x:c r="N81" s="5" t="str">
        <x:v>REFERENCE_ASSET_ONLY</x:v>
      </x:c>
      <x:c r="O81" s="5" t="str">
        <x:v>NOT_EXECUTED</x:v>
      </x:c>
      <x:c r="P81" s="5"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b6a3caded94437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23"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NOT_PROVIDED</x:v>
      </x:c>
      <x:c r="G6" s="17" t="str">
        <x:v>HUMAN_REQUIRED</x:v>
      </x:c>
      <x:c r="H6" s="17" t="str">
        <x:v>敏感资料进入受控存储；执行包仅登记状态</x:v>
      </x:c>
      <x:c r="I6" s="4" t="str">
        <x:v>M1-P001</x:v>
      </x:c>
      <x:c r="J6" s="4" t="str">
        <x:v>YES</x:v>
      </x:c>
      <x:c r="K6" s="4" t="str"/>
      <x:c r="L6" s="4" t="str"/>
      <x:c r="M6" s="4" t="str"/>
      <x:c r="N6" s="17" t="str"/>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t="str"/>
      <x:c r="L8" s="4" t="str"/>
      <x:c r="M8" s="4" t="str"/>
      <x:c r="N8" s="17" t="str"/>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4752852e86b4b5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4" t="str">
        <x:v>EVD-001</x:v>
      </x:c>
      <x:c r="B2" s="4" t="str">
        <x:v>P0-001</x:v>
      </x:c>
      <x:c r="C2" s="4" t="str">
        <x:v>M1</x:v>
      </x:c>
      <x:c r="D2" s="4" t="str">
        <x:v>M1-P001</x:v>
      </x:c>
      <x:c r="E2" s="17" t="str">
        <x:v>AUTOMATED_AND_MANUAL_AS_REQUIRED</x:v>
      </x:c>
      <x:c r="F2" s="4" t="str">
        <x:v>CI_PASS</x:v>
      </x:c>
      <x:c r="G2" s="4" t="str">
        <x:v>NOT_EXECUTED</x:v>
      </x:c>
      <x:c r="H2" s="17" t="str">
        <x:v>在对应切片先登记失败测试ID，再记录focused tests与pnpm verify；真机/预发布按要求执行</x:v>
      </x:c>
      <x:c r="I2" s="17" t="str">
        <x:v>前台销售主体、订单收款主体、退款主体均为江苏福礼团供应链科技有限公司。</x:v>
      </x:c>
      <x:c r="J2" s="17" t="str"/>
      <x:c r="K2" s="4" t="str"/>
      <x:c r="L2" s="4" t="str"/>
      <x:c r="M2" s="4" t="str"/>
      <x:c r="N2" s="4" t="str"/>
      <x:c r="O2" s="17" t="str"/>
      <x:c r="P2" s="17" t="str"/>
      <x:c r="Q2" s="4" t="str"/>
      <x:c r="R2" s="4" t="str">
        <x:v>NO_EVIDENCE_YET</x:v>
      </x:c>
      <x:c r="S2" s="17" t="str"/>
      <x:c r="T2" s="4" t="str">
        <x:v>YES</x:v>
      </x:c>
      <x:c r="U2" s="17" t="str">
        <x:v>不得以旧输出、字符串搜索、页面资产或模型自述替代</x:v>
      </x:c>
    </x:row>
    <x:row r="3" ht="23" customHeight="1">
      <x:c r="A3" s="4" t="str">
        <x:v>EVD-002</x:v>
      </x:c>
      <x:c r="B3" s="4" t="str">
        <x:v>P0-002</x:v>
      </x:c>
      <x:c r="C3" s="4" t="str">
        <x:v>M1</x:v>
      </x:c>
      <x:c r="D3" s="4" t="str">
        <x:v>M1-P002</x:v>
      </x:c>
      <x:c r="E3" s="17" t="str">
        <x:v>AUTOMATED_AND_MANUAL_AS_REQUIRED</x:v>
      </x:c>
      <x:c r="F3" s="4" t="str">
        <x:v>CI_PASS</x:v>
      </x:c>
      <x:c r="G3" s="4" t="str">
        <x:v>NOT_EXECUTED</x:v>
      </x:c>
      <x:c r="H3" s="17" t="str">
        <x:v>在对应切片先登记失败测试ID，再记录focused tests与pnpm verify；真机/预发布按要求执行</x:v>
      </x:c>
      <x:c r="I3" s="17" t="str">
        <x:v>系统无加盟商注册、区域分账、加盟合同和加盟商后台入口。</x:v>
      </x:c>
      <x:c r="J3" s="17" t="str"/>
      <x:c r="K3" s="4" t="str"/>
      <x:c r="L3" s="4" t="str"/>
      <x:c r="M3" s="4" t="str"/>
      <x:c r="N3" s="4" t="str"/>
      <x:c r="O3" s="17" t="str"/>
      <x:c r="P3" s="17" t="str"/>
      <x:c r="Q3" s="4" t="str"/>
      <x:c r="R3" s="4" t="str">
        <x:v>NO_EVIDENCE_YET</x:v>
      </x:c>
      <x:c r="S3" s="17" t="str"/>
      <x:c r="T3" s="4" t="str">
        <x:v>YES</x:v>
      </x:c>
      <x:c r="U3" s="17" t="str">
        <x:v>不得以旧输出、字符串搜索、页面资产或模型自述替代</x:v>
      </x:c>
    </x:row>
    <x:row r="4" ht="23" customHeight="1">
      <x:c r="A4" s="4" t="str">
        <x:v>EVD-003</x:v>
      </x:c>
      <x:c r="B4" s="4" t="str">
        <x:v>P0-003</x:v>
      </x:c>
      <x:c r="C4" s="4" t="str">
        <x:v>M1</x:v>
      </x:c>
      <x:c r="D4" s="4" t="str">
        <x:v>M1-P003</x:v>
      </x:c>
      <x:c r="E4" s="17" t="str">
        <x:v>AUTOMATED_AND_MANUAL_AS_REQUIRED</x:v>
      </x:c>
      <x:c r="F4" s="4" t="str">
        <x:v>CI_PASS</x:v>
      </x:c>
      <x:c r="G4" s="4" t="str">
        <x:v>NOT_EXECUTED</x:v>
      </x:c>
      <x:c r="H4" s="17" t="str">
        <x:v>在对应切片先登记失败测试ID，再记录focused tests与pnpm verify；真机/预发布按要求执行</x:v>
      </x:c>
      <x:c r="I4" s="17" t="str">
        <x:v>供应商可注册、补资料、提交审核，并看到草稿、待审、补正、启用等状态。</x:v>
      </x:c>
      <x:c r="J4" s="17" t="str"/>
      <x:c r="K4" s="4" t="str"/>
      <x:c r="L4" s="4" t="str"/>
      <x:c r="M4" s="4" t="str"/>
      <x:c r="N4" s="4" t="str"/>
      <x:c r="O4" s="17" t="str"/>
      <x:c r="P4" s="17" t="str"/>
      <x:c r="Q4" s="4" t="str"/>
      <x:c r="R4" s="4" t="str">
        <x:v>NO_EVIDENCE_YET</x:v>
      </x:c>
      <x:c r="S4" s="17" t="str"/>
      <x:c r="T4" s="4" t="str">
        <x:v>YES</x:v>
      </x:c>
      <x:c r="U4" s="17" t="str">
        <x:v>不得以旧输出、字符串搜索、页面资产或模型自述替代</x:v>
      </x:c>
    </x:row>
    <x:row r="5" ht="23" customHeight="1">
      <x:c r="A5" s="4" t="str">
        <x:v>EVD-004</x:v>
      </x:c>
      <x:c r="B5" s="4" t="str">
        <x:v>P0-004</x:v>
      </x:c>
      <x:c r="C5" s="4" t="str">
        <x:v>M1</x:v>
      </x:c>
      <x:c r="D5" s="4" t="str">
        <x:v>M1-P004</x:v>
      </x:c>
      <x:c r="E5" s="17" t="str">
        <x:v>AUTOMATED_AND_MANUAL_AS_REQUIRED</x:v>
      </x:c>
      <x:c r="F5" s="4" t="str">
        <x:v>CI_PASS</x:v>
      </x:c>
      <x:c r="G5" s="4" t="str">
        <x:v>NOT_EXECUTED</x:v>
      </x:c>
      <x:c r="H5" s="17" t="str">
        <x:v>在对应切片先登记失败测试ID，再记录focused tests与pnpm verify；真机/预发布按要求执行</x:v>
      </x:c>
      <x:c r="I5" s="17" t="str">
        <x:v>供应商不能访问其他供应商的商品、订单、库存、对账和账号。</x:v>
      </x:c>
      <x:c r="J5" s="17" t="str"/>
      <x:c r="K5" s="4" t="str"/>
      <x:c r="L5" s="4" t="str"/>
      <x:c r="M5" s="4" t="str"/>
      <x:c r="N5" s="4" t="str"/>
      <x:c r="O5" s="17" t="str"/>
      <x:c r="P5" s="17" t="str"/>
      <x:c r="Q5" s="4" t="str"/>
      <x:c r="R5" s="4" t="str">
        <x:v>NO_EVIDENCE_YET</x:v>
      </x:c>
      <x:c r="S5" s="17" t="str"/>
      <x:c r="T5" s="4" t="str">
        <x:v>YES</x:v>
      </x:c>
      <x:c r="U5" s="17" t="str">
        <x:v>不得以旧输出、字符串搜索、页面资产或模型自述替代</x:v>
      </x:c>
    </x:row>
    <x:row r="6" ht="23" customHeight="1">
      <x:c r="A6" s="4" t="str">
        <x:v>EVD-005</x:v>
      </x:c>
      <x:c r="B6" s="4" t="str">
        <x:v>P0-005</x:v>
      </x:c>
      <x:c r="C6" s="4" t="str">
        <x:v>M1</x:v>
      </x:c>
      <x:c r="D6" s="4" t="str">
        <x:v>M1-P005</x:v>
      </x:c>
      <x:c r="E6" s="17" t="str">
        <x:v>AUTOMATED_AND_MANUAL_AS_REQUIRED</x:v>
      </x:c>
      <x:c r="F6" s="4" t="str">
        <x:v>CI_PASS</x:v>
      </x:c>
      <x:c r="G6" s="4" t="str">
        <x:v>NOT_EXECUTED</x:v>
      </x:c>
      <x:c r="H6" s="17" t="str">
        <x:v>在对应切片先登记失败测试ID，再记录focused tests与pnpm verify；真机/预发布按要求执行</x:v>
      </x:c>
      <x:c r="I6" s="17" t="str">
        <x:v>主体、商品、价格、库存、履约、售后、财务和审计分别使用独立职能账号与固定页面，敏感账户变更需二次验证。</x:v>
      </x:c>
      <x:c r="J6" s="17" t="str"/>
      <x:c r="K6" s="4" t="str"/>
      <x:c r="L6" s="4" t="str"/>
      <x:c r="M6" s="4" t="str"/>
      <x:c r="N6" s="4" t="str"/>
      <x:c r="O6" s="17" t="str"/>
      <x:c r="P6" s="17" t="str"/>
      <x:c r="Q6" s="4" t="str"/>
      <x:c r="R6" s="4" t="str">
        <x:v>NO_EVIDENCE_YET</x:v>
      </x:c>
      <x:c r="S6" s="17" t="str"/>
      <x:c r="T6" s="4" t="str">
        <x:v>YES</x:v>
      </x:c>
      <x:c r="U6" s="17" t="str">
        <x:v>不得以旧输出、字符串搜索、页面资产或模型自述替代</x:v>
      </x:c>
    </x:row>
    <x:row r="7" ht="23" customHeight="1">
      <x:c r="A7" s="4" t="str">
        <x:v>EVD-006</x:v>
      </x:c>
      <x:c r="B7" s="4" t="str">
        <x:v>P0-006</x:v>
      </x:c>
      <x:c r="C7" s="4" t="str">
        <x:v>M2</x:v>
      </x:c>
      <x:c r="D7" s="4" t="str">
        <x:v>M2-P006</x:v>
      </x:c>
      <x:c r="E7" s="17" t="str">
        <x:v>AUTOMATED_AND_MANUAL_AS_REQUIRED</x:v>
      </x:c>
      <x:c r="F7" s="4" t="str">
        <x:v>CI_PASS</x:v>
      </x:c>
      <x:c r="G7" s="4" t="str">
        <x:v>NOT_EXECUTED</x:v>
      </x:c>
      <x:c r="H7" s="17" t="str">
        <x:v>在对应切片先登记失败测试ID，再记录focused tests与pnpm verify；真机/预发布按要求执行</x:v>
      </x:c>
      <x:c r="I7" s="17" t="str">
        <x:v>供应商提交 SupplierProduct，公司审核后才产生/更新可售 Product/Sku。</x:v>
      </x:c>
      <x:c r="J7" s="17" t="str"/>
      <x:c r="K7" s="4" t="str"/>
      <x:c r="L7" s="4" t="str"/>
      <x:c r="M7" s="4" t="str"/>
      <x:c r="N7" s="4" t="str"/>
      <x:c r="O7" s="17" t="str"/>
      <x:c r="P7" s="17" t="str"/>
      <x:c r="Q7" s="4" t="str"/>
      <x:c r="R7" s="4" t="str">
        <x:v>NO_EVIDENCE_YET</x:v>
      </x:c>
      <x:c r="S7" s="17" t="str"/>
      <x:c r="T7" s="4" t="str">
        <x:v>YES</x:v>
      </x:c>
      <x:c r="U7" s="17" t="str">
        <x:v>不得以旧输出、字符串搜索、页面资产或模型自述替代</x:v>
      </x:c>
    </x:row>
    <x:row r="8" ht="23" customHeight="1">
      <x:c r="A8" s="4" t="str">
        <x:v>EVD-007</x:v>
      </x:c>
      <x:c r="B8" s="4" t="str">
        <x:v>P0-007</x:v>
      </x:c>
      <x:c r="C8" s="4" t="str">
        <x:v>M2</x:v>
      </x:c>
      <x:c r="D8" s="4" t="str">
        <x:v>M2-P007</x:v>
      </x:c>
      <x:c r="E8" s="17" t="str">
        <x:v>AUTOMATED_AND_MANUAL_AS_REQUIRED</x:v>
      </x:c>
      <x:c r="F8" s="4" t="str">
        <x:v>CI_PASS</x:v>
      </x:c>
      <x:c r="G8" s="4"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t="str"/>
      <x:c r="K8" s="4" t="str"/>
      <x:c r="L8" s="4" t="str"/>
      <x:c r="M8" s="4" t="str"/>
      <x:c r="N8" s="4" t="str"/>
      <x:c r="O8" s="17" t="str"/>
      <x:c r="P8" s="17" t="str"/>
      <x:c r="Q8" s="4" t="str"/>
      <x:c r="R8" s="4" t="str">
        <x:v>NO_EVIDENCE_YET</x:v>
      </x:c>
      <x:c r="S8" s="17" t="str"/>
      <x:c r="T8" s="4" t="str">
        <x:v>YES</x:v>
      </x:c>
      <x:c r="U8" s="17" t="str">
        <x:v>不得以旧输出、字符串搜索、页面资产或模型自述替代</x:v>
      </x:c>
    </x:row>
    <x:row r="9" ht="23" customHeight="1">
      <x:c r="A9" s="4" t="str">
        <x:v>EVD-008</x:v>
      </x:c>
      <x:c r="B9" s="4" t="str">
        <x:v>P0-008</x:v>
      </x:c>
      <x:c r="C9" s="4" t="str">
        <x:v>M2</x:v>
      </x:c>
      <x:c r="D9" s="4" t="str">
        <x:v>M2-P008</x:v>
      </x:c>
      <x:c r="E9" s="17" t="str">
        <x:v>AUTOMATED_AND_MANUAL_AS_REQUIRED</x:v>
      </x:c>
      <x:c r="F9" s="4" t="str">
        <x:v>CI_PASS</x:v>
      </x:c>
      <x:c r="G9" s="4"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t="str"/>
      <x:c r="K9" s="4" t="str"/>
      <x:c r="L9" s="4" t="str"/>
      <x:c r="M9" s="4" t="str"/>
      <x:c r="N9" s="4" t="str"/>
      <x:c r="O9" s="17" t="str"/>
      <x:c r="P9" s="17" t="str"/>
      <x:c r="Q9" s="4" t="str"/>
      <x:c r="R9" s="4" t="str">
        <x:v>NO_EVIDENCE_YET</x:v>
      </x:c>
      <x:c r="S9" s="17" t="str"/>
      <x:c r="T9" s="4" t="str">
        <x:v>YES</x:v>
      </x:c>
      <x:c r="U9" s="17" t="str">
        <x:v>不得以旧输出、字符串搜索、页面资产或模型自述替代</x:v>
      </x:c>
    </x:row>
    <x:row r="10" ht="23" customHeight="1">
      <x:c r="A10" s="4" t="str">
        <x:v>EVD-009</x:v>
      </x:c>
      <x:c r="B10" s="4" t="str">
        <x:v>P0-009</x:v>
      </x:c>
      <x:c r="C10" s="4" t="str">
        <x:v>M2</x:v>
      </x:c>
      <x:c r="D10" s="4" t="str">
        <x:v>M2-P009</x:v>
      </x:c>
      <x:c r="E10" s="17" t="str">
        <x:v>AUTOMATED_AND_MANUAL_AS_REQUIRED</x:v>
      </x:c>
      <x:c r="F10" s="4" t="str">
        <x:v>CI_PASS</x:v>
      </x:c>
      <x:c r="G10" s="4" t="str">
        <x:v>NOT_EXECUTED</x:v>
      </x:c>
      <x:c r="H10" s="17" t="str">
        <x:v>在对应切片先登记失败测试ID，再记录focused tests与pnpm verify；真机/预发布按要求执行</x:v>
      </x:c>
      <x:c r="I10" s="17" t="str">
        <x:v>不存在供应商装修页、独立结算、店铺优惠券和供应商收款入口。</x:v>
      </x:c>
      <x:c r="J10" s="17" t="str"/>
      <x:c r="K10" s="4" t="str"/>
      <x:c r="L10" s="4" t="str"/>
      <x:c r="M10" s="4" t="str"/>
      <x:c r="N10" s="4" t="str"/>
      <x:c r="O10" s="17" t="str"/>
      <x:c r="P10" s="17" t="str"/>
      <x:c r="Q10" s="4" t="str"/>
      <x:c r="R10" s="4" t="str">
        <x:v>NO_EVIDENCE_YET</x:v>
      </x:c>
      <x:c r="S10" s="17" t="str"/>
      <x:c r="T10" s="4" t="str">
        <x:v>YES</x:v>
      </x:c>
      <x:c r="U10" s="17" t="str">
        <x:v>不得以旧输出、字符串搜索、页面资产或模型自述替代</x:v>
      </x:c>
    </x:row>
    <x:row r="11" ht="23" customHeight="1">
      <x:c r="A11" s="4" t="str">
        <x:v>EVD-010</x:v>
      </x:c>
      <x:c r="B11" s="4" t="str">
        <x:v>P0-010</x:v>
      </x:c>
      <x:c r="C11" s="4" t="str">
        <x:v>M2</x:v>
      </x:c>
      <x:c r="D11" s="4" t="str">
        <x:v>M2-P010</x:v>
      </x:c>
      <x:c r="E11" s="17" t="str">
        <x:v>AUTOMATED_AND_MANUAL_AS_REQUIRED</x:v>
      </x:c>
      <x:c r="F11" s="4" t="str">
        <x:v>CI_PASS</x:v>
      </x:c>
      <x:c r="G11" s="4" t="str">
        <x:v>NOT_EXECUTED</x:v>
      </x:c>
      <x:c r="H11" s="17" t="str">
        <x:v>在对应切片先登记失败测试ID，再记录focused tests与pnpm verify；真机/预发布按要求执行</x:v>
      </x:c>
      <x:c r="I11" s="17" t="str">
        <x:v>按 supplierId 筛选公司已上架商品，销售主体和统一货架不改变。</x:v>
      </x:c>
      <x:c r="J11" s="17" t="str"/>
      <x:c r="K11" s="4" t="str"/>
      <x:c r="L11" s="4" t="str"/>
      <x:c r="M11" s="4" t="str"/>
      <x:c r="N11" s="4" t="str"/>
      <x:c r="O11" s="17" t="str"/>
      <x:c r="P11" s="17" t="str"/>
      <x:c r="Q11" s="4" t="str"/>
      <x:c r="R11" s="4" t="str">
        <x:v>NO_EVIDENCE_YET</x:v>
      </x:c>
      <x:c r="S11" s="17" t="str"/>
      <x:c r="T11" s="4" t="str">
        <x:v>YES</x:v>
      </x:c>
      <x:c r="U11" s="17" t="str">
        <x:v>不得以旧输出、字符串搜索、页面资产或模型自述替代</x:v>
      </x:c>
    </x:row>
    <x:row r="12" ht="23" customHeight="1">
      <x:c r="A12" s="4" t="str">
        <x:v>EVD-011</x:v>
      </x:c>
      <x:c r="B12" s="4" t="str">
        <x:v>P0-011</x:v>
      </x:c>
      <x:c r="C12" s="4" t="str">
        <x:v>M2</x:v>
      </x:c>
      <x:c r="D12" s="4" t="str">
        <x:v>M2-P011</x:v>
      </x:c>
      <x:c r="E12" s="17" t="str">
        <x:v>AUTOMATED_AND_MANUAL_AS_REQUIRED</x:v>
      </x:c>
      <x:c r="F12" s="4" t="str">
        <x:v>CI_PASS</x:v>
      </x:c>
      <x:c r="G12" s="4" t="str">
        <x:v>NOT_EXECUTED</x:v>
      </x:c>
      <x:c r="H12" s="17" t="str">
        <x:v>在对应切片先登记失败测试ID，再记录focused tests与pnpm verify；真机/预发布按要求执行</x:v>
      </x:c>
      <x:c r="I12" s="17" t="str">
        <x:v>商品必须绑定启用的末级分类，分类支持排序、停用和历史引用保护。</x:v>
      </x:c>
      <x:c r="J12" s="17" t="str"/>
      <x:c r="K12" s="4" t="str"/>
      <x:c r="L12" s="4" t="str"/>
      <x:c r="M12" s="4" t="str"/>
      <x:c r="N12" s="4" t="str"/>
      <x:c r="O12" s="17" t="str"/>
      <x:c r="P12" s="17" t="str"/>
      <x:c r="Q12" s="4" t="str"/>
      <x:c r="R12" s="4" t="str">
        <x:v>NO_EVIDENCE_YET</x:v>
      </x:c>
      <x:c r="S12" s="17" t="str"/>
      <x:c r="T12" s="4" t="str">
        <x:v>YES</x:v>
      </x:c>
      <x:c r="U12" s="17" t="str">
        <x:v>不得以旧输出、字符串搜索、页面资产或模型自述替代</x:v>
      </x:c>
    </x:row>
    <x:row r="13" ht="23" customHeight="1">
      <x:c r="A13" s="4" t="str">
        <x:v>EVD-012</x:v>
      </x:c>
      <x:c r="B13" s="4" t="str">
        <x:v>P0-012</x:v>
      </x:c>
      <x:c r="C13" s="4" t="str">
        <x:v>M2</x:v>
      </x:c>
      <x:c r="D13" s="4" t="str">
        <x:v>M2-P012</x:v>
      </x:c>
      <x:c r="E13" s="17" t="str">
        <x:v>AUTOMATED_AND_MANUAL_AS_REQUIRED</x:v>
      </x:c>
      <x:c r="F13" s="4" t="str">
        <x:v>CI_PASS</x:v>
      </x:c>
      <x:c r="G13" s="4" t="str">
        <x:v>NOT_EXECUTED</x:v>
      </x:c>
      <x:c r="H13" s="17" t="str">
        <x:v>在对应切片先登记失败测试ID，再记录focused tests与pnpm verify；真机/预发布按要求执行</x:v>
      </x:c>
      <x:c r="I13" s="17" t="str">
        <x:v>末级分类绑定模板版本，决定必填字段、SKU、资质和详情模块。</x:v>
      </x:c>
      <x:c r="J13" s="17" t="str"/>
      <x:c r="K13" s="4" t="str"/>
      <x:c r="L13" s="4" t="str"/>
      <x:c r="M13" s="4" t="str"/>
      <x:c r="N13" s="4" t="str"/>
      <x:c r="O13" s="17" t="str"/>
      <x:c r="P13" s="17" t="str"/>
      <x:c r="Q13" s="4" t="str"/>
      <x:c r="R13" s="4" t="str">
        <x:v>NO_EVIDENCE_YET</x:v>
      </x:c>
      <x:c r="S13" s="17" t="str"/>
      <x:c r="T13" s="4" t="str">
        <x:v>YES</x:v>
      </x:c>
      <x:c r="U13" s="17" t="str">
        <x:v>不得以旧输出、字符串搜索、页面资产或模型自述替代</x:v>
      </x:c>
    </x:row>
    <x:row r="14" ht="23" customHeight="1">
      <x:c r="A14" s="4" t="str">
        <x:v>EVD-013</x:v>
      </x:c>
      <x:c r="B14" s="4" t="str">
        <x:v>P0-013</x:v>
      </x:c>
      <x:c r="C14" s="4" t="str">
        <x:v>M2</x:v>
      </x:c>
      <x:c r="D14" s="4" t="str">
        <x:v>M2-P013</x:v>
      </x:c>
      <x:c r="E14" s="17" t="str">
        <x:v>AUTOMATED_AND_MANUAL_AS_REQUIRED</x:v>
      </x:c>
      <x:c r="F14" s="4" t="str">
        <x:v>CI_PASS</x:v>
      </x:c>
      <x:c r="G14" s="4" t="str">
        <x:v>NOT_EXECUTED</x:v>
      </x:c>
      <x:c r="H14" s="17" t="str">
        <x:v>在对应切片先登记失败测试ID，再记录focused tests与pnpm verify；真机/预发布按要求执行</x:v>
      </x:c>
      <x:c r="I14" s="17" t="str">
        <x:v>配料、营养、许可、保质期、储存和过敏原按模板展示。</x:v>
      </x:c>
      <x:c r="J14" s="17" t="str"/>
      <x:c r="K14" s="4" t="str"/>
      <x:c r="L14" s="4" t="str"/>
      <x:c r="M14" s="4" t="str"/>
      <x:c r="N14" s="4" t="str"/>
      <x:c r="O14" s="17" t="str"/>
      <x:c r="P14" s="17" t="str"/>
      <x:c r="Q14" s="4" t="str"/>
      <x:c r="R14" s="4" t="str">
        <x:v>NO_EVIDENCE_YET</x:v>
      </x:c>
      <x:c r="S14" s="17" t="str"/>
      <x:c r="T14" s="4" t="str">
        <x:v>YES</x:v>
      </x:c>
      <x:c r="U14" s="17" t="str">
        <x:v>不得以旧输出、字符串搜索、页面资产或模型自述替代</x:v>
      </x:c>
    </x:row>
    <x:row r="15" ht="23" customHeight="1">
      <x:c r="A15" s="4" t="str">
        <x:v>EVD-014</x:v>
      </x:c>
      <x:c r="B15" s="4" t="str">
        <x:v>P0-014</x:v>
      </x:c>
      <x:c r="C15" s="4" t="str">
        <x:v>M2</x:v>
      </x:c>
      <x:c r="D15" s="4" t="str">
        <x:v>M2-P014</x:v>
      </x:c>
      <x:c r="E15" s="17" t="str">
        <x:v>AUTOMATED_AND_MANUAL_AS_REQUIRED</x:v>
      </x:c>
      <x:c r="F15" s="4" t="str">
        <x:v>CI_PASS</x:v>
      </x:c>
      <x:c r="G15" s="4" t="str">
        <x:v>NOT_EXECUTED</x:v>
      </x:c>
      <x:c r="H15" s="17" t="str">
        <x:v>在对应切片先登记失败测试ID，再记录focused tests与pnpm verify；真机/预发布按要求执行</x:v>
      </x:c>
      <x:c r="I15" s="17" t="str">
        <x:v>产地、等级、保鲜、温区、称重和售后规则按模板展示。</x:v>
      </x:c>
      <x:c r="J15" s="17" t="str"/>
      <x:c r="K15" s="4" t="str"/>
      <x:c r="L15" s="4" t="str"/>
      <x:c r="M15" s="4" t="str"/>
      <x:c r="N15" s="4" t="str"/>
      <x:c r="O15" s="17" t="str"/>
      <x:c r="P15" s="17" t="str"/>
      <x:c r="Q15" s="4" t="str"/>
      <x:c r="R15" s="4" t="str">
        <x:v>NO_EVIDENCE_YET</x:v>
      </x:c>
      <x:c r="S15" s="17" t="str"/>
      <x:c r="T15" s="4" t="str">
        <x:v>YES</x:v>
      </x:c>
      <x:c r="U15" s="17" t="str">
        <x:v>不得以旧输出、字符串搜索、页面资产或模型自述替代</x:v>
      </x:c>
    </x:row>
    <x:row r="16" ht="23" customHeight="1">
      <x:c r="A16" s="4" t="str">
        <x:v>EVD-015</x:v>
      </x:c>
      <x:c r="B16" s="4" t="str">
        <x:v>P0-015</x:v>
      </x:c>
      <x:c r="C16" s="4" t="str">
        <x:v>M2</x:v>
      </x:c>
      <x:c r="D16" s="4" t="str">
        <x:v>M2-P015</x:v>
      </x:c>
      <x:c r="E16" s="17" t="str">
        <x:v>AUTOMATED_AND_MANUAL_AS_REQUIRED</x:v>
      </x:c>
      <x:c r="F16" s="4" t="str">
        <x:v>CI_PASS</x:v>
      </x:c>
      <x:c r="G16" s="4" t="str">
        <x:v>NOT_EXECUTED</x:v>
      </x:c>
      <x:c r="H16" s="17" t="str">
        <x:v>在对应切片先登记失败测试ID，再记录focused tests与pnpm verify；真机/预发布按要求执行</x:v>
      </x:c>
      <x:c r="I16" s="17" t="str">
        <x:v>颜色尺码 SKU、材质、尺码表和洗护说明完整。</x:v>
      </x:c>
      <x:c r="J16" s="17" t="str"/>
      <x:c r="K16" s="4" t="str"/>
      <x:c r="L16" s="4" t="str"/>
      <x:c r="M16" s="4" t="str"/>
      <x:c r="N16" s="4" t="str"/>
      <x:c r="O16" s="17" t="str"/>
      <x:c r="P16" s="17" t="str"/>
      <x:c r="Q16" s="4" t="str"/>
      <x:c r="R16" s="4" t="str">
        <x:v>NO_EVIDENCE_YET</x:v>
      </x:c>
      <x:c r="S16" s="17" t="str"/>
      <x:c r="T16" s="4" t="str">
        <x:v>YES</x:v>
      </x:c>
      <x:c r="U16" s="17" t="str">
        <x:v>不得以旧输出、字符串搜索、页面资产或模型自述替代</x:v>
      </x:c>
    </x:row>
    <x:row r="17" ht="23" customHeight="1">
      <x:c r="A17" s="4" t="str">
        <x:v>EVD-016</x:v>
      </x:c>
      <x:c r="B17" s="4" t="str">
        <x:v>P0-016</x:v>
      </x:c>
      <x:c r="C17" s="4" t="str">
        <x:v>M2</x:v>
      </x:c>
      <x:c r="D17" s="4" t="str">
        <x:v>M2-P016</x:v>
      </x:c>
      <x:c r="E17" s="17" t="str">
        <x:v>AUTOMATED_AND_MANUAL_AS_REQUIRED</x:v>
      </x:c>
      <x:c r="F17" s="4" t="str">
        <x:v>CI_PASS</x:v>
      </x:c>
      <x:c r="G17" s="4" t="str">
        <x:v>NOT_EXECUTED</x:v>
      </x:c>
      <x:c r="H17" s="17" t="str">
        <x:v>在对应切片先登记失败测试ID，再记录focused tests与pnpm verify；真机/预发布按要求执行</x:v>
      </x:c>
      <x:c r="I17" s="17" t="str">
        <x:v>型号、参数、能效、包装清单和保修信息完整。</x:v>
      </x:c>
      <x:c r="J17" s="17" t="str"/>
      <x:c r="K17" s="4" t="str"/>
      <x:c r="L17" s="4" t="str"/>
      <x:c r="M17" s="4" t="str"/>
      <x:c r="N17" s="4" t="str"/>
      <x:c r="O17" s="17" t="str"/>
      <x:c r="P17" s="17" t="str"/>
      <x:c r="Q17" s="4" t="str"/>
      <x:c r="R17" s="4" t="str">
        <x:v>NO_EVIDENCE_YET</x:v>
      </x:c>
      <x:c r="S17" s="17" t="str"/>
      <x:c r="T17" s="4" t="str">
        <x:v>YES</x:v>
      </x:c>
      <x:c r="U17" s="17" t="str">
        <x:v>不得以旧输出、字符串搜索、页面资产或模型自述替代</x:v>
      </x:c>
    </x:row>
    <x:row r="18" ht="23" customHeight="1">
      <x:c r="A18" s="4" t="str">
        <x:v>EVD-017</x:v>
      </x:c>
      <x:c r="B18" s="4" t="str">
        <x:v>P0-017</x:v>
      </x:c>
      <x:c r="C18" s="4" t="str">
        <x:v>M2</x:v>
      </x:c>
      <x:c r="D18" s="4" t="str">
        <x:v>M2-P017</x:v>
      </x:c>
      <x:c r="E18" s="17" t="str">
        <x:v>AUTOMATED_AND_MANUAL_AS_REQUIRED</x:v>
      </x:c>
      <x:c r="F18" s="4" t="str">
        <x:v>CI_PASS</x:v>
      </x:c>
      <x:c r="G18" s="4" t="str">
        <x:v>NOT_EXECUTED</x:v>
      </x:c>
      <x:c r="H18" s="17" t="str">
        <x:v>在对应切片先登记失败测试ID，再记录focused tests与pnpm verify；真机/预发布按要求执行</x:v>
      </x:c>
      <x:c r="I18" s="17" t="str">
        <x:v>组合商品明确展示子项、数量、规格和有效期下限。</x:v>
      </x:c>
      <x:c r="J18" s="17" t="str"/>
      <x:c r="K18" s="4" t="str"/>
      <x:c r="L18" s="4" t="str"/>
      <x:c r="M18" s="4" t="str"/>
      <x:c r="N18" s="4" t="str"/>
      <x:c r="O18" s="17" t="str"/>
      <x:c r="P18" s="17" t="str"/>
      <x:c r="Q18" s="4" t="str"/>
      <x:c r="R18" s="4" t="str">
        <x:v>NO_EVIDENCE_YET</x:v>
      </x:c>
      <x:c r="S18" s="17" t="str"/>
      <x:c r="T18" s="4" t="str">
        <x:v>YES</x:v>
      </x:c>
      <x:c r="U18" s="17" t="str">
        <x:v>不得以旧输出、字符串搜索、页面资产或模型自述替代</x:v>
      </x:c>
    </x:row>
    <x:row r="19" ht="23" customHeight="1">
      <x:c r="A19" s="4" t="str">
        <x:v>EVD-018</x:v>
      </x:c>
      <x:c r="B19" s="4" t="str">
        <x:v>P0-018</x:v>
      </x:c>
      <x:c r="C19" s="4" t="str">
        <x:v>M2</x:v>
      </x:c>
      <x:c r="D19" s="4" t="str">
        <x:v>M2-P018</x:v>
      </x:c>
      <x:c r="E19" s="17" t="str">
        <x:v>AUTOMATED_AND_MANUAL_AS_REQUIRED</x:v>
      </x:c>
      <x:c r="F19" s="4" t="str">
        <x:v>CI_PASS</x:v>
      </x:c>
      <x:c r="G19" s="4" t="str">
        <x:v>NOT_EXECUTED</x:v>
      </x:c>
      <x:c r="H19" s="17" t="str">
        <x:v>在对应切片先登记失败测试ID，再记录focused tests与pnpm verify；真机/预发布按要求执行</x:v>
      </x:c>
      <x:c r="I19" s="17" t="str">
        <x:v>未配置公司资质、模板和人工开关的高风险品类不能交易。</x:v>
      </x:c>
      <x:c r="J19" s="17" t="str"/>
      <x:c r="K19" s="4" t="str"/>
      <x:c r="L19" s="4" t="str"/>
      <x:c r="M19" s="4" t="str"/>
      <x:c r="N19" s="4" t="str"/>
      <x:c r="O19" s="17" t="str"/>
      <x:c r="P19" s="17" t="str"/>
      <x:c r="Q19" s="4" t="str"/>
      <x:c r="R19" s="4" t="str">
        <x:v>NO_EVIDENCE_YET</x:v>
      </x:c>
      <x:c r="S19" s="17" t="str"/>
      <x:c r="T19" s="4" t="str">
        <x:v>YES</x:v>
      </x:c>
      <x:c r="U19" s="17" t="str">
        <x:v>不得以旧输出、字符串搜索、页面资产或模型自述替代</x:v>
      </x:c>
    </x:row>
    <x:row r="20" ht="23" customHeight="1">
      <x:c r="A20" s="4" t="str">
        <x:v>EVD-019</x:v>
      </x:c>
      <x:c r="B20" s="4" t="str">
        <x:v>P0-019</x:v>
      </x:c>
      <x:c r="C20" s="4" t="str">
        <x:v>M2</x:v>
      </x:c>
      <x:c r="D20" s="4" t="str">
        <x:v>M2-P019</x:v>
      </x:c>
      <x:c r="E20" s="17" t="str">
        <x:v>AUTOMATED_AND_MANUAL_AS_REQUIRED</x:v>
      </x:c>
      <x:c r="F20" s="4" t="str">
        <x:v>CI_PASS</x:v>
      </x:c>
      <x:c r="G20" s="4"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t="str"/>
      <x:c r="K20" s="4" t="str"/>
      <x:c r="L20" s="4" t="str"/>
      <x:c r="M20" s="4" t="str"/>
      <x:c r="N20" s="4" t="str"/>
      <x:c r="O20" s="17" t="str"/>
      <x:c r="P20" s="17" t="str"/>
      <x:c r="Q20" s="4" t="str"/>
      <x:c r="R20" s="4" t="str">
        <x:v>NO_EVIDENCE_YET</x:v>
      </x:c>
      <x:c r="S20" s="17" t="str"/>
      <x:c r="T20" s="4" t="str">
        <x:v>YES</x:v>
      </x:c>
      <x:c r="U20" s="17" t="str">
        <x:v>不得以旧输出、字符串搜索、页面资产或模型自述替代</x:v>
      </x:c>
    </x:row>
    <x:row r="21" ht="23" customHeight="1">
      <x:c r="A21" s="4" t="str">
        <x:v>EVD-020</x:v>
      </x:c>
      <x:c r="B21" s="4" t="str">
        <x:v>P0-020</x:v>
      </x:c>
      <x:c r="C21" s="4" t="str">
        <x:v>M3</x:v>
      </x:c>
      <x:c r="D21" s="4" t="str">
        <x:v>M3-P020</x:v>
      </x:c>
      <x:c r="E21" s="17" t="str">
        <x:v>AUTOMATED_AND_MANUAL_AS_REQUIRED</x:v>
      </x:c>
      <x:c r="F21" s="4" t="str">
        <x:v>CI_PASS</x:v>
      </x:c>
      <x:c r="G21" s="4"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4" t="str"/>
      <x:c r="L21" s="4" t="str"/>
      <x:c r="M21" s="4" t="str"/>
      <x:c r="N21" s="4" t="str"/>
      <x:c r="O21" s="17" t="str"/>
      <x:c r="P21" s="17" t="str"/>
      <x:c r="Q21" s="4" t="str"/>
      <x:c r="R21" s="4" t="str">
        <x:v>NO_EVIDENCE_YET</x:v>
      </x:c>
      <x:c r="S21" s="17" t="str"/>
      <x:c r="T21" s="4" t="str">
        <x:v>YES</x:v>
      </x:c>
      <x:c r="U21" s="17" t="str">
        <x:v>不得以旧输出、字符串搜索、页面资产或模型自述替代</x:v>
      </x:c>
    </x:row>
    <x:row r="22" ht="23" customHeight="1">
      <x:c r="A22" s="4" t="str">
        <x:v>EVD-021</x:v>
      </x:c>
      <x:c r="B22" s="4" t="str">
        <x:v>P0-021</x:v>
      </x:c>
      <x:c r="C22" s="4" t="str">
        <x:v>M2</x:v>
      </x:c>
      <x:c r="D22" s="4" t="str">
        <x:v>M2-P021</x:v>
      </x:c>
      <x:c r="E22" s="17" t="str">
        <x:v>AUTOMATED_AND_MANUAL_AS_REQUIRED</x:v>
      </x:c>
      <x:c r="F22" s="4" t="str">
        <x:v>CI_PASS</x:v>
      </x:c>
      <x:c r="G22" s="4"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4" t="str"/>
      <x:c r="L22" s="4" t="str"/>
      <x:c r="M22" s="4" t="str"/>
      <x:c r="N22" s="4" t="str"/>
      <x:c r="O22" s="17" t="str"/>
      <x:c r="P22" s="17" t="str"/>
      <x:c r="Q22" s="4" t="str"/>
      <x:c r="R22" s="4" t="str">
        <x:v>NO_EVIDENCE_YET</x:v>
      </x:c>
      <x:c r="S22" s="17" t="str"/>
      <x:c r="T22" s="4" t="str">
        <x:v>YES</x:v>
      </x:c>
      <x:c r="U22" s="17" t="str">
        <x:v>不得以旧输出、字符串搜索、页面资产或模型自述替代</x:v>
      </x:c>
    </x:row>
    <x:row r="23" ht="23" customHeight="1">
      <x:c r="A23" s="4" t="str">
        <x:v>EVD-022</x:v>
      </x:c>
      <x:c r="B23" s="4" t="str">
        <x:v>P0-022</x:v>
      </x:c>
      <x:c r="C23" s="4" t="str">
        <x:v>M3</x:v>
      </x:c>
      <x:c r="D23" s="4" t="str">
        <x:v>M3-P022</x:v>
      </x:c>
      <x:c r="E23" s="17" t="str">
        <x:v>AUTOMATED_AND_MANUAL_AS_REQUIRED</x:v>
      </x:c>
      <x:c r="F23" s="4" t="str">
        <x:v>CI_PASS</x:v>
      </x:c>
      <x:c r="G23" s="4"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4" t="str"/>
      <x:c r="L23" s="4" t="str"/>
      <x:c r="M23" s="4" t="str"/>
      <x:c r="N23" s="4" t="str"/>
      <x:c r="O23" s="17" t="str"/>
      <x:c r="P23" s="17" t="str"/>
      <x:c r="Q23" s="4" t="str"/>
      <x:c r="R23" s="4" t="str">
        <x:v>NO_EVIDENCE_YET</x:v>
      </x:c>
      <x:c r="S23" s="17" t="str"/>
      <x:c r="T23" s="4" t="str">
        <x:v>YES</x:v>
      </x:c>
      <x:c r="U23" s="17" t="str">
        <x:v>不得以旧输出、字符串搜索、页面资产或模型自述替代</x:v>
      </x:c>
    </x:row>
    <x:row r="24" ht="23" customHeight="1">
      <x:c r="A24" s="4" t="str">
        <x:v>EVD-023</x:v>
      </x:c>
      <x:c r="B24" s="4" t="str">
        <x:v>P0-023</x:v>
      </x:c>
      <x:c r="C24" s="4" t="str">
        <x:v>M3</x:v>
      </x:c>
      <x:c r="D24" s="4" t="str">
        <x:v>M3-P023</x:v>
      </x:c>
      <x:c r="E24" s="17" t="str">
        <x:v>AUTOMATED_AND_MANUAL_AS_REQUIRED</x:v>
      </x:c>
      <x:c r="F24" s="4" t="str">
        <x:v>CI_PASS</x:v>
      </x:c>
      <x:c r="G24" s="4"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4" t="str"/>
      <x:c r="L24" s="4" t="str"/>
      <x:c r="M24" s="4" t="str"/>
      <x:c r="N24" s="4" t="str"/>
      <x:c r="O24" s="17" t="str"/>
      <x:c r="P24" s="17" t="str"/>
      <x:c r="Q24" s="4" t="str"/>
      <x:c r="R24" s="4" t="str">
        <x:v>NO_EVIDENCE_YET</x:v>
      </x:c>
      <x:c r="S24" s="17" t="str"/>
      <x:c r="T24" s="4" t="str">
        <x:v>YES</x:v>
      </x:c>
      <x:c r="U24" s="17" t="str">
        <x:v>不得以旧输出、字符串搜索、页面资产或模型自述替代</x:v>
      </x:c>
    </x:row>
    <x:row r="25" ht="23" customHeight="1">
      <x:c r="A25" s="4" t="str">
        <x:v>EVD-024</x:v>
      </x:c>
      <x:c r="B25" s="4" t="str">
        <x:v>P0-024</x:v>
      </x:c>
      <x:c r="C25" s="4" t="str">
        <x:v>M3</x:v>
      </x:c>
      <x:c r="D25" s="4" t="str">
        <x:v>M3-P024</x:v>
      </x:c>
      <x:c r="E25" s="17" t="str">
        <x:v>AUTOMATED_AND_MANUAL_AS_REQUIRED</x:v>
      </x:c>
      <x:c r="F25" s="4" t="str">
        <x:v>STAGING_PASS</x:v>
      </x:c>
      <x:c r="G25" s="4"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4" t="str"/>
      <x:c r="L25" s="4" t="str"/>
      <x:c r="M25" s="4" t="str"/>
      <x:c r="N25" s="4" t="str"/>
      <x:c r="O25" s="17" t="str"/>
      <x:c r="P25" s="17" t="str"/>
      <x:c r="Q25" s="4" t="str"/>
      <x:c r="R25" s="4" t="str">
        <x:v>NO_EVIDENCE_YET</x:v>
      </x:c>
      <x:c r="S25" s="17" t="str"/>
      <x:c r="T25" s="4" t="str">
        <x:v>YES</x:v>
      </x:c>
      <x:c r="U25" s="17" t="str">
        <x:v>不得以旧输出、字符串搜索、页面资产或模型自述替代</x:v>
      </x:c>
    </x:row>
    <x:row r="26" ht="23" customHeight="1">
      <x:c r="A26" s="4" t="str">
        <x:v>EVD-025</x:v>
      </x:c>
      <x:c r="B26" s="4" t="str">
        <x:v>P0-025</x:v>
      </x:c>
      <x:c r="C26" s="4" t="str">
        <x:v>M3</x:v>
      </x:c>
      <x:c r="D26" s="4" t="str">
        <x:v>M3-P025</x:v>
      </x:c>
      <x:c r="E26" s="17" t="str">
        <x:v>AUTOMATED_AND_MANUAL_AS_REQUIRED</x:v>
      </x:c>
      <x:c r="F26" s="4" t="str">
        <x:v>CI_PASS</x:v>
      </x:c>
      <x:c r="G26" s="4"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4" t="str"/>
      <x:c r="L26" s="4" t="str"/>
      <x:c r="M26" s="4" t="str"/>
      <x:c r="N26" s="4" t="str"/>
      <x:c r="O26" s="17" t="str"/>
      <x:c r="P26" s="17" t="str"/>
      <x:c r="Q26" s="4" t="str"/>
      <x:c r="R26" s="4" t="str">
        <x:v>NO_EVIDENCE_YET</x:v>
      </x:c>
      <x:c r="S26" s="17" t="str"/>
      <x:c r="T26" s="4" t="str">
        <x:v>YES</x:v>
      </x:c>
      <x:c r="U26" s="17" t="str">
        <x:v>不得以旧输出、字符串搜索、页面资产或模型自述替代</x:v>
      </x:c>
    </x:row>
    <x:row r="27" ht="23" customHeight="1">
      <x:c r="A27" s="4" t="str">
        <x:v>EVD-026</x:v>
      </x:c>
      <x:c r="B27" s="4" t="str">
        <x:v>P0-026</x:v>
      </x:c>
      <x:c r="C27" s="4" t="str">
        <x:v>M3</x:v>
      </x:c>
      <x:c r="D27" s="4" t="str">
        <x:v>M3-P026</x:v>
      </x:c>
      <x:c r="E27" s="17" t="str">
        <x:v>AUTOMATED_AND_MANUAL_AS_REQUIRED</x:v>
      </x:c>
      <x:c r="F27" s="4" t="str">
        <x:v>STAGING_PASS</x:v>
      </x:c>
      <x:c r="G27" s="4"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4" t="str"/>
      <x:c r="L27" s="4" t="str"/>
      <x:c r="M27" s="4" t="str"/>
      <x:c r="N27" s="4" t="str"/>
      <x:c r="O27" s="17" t="str"/>
      <x:c r="P27" s="17" t="str"/>
      <x:c r="Q27" s="4" t="str"/>
      <x:c r="R27" s="4" t="str">
        <x:v>NO_EVIDENCE_YET</x:v>
      </x:c>
      <x:c r="S27" s="17" t="str"/>
      <x:c r="T27" s="4" t="str">
        <x:v>YES</x:v>
      </x:c>
      <x:c r="U27" s="17" t="str">
        <x:v>不得以旧输出、字符串搜索、页面资产或模型自述替代</x:v>
      </x:c>
    </x:row>
    <x:row r="28" ht="23" customHeight="1">
      <x:c r="A28" s="4" t="str">
        <x:v>EVD-027</x:v>
      </x:c>
      <x:c r="B28" s="4" t="str">
        <x:v>P0-027</x:v>
      </x:c>
      <x:c r="C28" s="4" t="str">
        <x:v>M3</x:v>
      </x:c>
      <x:c r="D28" s="4" t="str">
        <x:v>M3-P027</x:v>
      </x:c>
      <x:c r="E28" s="17" t="str">
        <x:v>AUTOMATED_AND_MANUAL_AS_REQUIRED</x:v>
      </x:c>
      <x:c r="F28" s="4" t="str">
        <x:v>CI_PASS</x:v>
      </x:c>
      <x:c r="G28" s="4"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4" t="str"/>
      <x:c r="L28" s="4" t="str"/>
      <x:c r="M28" s="4" t="str"/>
      <x:c r="N28" s="4" t="str"/>
      <x:c r="O28" s="17" t="str"/>
      <x:c r="P28" s="17" t="str"/>
      <x:c r="Q28" s="4" t="str"/>
      <x:c r="R28" s="4" t="str">
        <x:v>NO_EVIDENCE_YET</x:v>
      </x:c>
      <x:c r="S28" s="17" t="str"/>
      <x:c r="T28" s="4" t="str">
        <x:v>YES</x:v>
      </x:c>
      <x:c r="U28" s="17" t="str">
        <x:v>不得以旧输出、字符串搜索、页面资产或模型自述替代</x:v>
      </x:c>
    </x:row>
    <x:row r="29" ht="23" customHeight="1">
      <x:c r="A29" s="4" t="str">
        <x:v>EVD-028</x:v>
      </x:c>
      <x:c r="B29" s="4" t="str">
        <x:v>P0-028</x:v>
      </x:c>
      <x:c r="C29" s="4" t="str">
        <x:v>M3</x:v>
      </x:c>
      <x:c r="D29" s="4" t="str">
        <x:v>M3-P028</x:v>
      </x:c>
      <x:c r="E29" s="17" t="str">
        <x:v>AUTOMATED_AND_MANUAL_AS_REQUIRED</x:v>
      </x:c>
      <x:c r="F29" s="4" t="str">
        <x:v>CI_PASS</x:v>
      </x:c>
      <x:c r="G29" s="4"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4" t="str"/>
      <x:c r="L29" s="4" t="str"/>
      <x:c r="M29" s="4" t="str"/>
      <x:c r="N29" s="4" t="str"/>
      <x:c r="O29" s="17" t="str"/>
      <x:c r="P29" s="17" t="str"/>
      <x:c r="Q29" s="4" t="str"/>
      <x:c r="R29" s="4" t="str">
        <x:v>NO_EVIDENCE_YET</x:v>
      </x:c>
      <x:c r="S29" s="17" t="str"/>
      <x:c r="T29" s="4" t="str">
        <x:v>YES</x:v>
      </x:c>
      <x:c r="U29" s="17" t="str">
        <x:v>不得以旧输出、字符串搜索、页面资产或模型自述替代</x:v>
      </x:c>
    </x:row>
    <x:row r="30" ht="23" customHeight="1">
      <x:c r="A30" s="4" t="str">
        <x:v>EVD-029</x:v>
      </x:c>
      <x:c r="B30" s="4" t="str">
        <x:v>P0-029</x:v>
      </x:c>
      <x:c r="C30" s="4" t="str">
        <x:v>M3</x:v>
      </x:c>
      <x:c r="D30" s="4" t="str">
        <x:v>M3-P029</x:v>
      </x:c>
      <x:c r="E30" s="17" t="str">
        <x:v>AUTOMATED_AND_MANUAL_AS_REQUIRED</x:v>
      </x:c>
      <x:c r="F30" s="4" t="str">
        <x:v>CI_PASS</x:v>
      </x:c>
      <x:c r="G30" s="4"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4" t="str"/>
      <x:c r="L30" s="4" t="str"/>
      <x:c r="M30" s="4" t="str"/>
      <x:c r="N30" s="4" t="str"/>
      <x:c r="O30" s="17" t="str"/>
      <x:c r="P30" s="17" t="str"/>
      <x:c r="Q30" s="4" t="str"/>
      <x:c r="R30" s="4" t="str">
        <x:v>NO_EVIDENCE_YET</x:v>
      </x:c>
      <x:c r="S30" s="17" t="str"/>
      <x:c r="T30" s="4" t="str">
        <x:v>YES</x:v>
      </x:c>
      <x:c r="U30" s="17" t="str">
        <x:v>不得以旧输出、字符串搜索、页面资产或模型自述替代</x:v>
      </x:c>
    </x:row>
    <x:row r="31" ht="23" customHeight="1">
      <x:c r="A31" s="4" t="str">
        <x:v>EVD-030</x:v>
      </x:c>
      <x:c r="B31" s="4" t="str">
        <x:v>P0-030</x:v>
      </x:c>
      <x:c r="C31" s="4" t="str">
        <x:v>M3</x:v>
      </x:c>
      <x:c r="D31" s="4" t="str">
        <x:v>M3-P030</x:v>
      </x:c>
      <x:c r="E31" s="17" t="str">
        <x:v>AUTOMATED_AND_MANUAL_AS_REQUIRED</x:v>
      </x:c>
      <x:c r="F31" s="4" t="str">
        <x:v>CI_PASS</x:v>
      </x:c>
      <x:c r="G31" s="4"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4" t="str"/>
      <x:c r="L31" s="4" t="str"/>
      <x:c r="M31" s="4" t="str"/>
      <x:c r="N31" s="4" t="str"/>
      <x:c r="O31" s="17" t="str"/>
      <x:c r="P31" s="17" t="str"/>
      <x:c r="Q31" s="4" t="str"/>
      <x:c r="R31" s="4" t="str">
        <x:v>NO_EVIDENCE_YET</x:v>
      </x:c>
      <x:c r="S31" s="17" t="str"/>
      <x:c r="T31" s="4" t="str">
        <x:v>YES</x:v>
      </x:c>
      <x:c r="U31" s="17" t="str">
        <x:v>不得以旧输出、字符串搜索、页面资产或模型自述替代</x:v>
      </x:c>
    </x:row>
    <x:row r="32" ht="23" customHeight="1">
      <x:c r="A32" s="4" t="str">
        <x:v>EVD-031</x:v>
      </x:c>
      <x:c r="B32" s="4" t="str">
        <x:v>P0-031</x:v>
      </x:c>
      <x:c r="C32" s="4" t="str">
        <x:v>M3</x:v>
      </x:c>
      <x:c r="D32" s="4" t="str">
        <x:v>M3-P031</x:v>
      </x:c>
      <x:c r="E32" s="17" t="str">
        <x:v>AUTOMATED_AND_MANUAL_AS_REQUIRED</x:v>
      </x:c>
      <x:c r="F32" s="4" t="str">
        <x:v>CI_PASS</x:v>
      </x:c>
      <x:c r="G32" s="4"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4" t="str"/>
      <x:c r="L32" s="4" t="str"/>
      <x:c r="M32" s="4" t="str"/>
      <x:c r="N32" s="4" t="str"/>
      <x:c r="O32" s="17" t="str"/>
      <x:c r="P32" s="17" t="str"/>
      <x:c r="Q32" s="4" t="str"/>
      <x:c r="R32" s="4" t="str">
        <x:v>NO_EVIDENCE_YET</x:v>
      </x:c>
      <x:c r="S32" s="17" t="str"/>
      <x:c r="T32" s="4" t="str">
        <x:v>YES</x:v>
      </x:c>
      <x:c r="U32" s="17" t="str">
        <x:v>不得以旧输出、字符串搜索、页面资产或模型自述替代</x:v>
      </x:c>
    </x:row>
    <x:row r="33" ht="23" customHeight="1">
      <x:c r="A33" s="4" t="str">
        <x:v>EVD-032</x:v>
      </x:c>
      <x:c r="B33" s="4" t="str">
        <x:v>P0-032</x:v>
      </x:c>
      <x:c r="C33" s="4" t="str">
        <x:v>M4</x:v>
      </x:c>
      <x:c r="D33" s="4" t="str">
        <x:v>M4-P032</x:v>
      </x:c>
      <x:c r="E33" s="17" t="str">
        <x:v>AUTOMATED_AND_MANUAL_AS_REQUIRED</x:v>
      </x:c>
      <x:c r="F33" s="4" t="str">
        <x:v>CI_PASS</x:v>
      </x:c>
      <x:c r="G33" s="4"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4" t="str"/>
      <x:c r="L33" s="4" t="str"/>
      <x:c r="M33" s="4" t="str"/>
      <x:c r="N33" s="4" t="str"/>
      <x:c r="O33" s="17" t="str"/>
      <x:c r="P33" s="17" t="str"/>
      <x:c r="Q33" s="4" t="str"/>
      <x:c r="R33" s="4" t="str">
        <x:v>NO_EVIDENCE_YET</x:v>
      </x:c>
      <x:c r="S33" s="17" t="str"/>
      <x:c r="T33" s="4" t="str">
        <x:v>YES</x:v>
      </x:c>
      <x:c r="U33" s="17" t="str">
        <x:v>不得以旧输出、字符串搜索、页面资产或模型自述替代</x:v>
      </x:c>
    </x:row>
    <x:row r="34" ht="23" customHeight="1">
      <x:c r="A34" s="4" t="str">
        <x:v>EVD-033</x:v>
      </x:c>
      <x:c r="B34" s="4" t="str">
        <x:v>P0-033</x:v>
      </x:c>
      <x:c r="C34" s="4" t="str">
        <x:v>M4</x:v>
      </x:c>
      <x:c r="D34" s="4" t="str">
        <x:v>M4-P033</x:v>
      </x:c>
      <x:c r="E34" s="17" t="str">
        <x:v>AUTOMATED_AND_MANUAL_AS_REQUIRED</x:v>
      </x:c>
      <x:c r="F34" s="4" t="str">
        <x:v>CI_PASS</x:v>
      </x:c>
      <x:c r="G34" s="4" t="str">
        <x:v>NOT_EXECUTED</x:v>
      </x:c>
      <x:c r="H34" s="17" t="str">
        <x:v>在对应切片先登记失败测试ID，再记录focused tests与pnpm verify；真机/预发布按要求执行</x:v>
      </x:c>
      <x:c r="I34" s="17" t="str">
        <x:v>跑腿员按顺序点击到店、取货、配送、到达和送达，不能越级。</x:v>
      </x:c>
      <x:c r="J34" s="17" t="str"/>
      <x:c r="K34" s="4" t="str"/>
      <x:c r="L34" s="4" t="str"/>
      <x:c r="M34" s="4" t="str"/>
      <x:c r="N34" s="4" t="str"/>
      <x:c r="O34" s="17" t="str"/>
      <x:c r="P34" s="17" t="str"/>
      <x:c r="Q34" s="4" t="str"/>
      <x:c r="R34" s="4" t="str">
        <x:v>NO_EVIDENCE_YET</x:v>
      </x:c>
      <x:c r="S34" s="17" t="str"/>
      <x:c r="T34" s="4" t="str">
        <x:v>YES</x:v>
      </x:c>
      <x:c r="U34" s="17" t="str">
        <x:v>不得以旧输出、字符串搜索、页面资产或模型自述替代</x:v>
      </x:c>
    </x:row>
    <x:row r="35" ht="23" customHeight="1">
      <x:c r="A35" s="4" t="str">
        <x:v>EVD-034</x:v>
      </x:c>
      <x:c r="B35" s="4" t="str">
        <x:v>P0-034</x:v>
      </x:c>
      <x:c r="C35" s="4" t="str">
        <x:v>M4</x:v>
      </x:c>
      <x:c r="D35" s="4" t="str">
        <x:v>M4-P034</x:v>
      </x:c>
      <x:c r="E35" s="17" t="str">
        <x:v>AUTOMATED_AND_MANUAL_AS_REQUIRED</x:v>
      </x:c>
      <x:c r="F35" s="4" t="str">
        <x:v>CI_PASS</x:v>
      </x:c>
      <x:c r="G35" s="4"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4" t="str"/>
      <x:c r="L35" s="4" t="str"/>
      <x:c r="M35" s="4" t="str"/>
      <x:c r="N35" s="4" t="str"/>
      <x:c r="O35" s="17" t="str"/>
      <x:c r="P35" s="17" t="str"/>
      <x:c r="Q35" s="4" t="str"/>
      <x:c r="R35" s="4" t="str">
        <x:v>NO_EVIDENCE_YET</x:v>
      </x:c>
      <x:c r="S35" s="17" t="str"/>
      <x:c r="T35" s="4" t="str">
        <x:v>YES</x:v>
      </x:c>
      <x:c r="U35" s="17" t="str">
        <x:v>不得以旧输出、字符串搜索、页面资产或模型自述替代</x:v>
      </x:c>
    </x:row>
    <x:row r="36" ht="23" customHeight="1">
      <x:c r="A36" s="4" t="str">
        <x:v>EVD-035</x:v>
      </x:c>
      <x:c r="B36" s="4" t="str">
        <x:v>P0-035</x:v>
      </x:c>
      <x:c r="C36" s="4" t="str">
        <x:v>M4</x:v>
      </x:c>
      <x:c r="D36" s="4" t="str">
        <x:v>M4-P035</x:v>
      </x:c>
      <x:c r="E36" s="17" t="str">
        <x:v>AUTOMATED_AND_MANUAL_AS_REQUIRED</x:v>
      </x:c>
      <x:c r="F36" s="4" t="str">
        <x:v>CI_PASS</x:v>
      </x:c>
      <x:c r="G36" s="4"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4" t="str"/>
      <x:c r="L36" s="4" t="str"/>
      <x:c r="M36" s="4" t="str"/>
      <x:c r="N36" s="4" t="str"/>
      <x:c r="O36" s="17" t="str"/>
      <x:c r="P36" s="17" t="str"/>
      <x:c r="Q36" s="4" t="str"/>
      <x:c r="R36" s="4" t="str">
        <x:v>NO_EVIDENCE_YET</x:v>
      </x:c>
      <x:c r="S36" s="17" t="str"/>
      <x:c r="T36" s="4" t="str">
        <x:v>YES</x:v>
      </x:c>
      <x:c r="U36" s="17" t="str">
        <x:v>不得以旧输出、字符串搜索、页面资产或模型自述替代</x:v>
      </x:c>
    </x:row>
    <x:row r="37" ht="23" customHeight="1">
      <x:c r="A37" s="4" t="str">
        <x:v>EVD-036</x:v>
      </x:c>
      <x:c r="B37" s="4" t="str">
        <x:v>P0-036</x:v>
      </x:c>
      <x:c r="C37" s="4" t="str">
        <x:v>M4</x:v>
      </x:c>
      <x:c r="D37" s="4" t="str">
        <x:v>M4-P036</x:v>
      </x:c>
      <x:c r="E37" s="17" t="str">
        <x:v>AUTOMATED_AND_MANUAL_AS_REQUIRED</x:v>
      </x:c>
      <x:c r="F37" s="4" t="str">
        <x:v>CI_PASS</x:v>
      </x:c>
      <x:c r="G37" s="4"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4" t="str"/>
      <x:c r="L37" s="4" t="str"/>
      <x:c r="M37" s="4" t="str"/>
      <x:c r="N37" s="4" t="str"/>
      <x:c r="O37" s="17" t="str"/>
      <x:c r="P37" s="17" t="str"/>
      <x:c r="Q37" s="4" t="str"/>
      <x:c r="R37" s="4" t="str">
        <x:v>NO_EVIDENCE_YET</x:v>
      </x:c>
      <x:c r="S37" s="17" t="str"/>
      <x:c r="T37" s="4" t="str">
        <x:v>YES</x:v>
      </x:c>
      <x:c r="U37" s="17" t="str">
        <x:v>不得以旧输出、字符串搜索、页面资产或模型自述替代</x:v>
      </x:c>
    </x:row>
    <x:row r="38" ht="23" customHeight="1">
      <x:c r="A38" s="4" t="str">
        <x:v>EVD-037</x:v>
      </x:c>
      <x:c r="B38" s="4" t="str">
        <x:v>P0-037</x:v>
      </x:c>
      <x:c r="C38" s="4" t="str">
        <x:v>M4</x:v>
      </x:c>
      <x:c r="D38" s="4" t="str">
        <x:v>M4-P037</x:v>
      </x:c>
      <x:c r="E38" s="17" t="str">
        <x:v>AUTOMATED_AND_MANUAL_AS_REQUIRED</x:v>
      </x:c>
      <x:c r="F38" s="4" t="str">
        <x:v>CI_PASS</x:v>
      </x:c>
      <x:c r="G38" s="4"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4" t="str"/>
      <x:c r="L38" s="4" t="str"/>
      <x:c r="M38" s="4" t="str"/>
      <x:c r="N38" s="4" t="str"/>
      <x:c r="O38" s="17" t="str"/>
      <x:c r="P38" s="17" t="str"/>
      <x:c r="Q38" s="4" t="str"/>
      <x:c r="R38" s="4" t="str">
        <x:v>NO_EVIDENCE_YET</x:v>
      </x:c>
      <x:c r="S38" s="17" t="str"/>
      <x:c r="T38" s="4" t="str">
        <x:v>YES</x:v>
      </x:c>
      <x:c r="U38" s="17" t="str">
        <x:v>不得以旧输出、字符串搜索、页面资产或模型自述替代</x:v>
      </x:c>
    </x:row>
    <x:row r="39" ht="23" customHeight="1">
      <x:c r="A39" s="4" t="str">
        <x:v>EVD-038</x:v>
      </x:c>
      <x:c r="B39" s="4" t="str">
        <x:v>P0-038</x:v>
      </x:c>
      <x:c r="C39" s="4" t="str">
        <x:v>M5</x:v>
      </x:c>
      <x:c r="D39" s="4" t="str">
        <x:v>M5-P038</x:v>
      </x:c>
      <x:c r="E39" s="17" t="str">
        <x:v>AUTOMATED_AND_MANUAL_AS_REQUIRED</x:v>
      </x:c>
      <x:c r="F39" s="4" t="str">
        <x:v>CI_PASS</x:v>
      </x:c>
      <x:c r="G39" s="4" t="str">
        <x:v>NOT_EXECUTED</x:v>
      </x:c>
      <x:c r="H39" s="17" t="str">
        <x:v>在对应切片先登记失败测试ID，再记录focused tests与pnpm verify；真机/预发布按要求执行</x:v>
      </x:c>
      <x:c r="I39" s="17" t="str">
        <x:v>用户向公司申请售后，供应商仅提交意见和凭证。</x:v>
      </x:c>
      <x:c r="J39" s="17" t="str"/>
      <x:c r="K39" s="4" t="str"/>
      <x:c r="L39" s="4" t="str"/>
      <x:c r="M39" s="4" t="str"/>
      <x:c r="N39" s="4" t="str"/>
      <x:c r="O39" s="17" t="str"/>
      <x:c r="P39" s="17" t="str"/>
      <x:c r="Q39" s="4" t="str"/>
      <x:c r="R39" s="4" t="str">
        <x:v>NO_EVIDENCE_YET</x:v>
      </x:c>
      <x:c r="S39" s="17" t="str"/>
      <x:c r="T39" s="4" t="str">
        <x:v>YES</x:v>
      </x:c>
      <x:c r="U39" s="17" t="str">
        <x:v>不得以旧输出、字符串搜索、页面资产或模型自述替代</x:v>
      </x:c>
    </x:row>
    <x:row r="40" ht="23" customHeight="1">
      <x:c r="A40" s="4" t="str">
        <x:v>EVD-039</x:v>
      </x:c>
      <x:c r="B40" s="4" t="str">
        <x:v>P0-039</x:v>
      </x:c>
      <x:c r="C40" s="4" t="str">
        <x:v>M5</x:v>
      </x:c>
      <x:c r="D40" s="4" t="str">
        <x:v>M5-P039</x:v>
      </x:c>
      <x:c r="E40" s="17" t="str">
        <x:v>AUTOMATED_AND_MANUAL_AS_REQUIRED</x:v>
      </x:c>
      <x:c r="F40" s="4" t="str">
        <x:v>CI_PASS</x:v>
      </x:c>
      <x:c r="G40" s="4"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4" t="str"/>
      <x:c r="L40" s="4" t="str"/>
      <x:c r="M40" s="4" t="str"/>
      <x:c r="N40" s="4" t="str"/>
      <x:c r="O40" s="17" t="str"/>
      <x:c r="P40" s="17" t="str"/>
      <x:c r="Q40" s="4" t="str"/>
      <x:c r="R40" s="4" t="str">
        <x:v>NO_EVIDENCE_YET</x:v>
      </x:c>
      <x:c r="S40" s="17" t="str"/>
      <x:c r="T40" s="4" t="str">
        <x:v>YES</x:v>
      </x:c>
      <x:c r="U40" s="17" t="str">
        <x:v>不得以旧输出、字符串搜索、页面资产或模型自述替代</x:v>
      </x:c>
    </x:row>
    <x:row r="41" ht="23" customHeight="1">
      <x:c r="A41" s="4" t="str">
        <x:v>EVD-040</x:v>
      </x:c>
      <x:c r="B41" s="4" t="str">
        <x:v>P0-040</x:v>
      </x:c>
      <x:c r="C41" s="4" t="str">
        <x:v>M5</x:v>
      </x:c>
      <x:c r="D41" s="4" t="str">
        <x:v>M5-P040</x:v>
      </x:c>
      <x:c r="E41" s="17" t="str">
        <x:v>AUTOMATED_AND_MANUAL_AS_REQUIRED</x:v>
      </x:c>
      <x:c r="F41" s="4" t="str">
        <x:v>CI_PASS</x:v>
      </x:c>
      <x:c r="G41" s="4"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4" t="str"/>
      <x:c r="L41" s="4" t="str"/>
      <x:c r="M41" s="4" t="str"/>
      <x:c r="N41" s="4" t="str"/>
      <x:c r="O41" s="17" t="str"/>
      <x:c r="P41" s="17" t="str"/>
      <x:c r="Q41" s="4" t="str"/>
      <x:c r="R41" s="4" t="str">
        <x:v>NO_EVIDENCE_YET</x:v>
      </x:c>
      <x:c r="S41" s="17" t="str"/>
      <x:c r="T41" s="4" t="str">
        <x:v>YES</x:v>
      </x:c>
      <x:c r="U41" s="17" t="str">
        <x:v>不得以旧输出、字符串搜索、页面资产或模型自述替代</x:v>
      </x:c>
    </x:row>
    <x:row r="42" ht="23" customHeight="1">
      <x:c r="A42" s="4" t="str">
        <x:v>EVD-041</x:v>
      </x:c>
      <x:c r="B42" s="4" t="str">
        <x:v>P0-041</x:v>
      </x:c>
      <x:c r="C42" s="4" t="str">
        <x:v>M5</x:v>
      </x:c>
      <x:c r="D42" s="4" t="str">
        <x:v>M5-P041</x:v>
      </x:c>
      <x:c r="E42" s="17" t="str">
        <x:v>AUTOMATED_AND_MANUAL_AS_REQUIRED</x:v>
      </x:c>
      <x:c r="F42" s="4" t="str">
        <x:v>CI_PASS</x:v>
      </x:c>
      <x:c r="G42" s="4" t="str">
        <x:v>NOT_EXECUTED</x:v>
      </x:c>
      <x:c r="H42" s="17" t="str">
        <x:v>在对应切片先登记失败测试ID，再记录focused tests与pnpm verify；真机/预发布按要求执行</x:v>
      </x:c>
      <x:c r="I42" s="17" t="str">
        <x:v>供应商可对账单提出差异、上传凭证，公司复核过程可追溯。</x:v>
      </x:c>
      <x:c r="J42" s="17" t="str"/>
      <x:c r="K42" s="4" t="str"/>
      <x:c r="L42" s="4" t="str"/>
      <x:c r="M42" s="4" t="str"/>
      <x:c r="N42" s="4" t="str"/>
      <x:c r="O42" s="17" t="str"/>
      <x:c r="P42" s="17" t="str"/>
      <x:c r="Q42" s="4" t="str"/>
      <x:c r="R42" s="4" t="str">
        <x:v>NO_EVIDENCE_YET</x:v>
      </x:c>
      <x:c r="S42" s="17" t="str"/>
      <x:c r="T42" s="4" t="str">
        <x:v>YES</x:v>
      </x:c>
      <x:c r="U42" s="17" t="str">
        <x:v>不得以旧输出、字符串搜索、页面资产或模型自述替代</x:v>
      </x:c>
    </x:row>
    <x:row r="43" ht="23" customHeight="1">
      <x:c r="A43" s="4" t="str">
        <x:v>EVD-042</x:v>
      </x:c>
      <x:c r="B43" s="4" t="str">
        <x:v>P0-042</x:v>
      </x:c>
      <x:c r="C43" s="4" t="str">
        <x:v>M5</x:v>
      </x:c>
      <x:c r="D43" s="4" t="str">
        <x:v>M5-P042</x:v>
      </x:c>
      <x:c r="E43" s="17" t="str">
        <x:v>AUTOMATED_AND_MANUAL_AS_REQUIRED</x:v>
      </x:c>
      <x:c r="F43" s="4" t="str">
        <x:v>STAGING_PASS</x:v>
      </x:c>
      <x:c r="G43" s="4"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4" t="str"/>
      <x:c r="L43" s="4" t="str"/>
      <x:c r="M43" s="4" t="str"/>
      <x:c r="N43" s="4" t="str"/>
      <x:c r="O43" s="17" t="str"/>
      <x:c r="P43" s="17" t="str"/>
      <x:c r="Q43" s="4" t="str"/>
      <x:c r="R43" s="4" t="str">
        <x:v>NO_EVIDENCE_YET</x:v>
      </x:c>
      <x:c r="S43" s="17" t="str"/>
      <x:c r="T43" s="4" t="str">
        <x:v>YES</x:v>
      </x:c>
      <x:c r="U43" s="17" t="str">
        <x:v>不得以旧输出、字符串搜索、页面资产或模型自述替代</x:v>
      </x:c>
    </x:row>
    <x:row r="44" ht="23" customHeight="1">
      <x:c r="A44" s="4" t="str">
        <x:v>EVD-043</x:v>
      </x:c>
      <x:c r="B44" s="4" t="str">
        <x:v>P0-043</x:v>
      </x:c>
      <x:c r="C44" s="4" t="str">
        <x:v>M5</x:v>
      </x:c>
      <x:c r="D44" s="4" t="str">
        <x:v>M5-P043</x:v>
      </x:c>
      <x:c r="E44" s="17" t="str">
        <x:v>AUTOMATED_AND_MANUAL_AS_REQUIRED</x:v>
      </x:c>
      <x:c r="F44" s="4" t="str">
        <x:v>CI_PASS</x:v>
      </x:c>
      <x:c r="G44" s="4"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4" t="str"/>
      <x:c r="L44" s="4" t="str"/>
      <x:c r="M44" s="4" t="str"/>
      <x:c r="N44" s="4" t="str"/>
      <x:c r="O44" s="17" t="str"/>
      <x:c r="P44" s="17" t="str"/>
      <x:c r="Q44" s="4" t="str"/>
      <x:c r="R44" s="4" t="str">
        <x:v>NO_EVIDENCE_YET</x:v>
      </x:c>
      <x:c r="S44" s="17" t="str"/>
      <x:c r="T44" s="4" t="str">
        <x:v>YES</x:v>
      </x:c>
      <x:c r="U44" s="17" t="str">
        <x:v>不得以旧输出、字符串搜索、页面资产或模型自述替代</x:v>
      </x:c>
    </x:row>
    <x:row r="45" ht="23" customHeight="1">
      <x:c r="A45" s="4" t="str">
        <x:v>EVD-044</x:v>
      </x:c>
      <x:c r="B45" s="4" t="str">
        <x:v>P0-044</x:v>
      </x:c>
      <x:c r="C45" s="4" t="str">
        <x:v>M5</x:v>
      </x:c>
      <x:c r="D45" s="4" t="str">
        <x:v>M5-P044</x:v>
      </x:c>
      <x:c r="E45" s="17" t="str">
        <x:v>AUTOMATED_AND_MANUAL_AS_REQUIRED</x:v>
      </x:c>
      <x:c r="F45" s="4" t="str">
        <x:v>CI_PASS</x:v>
      </x:c>
      <x:c r="G45" s="4" t="str">
        <x:v>NOT_EXECUTED</x:v>
      </x:c>
      <x:c r="H45" s="17" t="str">
        <x:v>在对应切片先登记失败测试ID，再记录focused tests与pnpm verify；真机/预发布按要求执行</x:v>
      </x:c>
      <x:c r="I45" s="17" t="str">
        <x:v>终止前完成订单、售后、对账和发票；历史记录保留。</x:v>
      </x:c>
      <x:c r="J45" s="17" t="str"/>
      <x:c r="K45" s="4" t="str"/>
      <x:c r="L45" s="4" t="str"/>
      <x:c r="M45" s="4" t="str"/>
      <x:c r="N45" s="4" t="str"/>
      <x:c r="O45" s="17" t="str"/>
      <x:c r="P45" s="17" t="str"/>
      <x:c r="Q45" s="4" t="str"/>
      <x:c r="R45" s="4" t="str">
        <x:v>NO_EVIDENCE_YET</x:v>
      </x:c>
      <x:c r="S45" s="17" t="str"/>
      <x:c r="T45" s="4" t="str">
        <x:v>YES</x:v>
      </x:c>
      <x:c r="U45" s="17" t="str">
        <x:v>不得以旧输出、字符串搜索、页面资产或模型自述替代</x:v>
      </x:c>
    </x:row>
    <x:row r="46" ht="23" customHeight="1">
      <x:c r="A46" s="4" t="str">
        <x:v>EVD-045</x:v>
      </x:c>
      <x:c r="B46" s="4" t="str">
        <x:v>P0-045</x:v>
      </x:c>
      <x:c r="C46" s="4" t="str">
        <x:v>M1</x:v>
      </x:c>
      <x:c r="D46" s="4" t="str">
        <x:v>M1-P045</x:v>
      </x:c>
      <x:c r="E46" s="17" t="str">
        <x:v>AUTOMATED_AND_MANUAL_AS_REQUIRED</x:v>
      </x:c>
      <x:c r="F46" s="4" t="str">
        <x:v>CI_PASS</x:v>
      </x:c>
      <x:c r="G46" s="4" t="str">
        <x:v>NOT_EXECUTED</x:v>
      </x:c>
      <x:c r="H46" s="17" t="str">
        <x:v>在对应切片先登记失败测试ID，再记录focused tests与pnpm verify；真机/预发布按要求执行</x:v>
      </x:c>
      <x:c r="I46" s="17" t="str">
        <x:v>退款、强制下架、银行账户变更和付款标记均记录操作人及前后值。</x:v>
      </x:c>
      <x:c r="J46" s="17" t="str"/>
      <x:c r="K46" s="4" t="str"/>
      <x:c r="L46" s="4" t="str"/>
      <x:c r="M46" s="4" t="str"/>
      <x:c r="N46" s="4" t="str"/>
      <x:c r="O46" s="17" t="str"/>
      <x:c r="P46" s="17" t="str"/>
      <x:c r="Q46" s="4" t="str"/>
      <x:c r="R46" s="4" t="str">
        <x:v>NO_EVIDENCE_YET</x:v>
      </x:c>
      <x:c r="S46" s="17" t="str"/>
      <x:c r="T46" s="4" t="str">
        <x:v>YES</x:v>
      </x:c>
      <x:c r="U46" s="17" t="str">
        <x:v>不得以旧输出、字符串搜索、页面资产或模型自述替代</x:v>
      </x:c>
    </x:row>
    <x:row r="47" ht="23" customHeight="1">
      <x:c r="A47" s="4" t="str">
        <x:v>EVD-046</x:v>
      </x:c>
      <x:c r="B47" s="4" t="str">
        <x:v>P0-046</x:v>
      </x:c>
      <x:c r="C47" s="4" t="str">
        <x:v>M1</x:v>
      </x:c>
      <x:c r="D47" s="4" t="str">
        <x:v>M1-P046</x:v>
      </x:c>
      <x:c r="E47" s="17" t="str">
        <x:v>AUTOMATED_AND_MANUAL_AS_REQUIRED</x:v>
      </x:c>
      <x:c r="F47" s="4" t="str">
        <x:v>CI_PASS</x:v>
      </x:c>
      <x:c r="G47" s="4" t="str">
        <x:v>NOT_EXECUTED</x:v>
      </x:c>
      <x:c r="H47" s="17" t="str">
        <x:v>在对应切片先登记失败测试ID，再记录focused tests与pnpm verify；真机/预发布按要求执行</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c r="K47" s="4" t="str"/>
      <x:c r="L47" s="4" t="str"/>
      <x:c r="M47" s="4" t="str"/>
      <x:c r="N47" s="4" t="str"/>
      <x:c r="O47" s="17" t="str"/>
      <x:c r="P47" s="17" t="str"/>
      <x:c r="Q47" s="4" t="str"/>
      <x:c r="R47" s="4" t="str">
        <x:v>NO_EVIDENCE_YET</x:v>
      </x:c>
      <x:c r="S47" s="17" t="str"/>
      <x:c r="T47" s="4" t="str">
        <x:v>YES</x:v>
      </x:c>
      <x:c r="U47" s="17" t="str">
        <x:v>不得以旧输出、字符串搜索、页面资产或模型自述替代</x:v>
      </x:c>
    </x:row>
    <x:row r="48" ht="23" customHeight="1">
      <x:c r="A48" s="4" t="str">
        <x:v>EVD-047</x:v>
      </x:c>
      <x:c r="B48" s="4" t="str">
        <x:v>P0-047</x:v>
      </x:c>
      <x:c r="C48" s="4" t="str">
        <x:v>M1</x:v>
      </x:c>
      <x:c r="D48" s="4" t="str">
        <x:v>M1-P047</x:v>
      </x:c>
      <x:c r="E48" s="17" t="str">
        <x:v>AUTOMATED_AND_MANUAL_AS_REQUIRED</x:v>
      </x:c>
      <x:c r="F48" s="4" t="str">
        <x:v>CI_PASS</x:v>
      </x:c>
      <x:c r="G48" s="4" t="str">
        <x:v>NOT_EXECUTED</x:v>
      </x:c>
      <x:c r="H48" s="17" t="str">
        <x:v>先登记失败测试；运行openapi:generate两次稳定性、spec/types git diff、全端typecheck、oasdiff breaking、Supertest响应白名单和小程序adapter契约测试</x:v>
      </x:c>
      <x:c r="I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J48" s="17" t="str"/>
      <x:c r="K48" s="4" t="str"/>
      <x:c r="L48" s="4" t="str"/>
      <x:c r="M48" s="4" t="str"/>
      <x:c r="N48" s="4" t="str"/>
      <x:c r="O48" s="17" t="str"/>
      <x:c r="P48" s="17" t="str"/>
      <x:c r="Q48" s="4" t="str"/>
      <x:c r="R48" s="4" t="str">
        <x:v>NO_EVIDENCE_YET</x:v>
      </x:c>
      <x:c r="S48" s="17" t="str"/>
      <x:c r="T48" s="4" t="str">
        <x:v>YES</x:v>
      </x:c>
      <x:c r="U48" s="17" t="str">
        <x:v>不得以旧输出、字符串搜索、页面资产或模型自述替代</x:v>
      </x:c>
    </x:row>
    <x:row r="49" ht="23" customHeight="1">
      <x:c r="A49" s="4" t="str">
        <x:v>EVD-048</x:v>
      </x:c>
      <x:c r="B49" s="4" t="str">
        <x:v>P0-048</x:v>
      </x:c>
      <x:c r="C49" s="4" t="str">
        <x:v>M6</x:v>
      </x:c>
      <x:c r="D49" s="4" t="str">
        <x:v>M6-P048</x:v>
      </x:c>
      <x:c r="E49" s="17" t="str">
        <x:v>AUTOMATED_AND_MANUAL_AS_REQUIRED</x:v>
      </x:c>
      <x:c r="F49" s="4" t="str">
        <x:v>CI_PASS</x:v>
      </x:c>
      <x:c r="G49" s="4" t="str">
        <x:v>NOT_EXECUTED</x:v>
      </x:c>
      <x:c r="H49" s="17" t="str">
        <x:v>在对应切片先登记失败测试ID，再记录focused tests与pnpm verify；真机/预发布按要求执行</x:v>
      </x:c>
      <x:c r="I49" s="17" t="str">
        <x:v>Prisma validate、migration dry-run、lint、typecheck、test 和 build 全部通过。</x:v>
      </x:c>
      <x:c r="J49" s="17" t="str"/>
      <x:c r="K49" s="4" t="str"/>
      <x:c r="L49" s="4" t="str"/>
      <x:c r="M49" s="4" t="str"/>
      <x:c r="N49" s="4" t="str"/>
      <x:c r="O49" s="17" t="str"/>
      <x:c r="P49" s="17" t="str"/>
      <x:c r="Q49" s="4" t="str"/>
      <x:c r="R49" s="4" t="str">
        <x:v>NO_EVIDENCE_YET</x:v>
      </x:c>
      <x:c r="S49" s="17" t="str"/>
      <x:c r="T49" s="4" t="str">
        <x:v>YES</x:v>
      </x:c>
      <x:c r="U49" s="17" t="str">
        <x:v>不得以旧输出、字符串搜索、页面资产或模型自述替代</x:v>
      </x:c>
    </x:row>
    <x:row r="50" ht="23" customHeight="1">
      <x:c r="A50" s="4" t="str">
        <x:v>EVD-049</x:v>
      </x:c>
      <x:c r="B50" s="4" t="str">
        <x:v>P0-049</x:v>
      </x:c>
      <x:c r="C50" s="4" t="str">
        <x:v>M6</x:v>
      </x:c>
      <x:c r="D50" s="4" t="str">
        <x:v>M6-P049</x:v>
      </x:c>
      <x:c r="E50" s="17" t="str">
        <x:v>AUTOMATED_AND_MANUAL_AS_REQUIRED</x:v>
      </x:c>
      <x:c r="F50" s="4" t="str">
        <x:v>CI_PASS</x:v>
      </x:c>
      <x:c r="G50" s="4"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4" t="str"/>
      <x:c r="L50" s="4" t="str"/>
      <x:c r="M50" s="4" t="str"/>
      <x:c r="N50" s="4" t="str"/>
      <x:c r="O50" s="17" t="str"/>
      <x:c r="P50" s="17" t="str"/>
      <x:c r="Q50" s="4" t="str"/>
      <x:c r="R50" s="4" t="str">
        <x:v>NO_EVIDENCE_YET</x:v>
      </x:c>
      <x:c r="S50" s="17" t="str"/>
      <x:c r="T50" s="4" t="str">
        <x:v>YES</x:v>
      </x:c>
      <x:c r="U50" s="17" t="str">
        <x:v>不得以旧输出、字符串搜索、页面资产或模型自述替代</x:v>
      </x:c>
    </x:row>
    <x:row r="51" ht="23" customHeight="1">
      <x:c r="A51" s="4" t="str">
        <x:v>EVD-050</x:v>
      </x:c>
      <x:c r="B51" s="4" t="str">
        <x:v>P0-050</x:v>
      </x:c>
      <x:c r="C51" s="4" t="str">
        <x:v>M6</x:v>
      </x:c>
      <x:c r="D51" s="4" t="str">
        <x:v>M6-P050</x:v>
      </x:c>
      <x:c r="E51" s="17" t="str">
        <x:v>AUTOMATED_AND_MANUAL_AS_REQUIRED</x:v>
      </x:c>
      <x:c r="F51" s="4" t="str">
        <x:v>CI_PASS</x:v>
      </x:c>
      <x:c r="G51" s="4"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4" t="str"/>
      <x:c r="L51" s="4" t="str"/>
      <x:c r="M51" s="4" t="str"/>
      <x:c r="N51" s="4" t="str"/>
      <x:c r="O51" s="17" t="str"/>
      <x:c r="P51" s="17" t="str"/>
      <x:c r="Q51" s="4" t="str"/>
      <x:c r="R51" s="4" t="str">
        <x:v>NO_EVIDENCE_YET</x:v>
      </x:c>
      <x:c r="S51" s="17" t="str"/>
      <x:c r="T51" s="4" t="str">
        <x:v>YES</x:v>
      </x:c>
      <x:c r="U51" s="17" t="str">
        <x:v>不得以旧输出、字符串搜索、页面资产或模型自述替代</x:v>
      </x:c>
    </x:row>
    <x:row r="52" ht="23" customHeight="1">
      <x:c r="A52" s="4" t="str">
        <x:v>EVD-051</x:v>
      </x:c>
      <x:c r="B52" s="4" t="str">
        <x:v>P0-051</x:v>
      </x:c>
      <x:c r="C52" s="4" t="str">
        <x:v>M3</x:v>
      </x:c>
      <x:c r="D52" s="4" t="str">
        <x:v>M3-P051</x:v>
      </x:c>
      <x:c r="E52" s="17" t="str">
        <x:v>AUTOMATED_AND_MANUAL_AS_REQUIRED</x:v>
      </x:c>
      <x:c r="F52" s="4" t="str">
        <x:v>CI_PASS</x:v>
      </x:c>
      <x:c r="G52" s="4"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4" t="str"/>
      <x:c r="L52" s="4" t="str"/>
      <x:c r="M52" s="4" t="str"/>
      <x:c r="N52" s="4" t="str"/>
      <x:c r="O52" s="17" t="str"/>
      <x:c r="P52" s="17" t="str"/>
      <x:c r="Q52" s="4" t="str"/>
      <x:c r="R52" s="4" t="str">
        <x:v>NO_EVIDENCE_YET</x:v>
      </x:c>
      <x:c r="S52" s="17" t="str"/>
      <x:c r="T52" s="4" t="str">
        <x:v>YES</x:v>
      </x:c>
      <x:c r="U52" s="17" t="str">
        <x:v>不得以旧输出、字符串搜索、页面资产或模型自述替代</x:v>
      </x:c>
    </x:row>
    <x:row r="53" ht="23" customHeight="1">
      <x:c r="A53" s="4" t="str">
        <x:v>EVD-052</x:v>
      </x:c>
      <x:c r="B53" s="4" t="str">
        <x:v>P0-052</x:v>
      </x:c>
      <x:c r="C53" s="4" t="str">
        <x:v>M3</x:v>
      </x:c>
      <x:c r="D53" s="4" t="str">
        <x:v>M3-P052</x:v>
      </x:c>
      <x:c r="E53" s="17" t="str">
        <x:v>AUTOMATED_AND_MANUAL_AS_REQUIRED</x:v>
      </x:c>
      <x:c r="F53" s="4" t="str">
        <x:v>CI_PASS</x:v>
      </x:c>
      <x:c r="G53" s="4"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4" t="str"/>
      <x:c r="L53" s="4" t="str"/>
      <x:c r="M53" s="4" t="str"/>
      <x:c r="N53" s="4" t="str"/>
      <x:c r="O53" s="17" t="str"/>
      <x:c r="P53" s="17" t="str"/>
      <x:c r="Q53" s="4" t="str"/>
      <x:c r="R53" s="4" t="str">
        <x:v>NO_EVIDENCE_YET</x:v>
      </x:c>
      <x:c r="S53" s="17" t="str"/>
      <x:c r="T53" s="4" t="str">
        <x:v>YES</x:v>
      </x:c>
      <x:c r="U53" s="17" t="str">
        <x:v>不得以旧输出、字符串搜索、页面资产或模型自述替代</x:v>
      </x:c>
    </x:row>
    <x:row r="54" ht="23" customHeight="1">
      <x:c r="A54" s="4" t="str">
        <x:v>EVD-053</x:v>
      </x:c>
      <x:c r="B54" s="4" t="str">
        <x:v>P0-053</x:v>
      </x:c>
      <x:c r="C54" s="4" t="str">
        <x:v>M3</x:v>
      </x:c>
      <x:c r="D54" s="4" t="str">
        <x:v>M3-P053</x:v>
      </x:c>
      <x:c r="E54" s="17" t="str">
        <x:v>AUTOMATED_AND_MANUAL_AS_REQUIRED</x:v>
      </x:c>
      <x:c r="F54" s="4" t="str">
        <x:v>CI_PASS</x:v>
      </x:c>
      <x:c r="G54" s="4"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4" t="str"/>
      <x:c r="L54" s="4" t="str"/>
      <x:c r="M54" s="4" t="str"/>
      <x:c r="N54" s="4" t="str"/>
      <x:c r="O54" s="17" t="str"/>
      <x:c r="P54" s="17" t="str"/>
      <x:c r="Q54" s="4" t="str"/>
      <x:c r="R54" s="4" t="str">
        <x:v>NO_EVIDENCE_YET</x:v>
      </x:c>
      <x:c r="S54" s="17" t="str"/>
      <x:c r="T54" s="4" t="str">
        <x:v>YES</x:v>
      </x:c>
      <x:c r="U54" s="17" t="str">
        <x:v>不得以旧输出、字符串搜索、页面资产或模型自述替代</x:v>
      </x:c>
    </x:row>
    <x:row r="55" ht="23" customHeight="1">
      <x:c r="A55" s="4" t="str">
        <x:v>EVD-054</x:v>
      </x:c>
      <x:c r="B55" s="4" t="str">
        <x:v>P0-054</x:v>
      </x:c>
      <x:c r="C55" s="4" t="str">
        <x:v>M3</x:v>
      </x:c>
      <x:c r="D55" s="4" t="str">
        <x:v>M3-P054</x:v>
      </x:c>
      <x:c r="E55" s="17" t="str">
        <x:v>AUTOMATED_AND_MANUAL_AS_REQUIRED</x:v>
      </x:c>
      <x:c r="F55" s="4" t="str">
        <x:v>CI_PASS</x:v>
      </x:c>
      <x:c r="G55" s="4"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4" t="str"/>
      <x:c r="L55" s="4" t="str"/>
      <x:c r="M55" s="4" t="str"/>
      <x:c r="N55" s="4" t="str"/>
      <x:c r="O55" s="17" t="str"/>
      <x:c r="P55" s="17" t="str"/>
      <x:c r="Q55" s="4" t="str"/>
      <x:c r="R55" s="4" t="str">
        <x:v>NO_EVIDENCE_YET</x:v>
      </x:c>
      <x:c r="S55" s="17" t="str"/>
      <x:c r="T55" s="4" t="str">
        <x:v>YES</x:v>
      </x:c>
      <x:c r="U55" s="17" t="str">
        <x:v>不得以旧输出、字符串搜索、页面资产或模型自述替代</x:v>
      </x:c>
    </x:row>
    <x:row r="56" ht="23" customHeight="1">
      <x:c r="A56" s="4" t="str">
        <x:v>EVD-055</x:v>
      </x:c>
      <x:c r="B56" s="4" t="str">
        <x:v>P0-055</x:v>
      </x:c>
      <x:c r="C56" s="4" t="str">
        <x:v>M3</x:v>
      </x:c>
      <x:c r="D56" s="4" t="str">
        <x:v>M3-P055</x:v>
      </x:c>
      <x:c r="E56" s="17" t="str">
        <x:v>AUTOMATED_AND_MANUAL_AS_REQUIRED</x:v>
      </x:c>
      <x:c r="F56" s="4" t="str">
        <x:v>CI_PASS</x:v>
      </x:c>
      <x:c r="G56" s="4"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4" t="str"/>
      <x:c r="L56" s="4" t="str"/>
      <x:c r="M56" s="4" t="str"/>
      <x:c r="N56" s="4" t="str"/>
      <x:c r="O56" s="17" t="str"/>
      <x:c r="P56" s="17" t="str"/>
      <x:c r="Q56" s="4" t="str"/>
      <x:c r="R56" s="4" t="str">
        <x:v>NO_EVIDENCE_YET</x:v>
      </x:c>
      <x:c r="S56" s="17" t="str"/>
      <x:c r="T56" s="4" t="str">
        <x:v>YES</x:v>
      </x:c>
      <x:c r="U56" s="17" t="str">
        <x:v>不得以旧输出、字符串搜索、页面资产或模型自述替代</x:v>
      </x:c>
    </x:row>
    <x:row r="57" ht="23" customHeight="1">
      <x:c r="A57" s="4" t="str">
        <x:v>EVD-056</x:v>
      </x:c>
      <x:c r="B57" s="4" t="str">
        <x:v>P0-056</x:v>
      </x:c>
      <x:c r="C57" s="4" t="str">
        <x:v>M3</x:v>
      </x:c>
      <x:c r="D57" s="4" t="str">
        <x:v>M3-P056</x:v>
      </x:c>
      <x:c r="E57" s="17" t="str">
        <x:v>AUTOMATED_AND_MANUAL_AS_REQUIRED</x:v>
      </x:c>
      <x:c r="F57" s="4" t="str">
        <x:v>STAGING_PASS</x:v>
      </x:c>
      <x:c r="G57" s="4"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4" t="str"/>
      <x:c r="L57" s="4" t="str"/>
      <x:c r="M57" s="4" t="str"/>
      <x:c r="N57" s="4" t="str"/>
      <x:c r="O57" s="17" t="str"/>
      <x:c r="P57" s="17" t="str"/>
      <x:c r="Q57" s="4" t="str"/>
      <x:c r="R57" s="4" t="str">
        <x:v>NO_EVIDENCE_YET</x:v>
      </x:c>
      <x:c r="S57" s="17" t="str"/>
      <x:c r="T57" s="4" t="str">
        <x:v>YES</x:v>
      </x:c>
      <x:c r="U57" s="17" t="str">
        <x:v>不得以旧输出、字符串搜索、页面资产或模型自述替代</x:v>
      </x:c>
    </x:row>
    <x:row r="58" ht="23" customHeight="1">
      <x:c r="A58" s="4" t="str">
        <x:v>EVD-057</x:v>
      </x:c>
      <x:c r="B58" s="4" t="str">
        <x:v>P0-057</x:v>
      </x:c>
      <x:c r="C58" s="4" t="str">
        <x:v>M3</x:v>
      </x:c>
      <x:c r="D58" s="4" t="str">
        <x:v>M3-P057</x:v>
      </x:c>
      <x:c r="E58" s="17" t="str">
        <x:v>AUTOMATED_AND_MANUAL_AS_REQUIRED</x:v>
      </x:c>
      <x:c r="F58" s="4" t="str">
        <x:v>STAGING_PASS</x:v>
      </x:c>
      <x:c r="G58" s="4"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4" t="str"/>
      <x:c r="L58" s="4" t="str"/>
      <x:c r="M58" s="4" t="str"/>
      <x:c r="N58" s="4" t="str"/>
      <x:c r="O58" s="17" t="str"/>
      <x:c r="P58" s="17" t="str"/>
      <x:c r="Q58" s="4" t="str"/>
      <x:c r="R58" s="4" t="str">
        <x:v>NO_EVIDENCE_YET</x:v>
      </x:c>
      <x:c r="S58" s="17" t="str"/>
      <x:c r="T58" s="4" t="str">
        <x:v>YES</x:v>
      </x:c>
      <x:c r="U58" s="17" t="str">
        <x:v>不得以旧输出、字符串搜索、页面资产或模型自述替代</x:v>
      </x:c>
    </x:row>
    <x:row r="59" ht="23" customHeight="1">
      <x:c r="A59" s="4" t="str">
        <x:v>EVD-058</x:v>
      </x:c>
      <x:c r="B59" s="4" t="str">
        <x:v>P0-058</x:v>
      </x:c>
      <x:c r="C59" s="4" t="str">
        <x:v>M3</x:v>
      </x:c>
      <x:c r="D59" s="4" t="str">
        <x:v>M3-P058</x:v>
      </x:c>
      <x:c r="E59" s="17" t="str">
        <x:v>AUTOMATED_AND_MANUAL_AS_REQUIRED</x:v>
      </x:c>
      <x:c r="F59" s="4" t="str">
        <x:v>STAGING_PASS</x:v>
      </x:c>
      <x:c r="G59" s="4"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4" t="str"/>
      <x:c r="L59" s="4" t="str"/>
      <x:c r="M59" s="4" t="str"/>
      <x:c r="N59" s="4" t="str"/>
      <x:c r="O59" s="17" t="str"/>
      <x:c r="P59" s="17" t="str"/>
      <x:c r="Q59" s="4" t="str"/>
      <x:c r="R59" s="4" t="str">
        <x:v>NO_EVIDENCE_YET</x:v>
      </x:c>
      <x:c r="S59" s="17" t="str"/>
      <x:c r="T59" s="4" t="str">
        <x:v>YES</x:v>
      </x:c>
      <x:c r="U59" s="17" t="str">
        <x:v>不得以旧输出、字符串搜索、页面资产或模型自述替代</x:v>
      </x:c>
    </x:row>
    <x:row r="60" ht="23" customHeight="1">
      <x:c r="A60" s="4" t="str">
        <x:v>EVD-059</x:v>
      </x:c>
      <x:c r="B60" s="4" t="str">
        <x:v>P0-059</x:v>
      </x:c>
      <x:c r="C60" s="4" t="str">
        <x:v>M3</x:v>
      </x:c>
      <x:c r="D60" s="4" t="str">
        <x:v>M3-P059</x:v>
      </x:c>
      <x:c r="E60" s="17" t="str">
        <x:v>AUTOMATED_AND_MANUAL_AS_REQUIRED</x:v>
      </x:c>
      <x:c r="F60" s="4" t="str">
        <x:v>CI_PASS</x:v>
      </x:c>
      <x:c r="G60" s="4"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4" t="str"/>
      <x:c r="L60" s="4" t="str"/>
      <x:c r="M60" s="4" t="str"/>
      <x:c r="N60" s="4" t="str"/>
      <x:c r="O60" s="17" t="str"/>
      <x:c r="P60" s="17" t="str"/>
      <x:c r="Q60" s="4" t="str"/>
      <x:c r="R60" s="4" t="str">
        <x:v>NO_EVIDENCE_YET</x:v>
      </x:c>
      <x:c r="S60" s="17" t="str"/>
      <x:c r="T60" s="4" t="str">
        <x:v>YES</x:v>
      </x:c>
      <x:c r="U60" s="17" t="str">
        <x:v>不得以旧输出、字符串搜索、页面资产或模型自述替代</x:v>
      </x:c>
    </x:row>
    <x:row r="61" ht="23" customHeight="1">
      <x:c r="A61" s="4" t="str">
        <x:v>EVD-060</x:v>
      </x:c>
      <x:c r="B61" s="4" t="str">
        <x:v>P0-060</x:v>
      </x:c>
      <x:c r="C61" s="4" t="str">
        <x:v>M5</x:v>
      </x:c>
      <x:c r="D61" s="4" t="str">
        <x:v>M5-P060</x:v>
      </x:c>
      <x:c r="E61" s="17" t="str">
        <x:v>AUTOMATED_AND_MANUAL_AS_REQUIRED</x:v>
      </x:c>
      <x:c r="F61" s="4" t="str">
        <x:v>CI_PASS</x:v>
      </x:c>
      <x:c r="G61" s="4"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4" t="str"/>
      <x:c r="L61" s="4" t="str"/>
      <x:c r="M61" s="4" t="str"/>
      <x:c r="N61" s="4" t="str"/>
      <x:c r="O61" s="17" t="str"/>
      <x:c r="P61" s="17" t="str"/>
      <x:c r="Q61" s="4" t="str"/>
      <x:c r="R61" s="4" t="str">
        <x:v>NO_EVIDENCE_YET</x:v>
      </x:c>
      <x:c r="S61" s="17" t="str"/>
      <x:c r="T61" s="4" t="str">
        <x:v>YES</x:v>
      </x:c>
      <x:c r="U61" s="17" t="str">
        <x:v>不得以旧输出、字符串搜索、页面资产或模型自述替代</x:v>
      </x:c>
    </x:row>
    <x:row r="62" ht="23" customHeight="1">
      <x:c r="A62" s="4" t="str">
        <x:v>EVD-061</x:v>
      </x:c>
      <x:c r="B62" s="4" t="str">
        <x:v>P0-061</x:v>
      </x:c>
      <x:c r="C62" s="4" t="str">
        <x:v>M2</x:v>
      </x:c>
      <x:c r="D62" s="4" t="str">
        <x:v>M2-P061</x:v>
      </x:c>
      <x:c r="E62" s="17" t="str">
        <x:v>AUTOMATED_AND_MANUAL_AS_REQUIRED</x:v>
      </x:c>
      <x:c r="F62" s="4" t="str">
        <x:v>CI_PASS</x:v>
      </x:c>
      <x:c r="G62" s="4"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4" t="str"/>
      <x:c r="L62" s="4" t="str"/>
      <x:c r="M62" s="4" t="str"/>
      <x:c r="N62" s="4" t="str"/>
      <x:c r="O62" s="17" t="str"/>
      <x:c r="P62" s="17" t="str"/>
      <x:c r="Q62" s="4" t="str"/>
      <x:c r="R62" s="4" t="str">
        <x:v>NO_EVIDENCE_YET</x:v>
      </x:c>
      <x:c r="S62" s="17" t="str"/>
      <x:c r="T62" s="4" t="str">
        <x:v>YES</x:v>
      </x:c>
      <x:c r="U62" s="17" t="str">
        <x:v>不得以旧输出、字符串搜索、页面资产或模型自述替代</x:v>
      </x:c>
    </x:row>
    <x:row r="63" ht="23" customHeight="1">
      <x:c r="A63" s="4" t="str">
        <x:v>EVD-062</x:v>
      </x:c>
      <x:c r="B63" s="4" t="str">
        <x:v>P0-062</x:v>
      </x:c>
      <x:c r="C63" s="4" t="str">
        <x:v>M3</x:v>
      </x:c>
      <x:c r="D63" s="4" t="str">
        <x:v>M3-P062</x:v>
      </x:c>
      <x:c r="E63" s="17" t="str">
        <x:v>AUTOMATED_AND_MANUAL_AS_REQUIRED</x:v>
      </x:c>
      <x:c r="F63" s="4" t="str">
        <x:v>CI_PASS</x:v>
      </x:c>
      <x:c r="G63" s="4"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4" t="str"/>
      <x:c r="L63" s="4" t="str"/>
      <x:c r="M63" s="4" t="str"/>
      <x:c r="N63" s="4" t="str"/>
      <x:c r="O63" s="17" t="str"/>
      <x:c r="P63" s="17" t="str"/>
      <x:c r="Q63" s="4" t="str"/>
      <x:c r="R63" s="4" t="str">
        <x:v>NO_EVIDENCE_YET</x:v>
      </x:c>
      <x:c r="S63" s="17" t="str"/>
      <x:c r="T63" s="4" t="str">
        <x:v>YES</x:v>
      </x:c>
      <x:c r="U63" s="17" t="str">
        <x:v>不得以旧输出、字符串搜索、页面资产或模型自述替代</x:v>
      </x:c>
    </x:row>
    <x:row r="64" ht="23" customHeight="1">
      <x:c r="A64" s="4" t="str">
        <x:v>EVD-063</x:v>
      </x:c>
      <x:c r="B64" s="4" t="str">
        <x:v>P0-063</x:v>
      </x:c>
      <x:c r="C64" s="4" t="str">
        <x:v>M2</x:v>
      </x:c>
      <x:c r="D64" s="4" t="str">
        <x:v>M2-P063</x:v>
      </x:c>
      <x:c r="E64" s="17" t="str">
        <x:v>AUTOMATED_AND_MANUAL_AS_REQUIRED</x:v>
      </x:c>
      <x:c r="F64" s="4" t="str">
        <x:v>CI_PASS</x:v>
      </x:c>
      <x:c r="G64" s="4"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4" t="str"/>
      <x:c r="L64" s="4" t="str"/>
      <x:c r="M64" s="4" t="str"/>
      <x:c r="N64" s="4" t="str"/>
      <x:c r="O64" s="17" t="str"/>
      <x:c r="P64" s="17" t="str"/>
      <x:c r="Q64" s="4" t="str"/>
      <x:c r="R64" s="4" t="str">
        <x:v>NO_EVIDENCE_YET</x:v>
      </x:c>
      <x:c r="S64" s="17" t="str"/>
      <x:c r="T64" s="4" t="str">
        <x:v>YES</x:v>
      </x:c>
      <x:c r="U64" s="17" t="str">
        <x:v>不得以旧输出、字符串搜索、页面资产或模型自述替代</x:v>
      </x:c>
    </x:row>
    <x:row r="65" ht="23" customHeight="1">
      <x:c r="A65" s="4" t="str">
        <x:v>EVD-064</x:v>
      </x:c>
      <x:c r="B65" s="4" t="str">
        <x:v>P0-064</x:v>
      </x:c>
      <x:c r="C65" s="4" t="str">
        <x:v>M4</x:v>
      </x:c>
      <x:c r="D65" s="4" t="str">
        <x:v>M4-P064</x:v>
      </x:c>
      <x:c r="E65" s="17" t="str">
        <x:v>AUTOMATED_AND_MANUAL_AS_REQUIRED</x:v>
      </x:c>
      <x:c r="F65" s="4" t="str">
        <x:v>STAGING_PASS</x:v>
      </x:c>
      <x:c r="G65" s="4"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4" t="str"/>
      <x:c r="L65" s="4" t="str"/>
      <x:c r="M65" s="4" t="str"/>
      <x:c r="N65" s="4" t="str"/>
      <x:c r="O65" s="17" t="str"/>
      <x:c r="P65" s="17" t="str"/>
      <x:c r="Q65" s="4" t="str"/>
      <x:c r="R65" s="4" t="str">
        <x:v>NO_EVIDENCE_YET</x:v>
      </x:c>
      <x:c r="S65" s="17" t="str"/>
      <x:c r="T65" s="4" t="str">
        <x:v>YES</x:v>
      </x:c>
      <x:c r="U65" s="17" t="str">
        <x:v>不得以旧输出、字符串搜索、页面资产或模型自述替代</x:v>
      </x:c>
    </x:row>
    <x:row r="66" ht="23" customHeight="1">
      <x:c r="A66" s="4" t="str">
        <x:v>EVD-065</x:v>
      </x:c>
      <x:c r="B66" s="4" t="str">
        <x:v>P0-065</x:v>
      </x:c>
      <x:c r="C66" s="4" t="str">
        <x:v>M5</x:v>
      </x:c>
      <x:c r="D66" s="4" t="str">
        <x:v>M5-P065</x:v>
      </x:c>
      <x:c r="E66" s="17" t="str">
        <x:v>AUTOMATED_AND_MANUAL_AS_REQUIRED</x:v>
      </x:c>
      <x:c r="F66" s="4" t="str">
        <x:v>CI_PASS</x:v>
      </x:c>
      <x:c r="G66" s="4"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4" t="str"/>
      <x:c r="L66" s="4" t="str"/>
      <x:c r="M66" s="4" t="str"/>
      <x:c r="N66" s="4" t="str"/>
      <x:c r="O66" s="17" t="str"/>
      <x:c r="P66" s="17" t="str"/>
      <x:c r="Q66" s="4" t="str"/>
      <x:c r="R66" s="4" t="str">
        <x:v>NO_EVIDENCE_YET</x:v>
      </x:c>
      <x:c r="S66" s="17" t="str"/>
      <x:c r="T66" s="4" t="str">
        <x:v>YES</x:v>
      </x:c>
      <x:c r="U66" s="17" t="str">
        <x:v>不得以旧输出、字符串搜索、页面资产或模型自述替代</x:v>
      </x:c>
    </x:row>
    <x:row r="67" ht="23" customHeight="1">
      <x:c r="A67" s="4" t="str">
        <x:v>EVD-066</x:v>
      </x:c>
      <x:c r="B67" s="4" t="str">
        <x:v>P0-066</x:v>
      </x:c>
      <x:c r="C67" s="4" t="str">
        <x:v>M1</x:v>
      </x:c>
      <x:c r="D67" s="4" t="str">
        <x:v>M1-P066</x:v>
      </x:c>
      <x:c r="E67" s="17" t="str">
        <x:v>AUTOMATED_AND_MANUAL_AS_REQUIRED</x:v>
      </x:c>
      <x:c r="F67" s="4" t="str">
        <x:v>CI_PASS</x:v>
      </x:c>
      <x:c r="G67" s="4" t="str">
        <x:v>NOT_EXECUTED</x:v>
      </x:c>
      <x:c r="H67" s="17" t="str">
        <x:v>在对应切片先登记失败测试ID，再记录focused tests与pnpm verify；真机/预发布按要求执行</x:v>
      </x:c>
      <x:c r="I67" s="17" t="str">
        <x:v>公司后台使用独立登录入口且不开放公众注册；只有一个职能账号时直达固定页面，同一人员拥有多个职能账号时先进入账号选择页，每次只签发一个 functionalAccountId 会话。</x:v>
      </x:c>
      <x:c r="J67" s="17" t="str"/>
      <x:c r="K67" s="4" t="str"/>
      <x:c r="L67" s="4" t="str"/>
      <x:c r="M67" s="4" t="str"/>
      <x:c r="N67" s="4" t="str"/>
      <x:c r="O67" s="17" t="str"/>
      <x:c r="P67" s="17" t="str"/>
      <x:c r="Q67" s="4" t="str"/>
      <x:c r="R67" s="4" t="str">
        <x:v>NO_EVIDENCE_YET</x:v>
      </x:c>
      <x:c r="S67" s="17" t="str"/>
      <x:c r="T67" s="4" t="str">
        <x:v>YES</x:v>
      </x:c>
      <x:c r="U67" s="17" t="str">
        <x:v>不得以旧输出、字符串搜索、页面资产或模型自述替代</x:v>
      </x:c>
    </x:row>
    <x:row r="68" ht="23" customHeight="1">
      <x:c r="A68" s="4" t="str">
        <x:v>EVD-067</x:v>
      </x:c>
      <x:c r="B68" s="4" t="str">
        <x:v>P0-067</x:v>
      </x:c>
      <x:c r="C68" s="4" t="str">
        <x:v>M1</x:v>
      </x:c>
      <x:c r="D68" s="4" t="str">
        <x:v>M1-P067</x:v>
      </x:c>
      <x:c r="E68" s="17" t="str">
        <x:v>AUTOMATED_AND_MANUAL_AS_REQUIRED</x:v>
      </x:c>
      <x:c r="F68" s="4" t="str">
        <x:v>CI_PASS</x:v>
      </x:c>
      <x:c r="G68" s="4" t="str">
        <x:v>NOT_EXECUTED</x:v>
      </x:c>
      <x:c r="H68" s="17" t="str">
        <x:v>在对应切片先登记失败测试ID，再记录focused tests与pnpm verify；真机/预发布按要求执行</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c r="K68" s="4" t="str"/>
      <x:c r="L68" s="4" t="str"/>
      <x:c r="M68" s="4" t="str"/>
      <x:c r="N68" s="4" t="str"/>
      <x:c r="O68" s="17" t="str"/>
      <x:c r="P68" s="17" t="str"/>
      <x:c r="Q68" s="4" t="str"/>
      <x:c r="R68" s="4" t="str">
        <x:v>NO_EVIDENCE_YET</x:v>
      </x:c>
      <x:c r="S68" s="17" t="str"/>
      <x:c r="T68" s="4" t="str">
        <x:v>YES</x:v>
      </x:c>
      <x:c r="U68" s="17" t="str">
        <x:v>不得以旧输出、字符串搜索、页面资产或模型自述替代</x:v>
      </x:c>
    </x:row>
    <x:row r="69" ht="23" customHeight="1">
      <x:c r="A69" s="4" t="str">
        <x:v>EVD-068</x:v>
      </x:c>
      <x:c r="B69" s="4" t="str">
        <x:v>P0-068</x:v>
      </x:c>
      <x:c r="C69" s="4" t="str">
        <x:v>M1</x:v>
      </x:c>
      <x:c r="D69" s="4" t="str">
        <x:v>M1-P068</x:v>
      </x:c>
      <x:c r="E69" s="17" t="str">
        <x:v>AUTOMATED_AND_MANUAL_AS_REQUIRED</x:v>
      </x:c>
      <x:c r="F69" s="4" t="str">
        <x:v>CI_PASS</x:v>
      </x:c>
      <x:c r="G69" s="4" t="str">
        <x:v>NOT_EXECUTED</x:v>
      </x:c>
      <x:c r="H69" s="17" t="str">
        <x:v>在对应切片先登记失败测试ID，再记录focused tests与pnpm verify；真机/预发布按要求执行</x:v>
      </x:c>
      <x:c r="I69" s="17" t="str">
        <x:v>每个公司职能页面均具备自己的工作台、内部列表/筛选/详情/时间线及加载、空态、失败和无权限状态；共用组件不导致数据、菜单或会话上下文合并。</x:v>
      </x:c>
      <x:c r="J69" s="17" t="str"/>
      <x:c r="K69" s="4" t="str"/>
      <x:c r="L69" s="4" t="str"/>
      <x:c r="M69" s="4" t="str"/>
      <x:c r="N69" s="4" t="str"/>
      <x:c r="O69" s="17" t="str"/>
      <x:c r="P69" s="17" t="str"/>
      <x:c r="Q69" s="4" t="str"/>
      <x:c r="R69" s="4" t="str">
        <x:v>NO_EVIDENCE_YET</x:v>
      </x:c>
      <x:c r="S69" s="17" t="str"/>
      <x:c r="T69" s="4" t="str">
        <x:v>YES</x:v>
      </x:c>
      <x:c r="U69" s="17" t="str">
        <x:v>不得以旧输出、字符串搜索、页面资产或模型自述替代</x:v>
      </x:c>
    </x:row>
    <x:row r="70" ht="23" customHeight="1">
      <x:c r="A70" s="4" t="str">
        <x:v>EVD-069</x:v>
      </x:c>
      <x:c r="B70" s="4" t="str">
        <x:v>P0-069</x:v>
      </x:c>
      <x:c r="C70" s="4" t="str">
        <x:v>M1</x:v>
      </x:c>
      <x:c r="D70" s="4" t="str">
        <x:v>M1-P069</x:v>
      </x:c>
      <x:c r="E70" s="17" t="str">
        <x:v>AUTOMATED_AND_MANUAL_AS_REQUIRED</x:v>
      </x:c>
      <x:c r="F70" s="4" t="str">
        <x:v>CI_PASS</x:v>
      </x:c>
      <x:c r="G70" s="4" t="str">
        <x:v>NOT_EXECUTED</x:v>
      </x:c>
      <x:c r="H70" s="17" t="str">
        <x:v>在对应切片先登记失败测试ID，再记录focused tests与pnpm verify；真机/预发布按要求执行</x:v>
      </x:c>
      <x:c r="I70" s="17" t="str">
        <x:v>门户供应商合作入口可进入注册和登录；审核通过后激活主体管理账号，各业务职能账号分别邀请；supplierId 由服务端绑定，同一人员多职能时必须在账号选择页逐一进入。</x:v>
      </x:c>
      <x:c r="J70" s="17" t="str"/>
      <x:c r="K70" s="4" t="str"/>
      <x:c r="L70" s="4" t="str"/>
      <x:c r="M70" s="4" t="str"/>
      <x:c r="N70" s="4" t="str"/>
      <x:c r="O70" s="17" t="str"/>
      <x:c r="P70" s="17" t="str"/>
      <x:c r="Q70" s="4" t="str"/>
      <x:c r="R70" s="4" t="str">
        <x:v>NO_EVIDENCE_YET</x:v>
      </x:c>
      <x:c r="S70" s="17" t="str"/>
      <x:c r="T70" s="4" t="str">
        <x:v>YES</x:v>
      </x:c>
      <x:c r="U70" s="17" t="str">
        <x:v>不得以旧输出、字符串搜索、页面资产或模型自述替代</x:v>
      </x:c>
    </x:row>
    <x:row r="71" ht="23" customHeight="1">
      <x:c r="A71" s="4" t="str">
        <x:v>EVD-070</x:v>
      </x:c>
      <x:c r="B71" s="4" t="str">
        <x:v>P0-070</x:v>
      </x:c>
      <x:c r="C71" s="4" t="str">
        <x:v>M1</x:v>
      </x:c>
      <x:c r="D71" s="4" t="str">
        <x:v>M1-P070</x:v>
      </x:c>
      <x:c r="E71" s="17" t="str">
        <x:v>AUTOMATED_AND_MANUAL_AS_REQUIRED</x:v>
      </x:c>
      <x:c r="F71" s="4" t="str">
        <x:v>CI_PASS</x:v>
      </x:c>
      <x:c r="G71" s="4" t="str">
        <x:v>NOT_EXECUTED</x:v>
      </x:c>
      <x:c r="H71" s="17" t="str">
        <x:v>在对应切片先登记失败测试ID，再记录focused tests与pnpm verify；真机/预发布按要求执行</x:v>
      </x:c>
      <x:c r="I71" s="17" t="str">
        <x:v>主体管理、商品、价格、库存、履约、售后、财务和审计账号分别进入固定页面且只显示本职能内部菜单；兼任通过多个职能账号切换实现，不允许合并页面或权限。</x:v>
      </x:c>
      <x:c r="J71" s="17" t="str"/>
      <x:c r="K71" s="4" t="str"/>
      <x:c r="L71" s="4" t="str"/>
      <x:c r="M71" s="4" t="str"/>
      <x:c r="N71" s="4" t="str"/>
      <x:c r="O71" s="17" t="str"/>
      <x:c r="P71" s="17" t="str"/>
      <x:c r="Q71" s="4" t="str"/>
      <x:c r="R71" s="4" t="str">
        <x:v>NO_EVIDENCE_YET</x:v>
      </x:c>
      <x:c r="S71" s="17" t="str"/>
      <x:c r="T71" s="4" t="str">
        <x:v>YES</x:v>
      </x:c>
      <x:c r="U71" s="17" t="str">
        <x:v>不得以旧输出、字符串搜索、页面资产或模型自述替代</x:v>
      </x:c>
    </x:row>
    <x:row r="72" ht="23" customHeight="1">
      <x:c r="A72" s="4" t="str">
        <x:v>EVD-071</x:v>
      </x:c>
      <x:c r="B72" s="4" t="str">
        <x:v>P0-071</x:v>
      </x:c>
      <x:c r="C72" s="4" t="str">
        <x:v>M2</x:v>
      </x:c>
      <x:c r="D72" s="4" t="str">
        <x:v>M2-P071</x:v>
      </x:c>
      <x:c r="E72" s="17" t="str">
        <x:v>AUTOMATED_AND_MANUAL_AS_REQUIRED</x:v>
      </x:c>
      <x:c r="F72" s="4" t="str">
        <x:v>CI_PASS</x:v>
      </x:c>
      <x:c r="G72" s="4"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4" t="str"/>
      <x:c r="L72" s="4" t="str"/>
      <x:c r="M72" s="4" t="str"/>
      <x:c r="N72" s="4" t="str"/>
      <x:c r="O72" s="17" t="str"/>
      <x:c r="P72" s="17" t="str"/>
      <x:c r="Q72" s="4" t="str"/>
      <x:c r="R72" s="4" t="str">
        <x:v>NO_EVIDENCE_YET</x:v>
      </x:c>
      <x:c r="S72" s="17" t="str"/>
      <x:c r="T72" s="4" t="str">
        <x:v>YES</x:v>
      </x:c>
      <x:c r="U72" s="17" t="str">
        <x:v>不得以旧输出、字符串搜索、页面资产或模型自述替代</x:v>
      </x:c>
    </x:row>
    <x:row r="73" ht="23" customHeight="1">
      <x:c r="A73" s="4" t="str">
        <x:v>EVD-072</x:v>
      </x:c>
      <x:c r="B73" s="4" t="str">
        <x:v>P0-072</x:v>
      </x:c>
      <x:c r="C73" s="4" t="str">
        <x:v>M1</x:v>
      </x:c>
      <x:c r="D73" s="4" t="str">
        <x:v>M1-P072</x:v>
      </x:c>
      <x:c r="E73" s="17" t="str">
        <x:v>AUTOMATED_AND_MANUAL_AS_REQUIRED</x:v>
      </x:c>
      <x:c r="F73" s="4" t="str">
        <x:v>CI_PASS</x:v>
      </x:c>
      <x:c r="G73" s="4" t="str">
        <x:v>NOT_EXECUTED</x:v>
      </x:c>
      <x:c r="H73" s="17" t="str">
        <x:v>先登记失败测试；同一identityId跨functionalAccount申请/复核、超级管理员绕过与并发复核必须失败，第二自然人合法复核成功并完整审计</x:v>
      </x:c>
      <x:c r="I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J73" s="17" t="str"/>
      <x:c r="K73" s="4" t="str"/>
      <x:c r="L73" s="4" t="str"/>
      <x:c r="M73" s="4" t="str"/>
      <x:c r="N73" s="4" t="str"/>
      <x:c r="O73" s="17" t="str"/>
      <x:c r="P73" s="17" t="str"/>
      <x:c r="Q73" s="4" t="str"/>
      <x:c r="R73" s="4" t="str">
        <x:v>NO_EVIDENCE_YET</x:v>
      </x:c>
      <x:c r="S73" s="17" t="str"/>
      <x:c r="T73" s="4" t="str">
        <x:v>YES</x:v>
      </x:c>
      <x:c r="U73" s="17" t="str">
        <x:v>不得以旧输出、字符串搜索、页面资产或模型自述替代</x:v>
      </x:c>
    </x:row>
    <x:row r="74" ht="23" customHeight="1">
      <x:c r="A74" s="4" t="str">
        <x:v>EVD-073</x:v>
      </x:c>
      <x:c r="B74" s="4" t="str">
        <x:v>P0-073</x:v>
      </x:c>
      <x:c r="C74" s="4" t="str">
        <x:v>M3</x:v>
      </x:c>
      <x:c r="D74" s="4" t="str">
        <x:v>M3-P073</x:v>
      </x:c>
      <x:c r="E74" s="17" t="str">
        <x:v>AUTOMATED_AND_MANUAL_AS_REQUIRED</x:v>
      </x:c>
      <x:c r="F74" s="4" t="str">
        <x:v>CI_PASS</x:v>
      </x:c>
      <x:c r="G74" s="4" t="str">
        <x:v>NOT_EXECUTED</x:v>
      </x:c>
      <x:c r="H74" s="17" t="str">
        <x:v>在对应切片先登记失败测试ID，再记录focused tests与pnpm verify；真机/预发布按要求执行</x:v>
      </x:c>
      <x:c r="I74" s="17" t="str">
        <x:v>桌面和移动端均提供首页、关于、供应链能力、社区集采、福利卡、供应商合作、新闻和联系入口；登录前后企业入口、采购车和工作台状态正确，页脚主体和法律入口完整。</x:v>
      </x:c>
      <x:c r="J74" s="17" t="str"/>
      <x:c r="K74" s="4" t="str"/>
      <x:c r="L74" s="4" t="str"/>
      <x:c r="M74" s="4" t="str"/>
      <x:c r="N74" s="4" t="str"/>
      <x:c r="O74" s="17" t="str"/>
      <x:c r="P74" s="17" t="str"/>
      <x:c r="Q74" s="4" t="str"/>
      <x:c r="R74" s="4" t="str">
        <x:v>NO_EVIDENCE_YET</x:v>
      </x:c>
      <x:c r="S74" s="17" t="str"/>
      <x:c r="T74" s="4" t="str">
        <x:v>YES</x:v>
      </x:c>
      <x:c r="U74" s="17" t="str">
        <x:v>不得以旧输出、字符串搜索、页面资产或模型自述替代</x:v>
      </x:c>
    </x:row>
    <x:row r="75" ht="23" customHeight="1">
      <x:c r="A75" s="4" t="str">
        <x:v>EVD-074</x:v>
      </x:c>
      <x:c r="B75" s="4" t="str">
        <x:v>P0-074</x:v>
      </x:c>
      <x:c r="C75" s="4" t="str">
        <x:v>M3</x:v>
      </x:c>
      <x:c r="D75" s="4" t="str">
        <x:v>M3-P074</x:v>
      </x:c>
      <x:c r="E75" s="17" t="str">
        <x:v>AUTOMATED_AND_MANUAL_AS_REQUIRED</x:v>
      </x:c>
      <x:c r="F75" s="4" t="str">
        <x:v>CI_PASS</x:v>
      </x:c>
      <x:c r="G75" s="4" t="str">
        <x:v>NOT_EXECUTED</x:v>
      </x:c>
      <x:c r="H75" s="17" t="str">
        <x:v>在对应切片先登记失败测试ID，再记录focused tests与pnpm verify；真机/预发布按要求执行</x:v>
      </x:c>
      <x:c r="I75" s="17" t="str">
        <x:v>首页按主视觉、核心服务、供应链能力、社区集采说明、分类预览、授权案例、供应商合作、新闻和底部 CTA 顺序展示；不使用虚构销量、倒计时或未授权案例。</x:v>
      </x:c>
      <x:c r="J75" s="17" t="str"/>
      <x:c r="K75" s="4" t="str"/>
      <x:c r="L75" s="4" t="str"/>
      <x:c r="M75" s="4" t="str"/>
      <x:c r="N75" s="4" t="str"/>
      <x:c r="O75" s="17" t="str"/>
      <x:c r="P75" s="17" t="str"/>
      <x:c r="Q75" s="4" t="str"/>
      <x:c r="R75" s="4" t="str">
        <x:v>NO_EVIDENCE_YET</x:v>
      </x:c>
      <x:c r="S75" s="17" t="str"/>
      <x:c r="T75" s="4" t="str">
        <x:v>YES</x:v>
      </x:c>
      <x:c r="U75" s="17" t="str">
        <x:v>不得以旧输出、字符串搜索、页面资产或模型自述替代</x:v>
      </x:c>
    </x:row>
    <x:row r="76" ht="23" customHeight="1">
      <x:c r="A76" s="4" t="str">
        <x:v>EVD-075</x:v>
      </x:c>
      <x:c r="B76" s="4" t="str">
        <x:v>P0-075</x:v>
      </x:c>
      <x:c r="C76" s="4" t="str">
        <x:v>M3</x:v>
      </x:c>
      <x:c r="D76" s="4" t="str">
        <x:v>M3-P075</x:v>
      </x:c>
      <x:c r="E76" s="17" t="str">
        <x:v>AUTOMATED_AND_MANUAL_AS_REQUIRED</x:v>
      </x:c>
      <x:c r="F76" s="4" t="str">
        <x:v>CI_PASS</x:v>
      </x:c>
      <x:c r="G76" s="4" t="str">
        <x:v>NOT_EXECUTED</x:v>
      </x:c>
      <x:c r="H76" s="17" t="str">
        <x:v>在对应切片先登记失败测试ID，再记录focused tests与pnpm verify；真机/预发布按要求执行</x:v>
      </x:c>
      <x:c r="I76" s="17" t="str">
        <x:v>关于、能力、案例、新闻和联系页面内容完整，资质与案例按授权展示，规则公告保留版本和生效时间，页面具有明确下一步入口。</x:v>
      </x:c>
      <x:c r="J76" s="17" t="str"/>
      <x:c r="K76" s="4" t="str"/>
      <x:c r="L76" s="4" t="str"/>
      <x:c r="M76" s="4" t="str"/>
      <x:c r="N76" s="4" t="str"/>
      <x:c r="O76" s="17" t="str"/>
      <x:c r="P76" s="17" t="str"/>
      <x:c r="Q76" s="4" t="str"/>
      <x:c r="R76" s="4" t="str">
        <x:v>NO_EVIDENCE_YET</x:v>
      </x:c>
      <x:c r="S76" s="17" t="str"/>
      <x:c r="T76" s="4" t="str">
        <x:v>YES</x:v>
      </x:c>
      <x:c r="U76" s="17" t="str">
        <x:v>不得以旧输出、字符串搜索、页面资产或模型自述替代</x:v>
      </x:c>
    </x:row>
    <x:row r="77" ht="23" customHeight="1">
      <x:c r="A77" s="4" t="str">
        <x:v>EVD-076</x:v>
      </x:c>
      <x:c r="B77" s="4" t="str">
        <x:v>P0-076</x:v>
      </x:c>
      <x:c r="C77" s="4" t="str">
        <x:v>M3</x:v>
      </x:c>
      <x:c r="D77" s="4" t="str">
        <x:v>M3-P076</x:v>
      </x:c>
      <x:c r="E77" s="17" t="str">
        <x:v>AUTOMATED_AND_MANUAL_AS_REQUIRED</x:v>
      </x:c>
      <x:c r="F77" s="4" t="str">
        <x:v>CI_PASS</x:v>
      </x:c>
      <x:c r="G77" s="4" t="str">
        <x:v>NOT_EXECUTED</x:v>
      </x:c>
      <x:c r="H77" s="17" t="str">
        <x:v>在对应切片先登记失败测试ID，再记录focused tests与pnpm verify；真机/预发布按要求执行</x:v>
      </x:c>
      <x:c r="I77" s="17" t="str">
        <x:v>供应商合作页明确条件、分类、资料、流程、注册与登录；福利卡服务页明确企业办理和员工使用流程，商务咨询表单最小化收集并幂等提交。</x:v>
      </x:c>
      <x:c r="J77" s="17" t="str"/>
      <x:c r="K77" s="4" t="str"/>
      <x:c r="L77" s="4" t="str"/>
      <x:c r="M77" s="4" t="str"/>
      <x:c r="N77" s="4" t="str"/>
      <x:c r="O77" s="17" t="str"/>
      <x:c r="P77" s="17" t="str"/>
      <x:c r="Q77" s="4" t="str"/>
      <x:c r="R77" s="4" t="str">
        <x:v>NO_EVIDENCE_YET</x:v>
      </x:c>
      <x:c r="S77" s="17" t="str"/>
      <x:c r="T77" s="4" t="str">
        <x:v>YES</x:v>
      </x:c>
      <x:c r="U77" s="17" t="str">
        <x:v>不得以旧输出、字符串搜索、页面资产或模型自述替代</x:v>
      </x:c>
    </x:row>
    <x:row r="78" ht="23" customHeight="1">
      <x:c r="A78" s="4" t="str">
        <x:v>EVD-077</x:v>
      </x:c>
      <x:c r="B78" s="4" t="str">
        <x:v>P0-077</x:v>
      </x:c>
      <x:c r="C78" s="4" t="str">
        <x:v>M3</x:v>
      </x:c>
      <x:c r="D78" s="4" t="str">
        <x:v>M3-P077</x:v>
      </x:c>
      <x:c r="E78" s="17" t="str">
        <x:v>AUTOMATED_AND_MANUAL_AS_REQUIRED</x:v>
      </x:c>
      <x:c r="F78" s="4" t="str">
        <x:v>CI_PASS</x:v>
      </x:c>
      <x:c r="G78" s="4" t="str">
        <x:v>NOT_EXECUTED</x:v>
      </x:c>
      <x:c r="H78" s="17" t="str">
        <x:v>在对应切片先登记失败测试ID，再记录focused tests与pnpm verify；真机/预发布按要求执行</x:v>
      </x:c>
      <x:c r="I78" s="17" t="str">
        <x:v>企业注册、主体、联系人、开票、收货、预览提交和认证进度页面完整；补正定位字段，暂停说明影响，重复企业和上传异常均有安全且可操作的反馈。</x:v>
      </x:c>
      <x:c r="J78" s="17" t="str"/>
      <x:c r="K78" s="4" t="str"/>
      <x:c r="L78" s="4" t="str"/>
      <x:c r="M78" s="4" t="str"/>
      <x:c r="N78" s="4" t="str"/>
      <x:c r="O78" s="17" t="str"/>
      <x:c r="P78" s="17" t="str"/>
      <x:c r="Q78" s="4" t="str"/>
      <x:c r="R78" s="4" t="str">
        <x:v>NO_EVIDENCE_YET</x:v>
      </x:c>
      <x:c r="S78" s="17" t="str"/>
      <x:c r="T78" s="4" t="str">
        <x:v>YES</x:v>
      </x:c>
      <x:c r="U78" s="17" t="str">
        <x:v>不得以旧输出、字符串搜索、页面资产或模型自述替代</x:v>
      </x:c>
    </x:row>
    <x:row r="79" ht="23" customHeight="1">
      <x:c r="A79" s="4" t="str">
        <x:v>EVD-078</x:v>
      </x:c>
      <x:c r="B79" s="4" t="str">
        <x:v>P0-078</x:v>
      </x:c>
      <x:c r="C79" s="4" t="str">
        <x:v>M3</x:v>
      </x:c>
      <x:c r="D79" s="4" t="str">
        <x:v>M3-P078</x:v>
      </x:c>
      <x:c r="E79" s="17" t="str">
        <x:v>AUTOMATED_AND_MANUAL_AS_REQUIRED</x:v>
      </x:c>
      <x:c r="F79" s="4" t="str">
        <x:v>CI_PASS</x:v>
      </x:c>
      <x:c r="G79" s="4" t="str">
        <x:v>NOT_EXECUTED</x:v>
      </x:c>
      <x:c r="H79" s="17" t="str">
        <x:v>在对应切片先登记失败测试ID，再记录focused tests与pnpm verify；真机/预发布按要求执行</x:v>
      </x:c>
      <x:c r="I79" s="17" t="str">
        <x:v>认证企业可使用分类、搜索、筛选、商品卡和模板化详情；只展示带集采标识的共用商品、集采销售价和必要库存状态，供应价与内部毛利在页面和接口中均不存在。</x:v>
      </x:c>
      <x:c r="J79" s="17" t="str"/>
      <x:c r="K79" s="4" t="str"/>
      <x:c r="L79" s="4" t="str"/>
      <x:c r="M79" s="4" t="str"/>
      <x:c r="N79" s="4" t="str"/>
      <x:c r="O79" s="17" t="str"/>
      <x:c r="P79" s="17" t="str"/>
      <x:c r="Q79" s="4" t="str"/>
      <x:c r="R79" s="4" t="str">
        <x:v>NO_EVIDENCE_YET</x:v>
      </x:c>
      <x:c r="S79" s="17" t="str"/>
      <x:c r="T79" s="4" t="str">
        <x:v>YES</x:v>
      </x:c>
      <x:c r="U79" s="17" t="str">
        <x:v>不得以旧输出、字符串搜索、页面资产或模型自述替代</x:v>
      </x:c>
    </x:row>
    <x:row r="80" ht="23" customHeight="1">
      <x:c r="A80" s="4" t="str">
        <x:v>EVD-079</x:v>
      </x:c>
      <x:c r="B80" s="4" t="str">
        <x:v>P0-079</x:v>
      </x:c>
      <x:c r="C80" s="4" t="str">
        <x:v>M3</x:v>
      </x:c>
      <x:c r="D80" s="4" t="str">
        <x:v>M3-P079</x:v>
      </x:c>
      <x:c r="E80" s="17" t="str">
        <x:v>AUTOMATED_AND_MANUAL_AS_REQUIRED</x:v>
      </x:c>
      <x:c r="F80" s="4" t="str">
        <x:v>CI_PASS</x:v>
      </x:c>
      <x:c r="G80" s="4" t="str">
        <x:v>NOT_EXECUTED</x:v>
      </x:c>
      <x:c r="H80" s="17" t="str">
        <x:v>在对应切片先登记失败测试ID，再记录focused tests与pnpm verify；真机/预发布按要求执行</x:v>
      </x:c>
      <x:c r="I80" s="17" t="str">
        <x:v>采购车支持跨供应商分组但统一结账；结算页统一展示商品、地址、开票、配送、付款和总金额，价格/库存/配送变化逐项提示且不产生多次付款。</x:v>
      </x:c>
      <x:c r="J80" s="17" t="str"/>
      <x:c r="K80" s="4" t="str"/>
      <x:c r="L80" s="4" t="str"/>
      <x:c r="M80" s="4" t="str"/>
      <x:c r="N80" s="4" t="str"/>
      <x:c r="O80" s="17" t="str"/>
      <x:c r="P80" s="17" t="str"/>
      <x:c r="Q80" s="4" t="str"/>
      <x:c r="R80" s="4" t="str">
        <x:v>NO_EVIDENCE_YET</x:v>
      </x:c>
      <x:c r="S80" s="17" t="str"/>
      <x:c r="T80" s="4" t="str">
        <x:v>YES</x:v>
      </x:c>
      <x:c r="U80" s="17" t="str">
        <x:v>不得以旧输出、字符串搜索、页面资产或模型自述替代</x:v>
      </x:c>
    </x:row>
    <x:row r="81" ht="23" customHeight="1">
      <x:c r="A81" s="4" t="str">
        <x:v>EVD-080</x:v>
      </x:c>
      <x:c r="B81" s="4" t="str">
        <x:v>P0-080</x:v>
      </x:c>
      <x:c r="C81" s="4" t="str">
        <x:v>M3</x:v>
      </x:c>
      <x:c r="D81" s="4" t="str">
        <x:v>M3-P080</x:v>
      </x:c>
      <x:c r="E81" s="17" t="str">
        <x:v>AUTOMATED_AND_MANUAL_AS_REQUIRED</x:v>
      </x:c>
      <x:c r="F81" s="4" t="str">
        <x:v>CI_PASS</x:v>
      </x:c>
      <x:c r="G81" s="4" t="str">
        <x:v>NOT_EXECUTED</x:v>
      </x:c>
      <x:c r="H81" s="17" t="str">
        <x:v>在对应切片先登记失败测试ID，再记录focused tests与pnpm verify；真机/预发布按要求执行</x:v>
      </x:c>
      <x:c r="I81" s="17" t="str">
        <x:v>工作台、订单列表、订单详情、统一配送时间线、售后、发票、常购清单、企业资料和消息页面完整；数据仅限本企业且不展示供应商内部结算。</x:v>
      </x:c>
      <x:c r="J81" s="17" t="str"/>
      <x:c r="K81" s="4" t="str"/>
      <x:c r="L81" s="4" t="str"/>
      <x:c r="M81" s="4" t="str"/>
      <x:c r="N81" s="4" t="str"/>
      <x:c r="O81" s="17" t="str"/>
      <x:c r="P81" s="17" t="str"/>
      <x:c r="Q81" s="4" t="str"/>
      <x:c r="R81" s="4" t="str">
        <x:v>NO_EVIDENCE_YET</x:v>
      </x:c>
      <x:c r="S81" s="17" t="str"/>
      <x:c r="T81" s="4" t="str">
        <x:v>YES</x:v>
      </x:c>
      <x:c r="U81" s="17" t="str">
        <x:v>不得以旧输出、字符串搜索、页面资产或模型自述替代</x:v>
      </x:c>
    </x:row>
    <x:row r="82" ht="23" customHeight="1">
      <x:c r="A82" s="4" t="str">
        <x:v>EVD-081</x:v>
      </x:c>
      <x:c r="B82" s="4" t="str">
        <x:v>P0-081</x:v>
      </x:c>
      <x:c r="C82" s="4" t="str">
        <x:v>M3</x:v>
      </x:c>
      <x:c r="D82" s="4" t="str">
        <x:v>M3-P081</x:v>
      </x:c>
      <x:c r="E82" s="17" t="str">
        <x:v>AUTOMATED_AND_MANUAL_AS_REQUIRED</x:v>
      </x:c>
      <x:c r="F82" s="4" t="str">
        <x:v>CI_PASS</x:v>
      </x:c>
      <x:c r="G82" s="4" t="str">
        <x:v>NOT_EXECUTED</x:v>
      </x:c>
      <x:c r="H82" s="17" t="str">
        <x:v>在对应切片先登记失败测试ID，再记录focused tests与pnpm verify；真机/预发布按要求执行</x:v>
      </x:c>
      <x:c r="I82" s="17" t="str">
        <x:v>桌面、平板和手机可完成注册、浏览、采购车、下单、订单和售后；加载、空态、失败、未认证、无权限、对象失效和表单错误状态均有明确反馈。</x:v>
      </x:c>
      <x:c r="J82" s="17" t="str"/>
      <x:c r="K82" s="4" t="str"/>
      <x:c r="L82" s="4" t="str"/>
      <x:c r="M82" s="4" t="str"/>
      <x:c r="N82" s="4" t="str"/>
      <x:c r="O82" s="17" t="str"/>
      <x:c r="P82" s="17" t="str"/>
      <x:c r="Q82" s="4" t="str"/>
      <x:c r="R82" s="4" t="str">
        <x:v>NO_EVIDENCE_YET</x:v>
      </x:c>
      <x:c r="S82" s="17" t="str"/>
      <x:c r="T82" s="4" t="str">
        <x:v>YES</x:v>
      </x:c>
      <x:c r="U82" s="17" t="str">
        <x:v>不得以旧输出、字符串搜索、页面资产或模型自述替代</x:v>
      </x:c>
    </x:row>
    <x:row r="83" ht="23" customHeight="1">
      <x:c r="A83" s="4" t="str">
        <x:v>EVD-082</x:v>
      </x:c>
      <x:c r="B83" s="4" t="str">
        <x:v>P0-082</x:v>
      </x:c>
      <x:c r="C83" s="4" t="str">
        <x:v>M5</x:v>
      </x:c>
      <x:c r="D83" s="4" t="str">
        <x:v>M5-P082</x:v>
      </x:c>
      <x:c r="E83" s="17" t="str">
        <x:v>AUTOMATED_AND_MANUAL_AS_REQUIRED</x:v>
      </x:c>
      <x:c r="F83" s="4" t="str">
        <x:v>CI_PASS</x:v>
      </x:c>
      <x:c r="G83" s="4" t="str">
        <x:v>NOT_EXECUTED</x:v>
      </x:c>
      <x:c r="H83" s="17" t="str">
        <x:v>先登记失败测试；检查服务端HTML、metadata/canonical/structured data、sitemap/robots、按slug ISR失效及登录/预览/交易页noindex/private/no-store</x:v>
      </x:c>
      <x:c r="I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3" s="17" t="str"/>
      <x:c r="K83" s="4" t="str"/>
      <x:c r="L83" s="4" t="str"/>
      <x:c r="M83" s="4" t="str"/>
      <x:c r="N83" s="4" t="str"/>
      <x:c r="O83" s="17" t="str"/>
      <x:c r="P83" s="17" t="str"/>
      <x:c r="Q83" s="4" t="str"/>
      <x:c r="R83" s="4" t="str">
        <x:v>NO_EVIDENCE_YET</x:v>
      </x:c>
      <x:c r="S83" s="17" t="str"/>
      <x:c r="T83" s="4" t="str">
        <x:v>YES</x:v>
      </x:c>
      <x:c r="U83" s="17" t="str">
        <x:v>不得以旧输出、字符串搜索、页面资产或模型自述替代</x:v>
      </x:c>
    </x:row>
    <x:row r="84" ht="23" customHeight="1">
      <x:c r="A84" s="4" t="str">
        <x:v>EVD-083</x:v>
      </x:c>
      <x:c r="B84" s="4" t="str">
        <x:v>P0-083</x:v>
      </x:c>
      <x:c r="C84" s="4" t="str">
        <x:v>M3</x:v>
      </x:c>
      <x:c r="D84" s="4" t="str">
        <x:v>M3-P083</x:v>
      </x:c>
      <x:c r="E84" s="17" t="str">
        <x:v>AUTOMATED_AND_MANUAL_AS_REQUIRED</x:v>
      </x:c>
      <x:c r="F84" s="4" t="str">
        <x:v>DEVICE_PASS</x:v>
      </x:c>
      <x:c r="G84" s="4" t="str">
        <x:v>NOT_EXECUTED</x:v>
      </x:c>
      <x:c r="H84" s="17" t="str">
        <x:v>在对应切片先登记失败测试ID，再记录focused tests与pnpm verify；真机/预发布按要求执行</x:v>
      </x:c>
      <x:c r="I84" s="17" t="str">
        <x:v>小程序是个人零售入口，游客可浏览、登录后交易；公司是唯一销售/收款/退款/开票/售后主体，页面不出现企业采购交易、供应商后台或跑腿工作台入口。</x:v>
      </x:c>
      <x:c r="J84" s="17" t="str"/>
      <x:c r="K84" s="4" t="str"/>
      <x:c r="L84" s="4" t="str"/>
      <x:c r="M84" s="4" t="str"/>
      <x:c r="N84" s="4" t="str"/>
      <x:c r="O84" s="17" t="str"/>
      <x:c r="P84" s="17" t="str"/>
      <x:c r="Q84" s="4" t="str"/>
      <x:c r="R84" s="4" t="str">
        <x:v>NO_EVIDENCE_YET</x:v>
      </x:c>
      <x:c r="S84" s="17" t="str"/>
      <x:c r="T84" s="4" t="str">
        <x:v>YES</x:v>
      </x:c>
      <x:c r="U84" s="17" t="str">
        <x:v>不得以旧输出、字符串搜索、页面资产或模型自述替代</x:v>
      </x:c>
    </x:row>
    <x:row r="85" ht="23" customHeight="1">
      <x:c r="A85" s="4" t="str">
        <x:v>EVD-084</x:v>
      </x:c>
      <x:c r="B85" s="4" t="str">
        <x:v>P0-084</x:v>
      </x:c>
      <x:c r="C85" s="4" t="str">
        <x:v>M3</x:v>
      </x:c>
      <x:c r="D85" s="4" t="str">
        <x:v>M3-P084</x:v>
      </x:c>
      <x:c r="E85" s="17" t="str">
        <x:v>AUTOMATED_AND_MANUAL_AS_REQUIRED</x:v>
      </x:c>
      <x:c r="F85" s="4" t="str">
        <x:v>DEVICE_PASS</x:v>
      </x:c>
      <x:c r="G85" s="4" t="str">
        <x:v>NOT_EXECUTED</x:v>
      </x:c>
      <x:c r="H85" s="17" t="str">
        <x:v>在对应切片先登记失败测试ID，再记录focused tests与pnpm verify；真机/预发布按要求执行</x:v>
      </x:c>
      <x:c r="I85" s="17" t="str">
        <x:v>首页、分类、购物车、我的四个 TabBar 入口及搜索、详情、确认订单、支付结果、订单、售后、福利卡、地址、发票、消息和客服页面路径完整，深链返回和登录回跳正确。</x:v>
      </x:c>
      <x:c r="J85" s="17" t="str"/>
      <x:c r="K85" s="4" t="str"/>
      <x:c r="L85" s="4" t="str"/>
      <x:c r="M85" s="4" t="str"/>
      <x:c r="N85" s="4" t="str"/>
      <x:c r="O85" s="17" t="str"/>
      <x:c r="P85" s="17" t="str"/>
      <x:c r="Q85" s="4" t="str"/>
      <x:c r="R85" s="4" t="str">
        <x:v>NO_EVIDENCE_YET</x:v>
      </x:c>
      <x:c r="S85" s="17" t="str"/>
      <x:c r="T85" s="4" t="str">
        <x:v>YES</x:v>
      </x:c>
      <x:c r="U85" s="17" t="str">
        <x:v>不得以旧输出、字符串搜索、页面资产或模型自述替代</x:v>
      </x:c>
    </x:row>
    <x:row r="86" ht="23" customHeight="1">
      <x:c r="A86" s="4" t="str">
        <x:v>EVD-085</x:v>
      </x:c>
      <x:c r="B86" s="4" t="str">
        <x:v>P0-085</x:v>
      </x:c>
      <x:c r="C86" s="4" t="str">
        <x:v>M3</x:v>
      </x:c>
      <x:c r="D86" s="4" t="str">
        <x:v>M3-P085</x:v>
      </x:c>
      <x:c r="E86" s="17" t="str">
        <x:v>AUTOMATED_AND_MANUAL_AS_REQUIRED</x:v>
      </x:c>
      <x:c r="F86" s="4" t="str">
        <x:v>DEVICE_PASS</x:v>
      </x:c>
      <x:c r="G86" s="4" t="str">
        <x:v>NOT_EXECUTED</x:v>
      </x:c>
      <x:c r="H86" s="17" t="str">
        <x:v>在对应切片先登记失败测试ID，再记录focused tests与pnpm verify；真机/预发布按要求执行</x:v>
      </x:c>
      <x:c r="I86" s="17" t="str">
        <x:v>启动不强制手机号、定位或订阅消息授权；受保护操作再登录并说明用途，拒绝授权仍可游客浏览；服务端以微信身份绑定 userId，前端不能指定他人身份。</x:v>
      </x:c>
      <x:c r="J86" s="17" t="str"/>
      <x:c r="K86" s="4" t="str"/>
      <x:c r="L86" s="4" t="str"/>
      <x:c r="M86" s="4" t="str"/>
      <x:c r="N86" s="4" t="str"/>
      <x:c r="O86" s="17" t="str"/>
      <x:c r="P86" s="17" t="str"/>
      <x:c r="Q86" s="4" t="str"/>
      <x:c r="R86" s="4" t="str">
        <x:v>NO_EVIDENCE_YET</x:v>
      </x:c>
      <x:c r="S86" s="17" t="str"/>
      <x:c r="T86" s="4" t="str">
        <x:v>YES</x:v>
      </x:c>
      <x:c r="U86" s="17" t="str">
        <x:v>不得以旧输出、字符串搜索、页面资产或模型自述替代</x:v>
      </x:c>
    </x:row>
    <x:row r="87" ht="23" customHeight="1">
      <x:c r="A87" s="4" t="str">
        <x:v>EVD-086</x:v>
      </x:c>
      <x:c r="B87" s="4" t="str">
        <x:v>P0-086</x:v>
      </x:c>
      <x:c r="C87" s="4" t="str">
        <x:v>M3</x:v>
      </x:c>
      <x:c r="D87" s="4" t="str">
        <x:v>M3-P086</x:v>
      </x:c>
      <x:c r="E87" s="17" t="str">
        <x:v>AUTOMATED_AND_MANUAL_AS_REQUIRED</x:v>
      </x:c>
      <x:c r="F87" s="4" t="str">
        <x:v>DEVICE_PASS</x:v>
      </x:c>
      <x:c r="G87" s="4" t="str">
        <x:v>NOT_EXECUTED</x:v>
      </x:c>
      <x:c r="H87" s="17" t="str">
        <x:v>在对应切片先登记失败测试ID，再记录focused tests与pnpm verify；真机/预发布按要求执行</x:v>
      </x:c>
      <x:c r="I87" s="17" t="str">
        <x:v>收货区域、搜索、运营位、快捷分类、福利专区、主题商品、推荐/继续购买和服务保障完整；运营内容有有效期与落地页白名单，切换区域后重新校验但不直接清空购物车。</x:v>
      </x:c>
      <x:c r="J87" s="17" t="str"/>
      <x:c r="K87" s="4" t="str"/>
      <x:c r="L87" s="4" t="str"/>
      <x:c r="M87" s="4" t="str"/>
      <x:c r="N87" s="4" t="str"/>
      <x:c r="O87" s="17" t="str"/>
      <x:c r="P87" s="17" t="str"/>
      <x:c r="Q87" s="4" t="str"/>
      <x:c r="R87" s="4" t="str">
        <x:v>NO_EVIDENCE_YET</x:v>
      </x:c>
      <x:c r="S87" s="17" t="str"/>
      <x:c r="T87" s="4" t="str">
        <x:v>YES</x:v>
      </x:c>
      <x:c r="U87" s="17" t="str">
        <x:v>不得以旧输出、字符串搜索、页面资产或模型自述替代</x:v>
      </x:c>
    </x:row>
    <x:row r="88" ht="23" customHeight="1">
      <x:c r="A88" s="4" t="str">
        <x:v>EVD-087</x:v>
      </x:c>
      <x:c r="B88" s="4" t="str">
        <x:v>P0-087</x:v>
      </x:c>
      <x:c r="C88" s="4" t="str">
        <x:v>M3</x:v>
      </x:c>
      <x:c r="D88" s="4" t="str">
        <x:v>M3-P087</x:v>
      </x:c>
      <x:c r="E88" s="17" t="str">
        <x:v>AUTOMATED_AND_MANUAL_AS_REQUIRED</x:v>
      </x:c>
      <x:c r="F88" s="4" t="str">
        <x:v>DEVICE_PASS</x:v>
      </x:c>
      <x:c r="G88" s="4" t="str">
        <x:v>NOT_EXECUTED</x:v>
      </x:c>
      <x:c r="H88" s="17" t="str">
        <x:v>在对应切片先登记失败测试ID，再记录focused tests与pnpm verify；真机/预发布按要求执行</x:v>
      </x:c>
      <x:c r="I88" s="17" t="str">
        <x:v>启用分类树、搜索建议、模板属性筛选、排序、稳定分页和状态恢复完整；只返回个人渠道可售商品和平台零售价，无结果、下架、售罄及区域不可售均可理解并可恢复。</x:v>
      </x:c>
      <x:c r="J88" s="17" t="str"/>
      <x:c r="K88" s="4" t="str"/>
      <x:c r="L88" s="4" t="str"/>
      <x:c r="M88" s="4" t="str"/>
      <x:c r="N88" s="4" t="str"/>
      <x:c r="O88" s="17" t="str"/>
      <x:c r="P88" s="17" t="str"/>
      <x:c r="Q88" s="4" t="str"/>
      <x:c r="R88" s="4" t="str">
        <x:v>NO_EVIDENCE_YET</x:v>
      </x:c>
      <x:c r="S88" s="17" t="str"/>
      <x:c r="T88" s="4" t="str">
        <x:v>YES</x:v>
      </x:c>
      <x:c r="U88" s="17" t="str">
        <x:v>不得以旧输出、字符串搜索、页面资产或模型自述替代</x:v>
      </x:c>
    </x:row>
    <x:row r="89" ht="23" customHeight="1">
      <x:c r="A89" s="4" t="str">
        <x:v>EVD-088</x:v>
      </x:c>
      <x:c r="B89" s="4" t="str">
        <x:v>P0-088</x:v>
      </x:c>
      <x:c r="C89" s="4" t="str">
        <x:v>M3</x:v>
      </x:c>
      <x:c r="D89" s="4" t="str">
        <x:v>M3-P088</x:v>
      </x:c>
      <x:c r="E89" s="17" t="str">
        <x:v>AUTOMATED_AND_MANUAL_AS_REQUIRED</x:v>
      </x:c>
      <x:c r="F89" s="4" t="str">
        <x:v>DEVICE_PASS</x:v>
      </x:c>
      <x:c r="G89" s="4" t="str">
        <x:v>NOT_EXECUTED</x:v>
      </x:c>
      <x:c r="H89" s="17" t="str">
        <x:v>在对应切片先登记失败测试ID，再记录focused tests与pnpm verify；真机/预发布按要求执行</x:v>
      </x:c>
      <x:c r="I89" s="17" t="str">
        <x:v>商品媒体、标题、平台零售价、SKU、福利卡适用、库存、配送、售后、分类模板模块、供应来源和底部操作完整；不同分类按模板版本展示且历史订单快照不被升级改写。</x:v>
      </x:c>
      <x:c r="J89" s="17" t="str"/>
      <x:c r="K89" s="4" t="str"/>
      <x:c r="L89" s="4" t="str"/>
      <x:c r="M89" s="4" t="str"/>
      <x:c r="N89" s="4" t="str"/>
      <x:c r="O89" s="17" t="str"/>
      <x:c r="P89" s="17" t="str"/>
      <x:c r="Q89" s="4" t="str"/>
      <x:c r="R89" s="4" t="str">
        <x:v>NO_EVIDENCE_YET</x:v>
      </x:c>
      <x:c r="S89" s="17" t="str"/>
      <x:c r="T89" s="4" t="str">
        <x:v>YES</x:v>
      </x:c>
      <x:c r="U89" s="17" t="str">
        <x:v>不得以旧输出、字符串搜索、页面资产或模型自述替代</x:v>
      </x:c>
    </x:row>
    <x:row r="90" ht="23" customHeight="1">
      <x:c r="A90" s="4" t="str">
        <x:v>EVD-089</x:v>
      </x:c>
      <x:c r="B90" s="4" t="str">
        <x:v>P0-089</x:v>
      </x:c>
      <x:c r="C90" s="4" t="str">
        <x:v>M3</x:v>
      </x:c>
      <x:c r="D90" s="4" t="str">
        <x:v>M3-P089</x:v>
      </x:c>
      <x:c r="E90" s="17" t="str">
        <x:v>AUTOMATED_AND_MANUAL_AS_REQUIRED</x:v>
      </x:c>
      <x:c r="F90" s="4" t="str">
        <x:v>DEVICE_PASS</x:v>
      </x:c>
      <x:c r="G90" s="4" t="str">
        <x:v>NOT_EXECUTED</x:v>
      </x:c>
      <x:c r="H90" s="17" t="str">
        <x:v>在对应切片先登记失败测试ID，再记录focused tests与pnpm verify；真机/预发布按要求执行</x:v>
      </x:c>
      <x:c r="I90" s="17" t="str">
        <x:v>按当前 supplierId 返回公司已审核上架且个人可售的 Product/Sku，继续使用公司货架、价格、购物车、协议和客服；不存在供应商店铺、装修、评分、联系方式、独立售后或独立付款。</x:v>
      </x:c>
      <x:c r="J90" s="17" t="str"/>
      <x:c r="K90" s="4" t="str"/>
      <x:c r="L90" s="4" t="str"/>
      <x:c r="M90" s="4" t="str"/>
      <x:c r="N90" s="4" t="str"/>
      <x:c r="O90" s="17" t="str"/>
      <x:c r="P90" s="17" t="str"/>
      <x:c r="Q90" s="4" t="str"/>
      <x:c r="R90" s="4" t="str">
        <x:v>NO_EVIDENCE_YET</x:v>
      </x:c>
      <x:c r="S90" s="17" t="str"/>
      <x:c r="T90" s="4" t="str">
        <x:v>YES</x:v>
      </x:c>
      <x:c r="U90" s="17" t="str">
        <x:v>不得以旧输出、字符串搜索、页面资产或模型自述替代</x:v>
      </x:c>
    </x:row>
    <x:row r="91" ht="23" customHeight="1">
      <x:c r="A91" s="4" t="str">
        <x:v>EVD-090</x:v>
      </x:c>
      <x:c r="B91" s="4" t="str">
        <x:v>P0-090</x:v>
      </x:c>
      <x:c r="C91" s="4" t="str">
        <x:v>M3</x:v>
      </x:c>
      <x:c r="D91" s="4" t="str">
        <x:v>M3-P090</x:v>
      </x:c>
      <x:c r="E91" s="17" t="str">
        <x:v>AUTOMATED_AND_MANUAL_AS_REQUIRED</x:v>
      </x:c>
      <x:c r="F91" s="4" t="str">
        <x:v>DEVICE_PASS</x:v>
      </x:c>
      <x:c r="G91" s="4" t="str">
        <x:v>NOT_EXECUTED</x:v>
      </x:c>
      <x:c r="H91" s="17" t="str">
        <x:v>在对应切片先登记失败测试ID，再记录focused tests与pnpm verify；真机/预发布按要求执行</x:v>
      </x:c>
      <x:c r="I91" s="17" t="str">
        <x:v>至少三个供应商商品可按供应来源分组选择、改数量、处理失效项并一次进入结算；前端不按供应商多次创建订单或多次付款，分组仅用于备货和配送说明。</x:v>
      </x:c>
      <x:c r="J91" s="17" t="str"/>
      <x:c r="K91" s="4" t="str"/>
      <x:c r="L91" s="4" t="str"/>
      <x:c r="M91" s="4" t="str"/>
      <x:c r="N91" s="4" t="str"/>
      <x:c r="O91" s="17" t="str"/>
      <x:c r="P91" s="17" t="str"/>
      <x:c r="Q91" s="4" t="str"/>
      <x:c r="R91" s="4" t="str">
        <x:v>NO_EVIDENCE_YET</x:v>
      </x:c>
      <x:c r="S91" s="17" t="str"/>
      <x:c r="T91" s="4" t="str">
        <x:v>YES</x:v>
      </x:c>
      <x:c r="U91" s="17" t="str">
        <x:v>不得以旧输出、字符串搜索、页面资产或模型自述替代</x:v>
      </x:c>
    </x:row>
    <x:row r="92" ht="23" customHeight="1">
      <x:c r="A92" s="4" t="str">
        <x:v>EVD-091</x:v>
      </x:c>
      <x:c r="B92" s="4" t="str">
        <x:v>P0-091</x:v>
      </x:c>
      <x:c r="C92" s="4" t="str">
        <x:v>M3</x:v>
      </x:c>
      <x:c r="D92" s="4" t="str">
        <x:v>M3-P091</x:v>
      </x:c>
      <x:c r="E92" s="17" t="str">
        <x:v>AUTOMATED_AND_MANUAL_AS_REQUIRED</x:v>
      </x:c>
      <x:c r="F92" s="4" t="str">
        <x:v>DEVICE_PASS</x:v>
      </x:c>
      <x:c r="G92" s="4" t="str">
        <x:v>NOT_EXECUTED</x:v>
      </x:c>
      <x:c r="H92" s="17" t="str">
        <x:v>在对应切片先登记失败测试ID，再记录focused tests与pnpm verify；真机/预发布按要求执行</x:v>
      </x:c>
      <x:c r="I92" s="17" t="str">
        <x:v>地址、商品分组、配送费、优惠、福利卡、微信支付应付、发票、备注、协议和金额明细完整；现金应付大于零时固定显示微信支付，不展示其他支付渠道；服务端统一试算并逐项提示价格、库存、区域、限购和配送变化。</x:v>
      </x:c>
      <x:c r="J92" s="17" t="str"/>
      <x:c r="K92" s="4" t="str"/>
      <x:c r="L92" s="4" t="str"/>
      <x:c r="M92" s="4" t="str"/>
      <x:c r="N92" s="4" t="str"/>
      <x:c r="O92" s="17" t="str"/>
      <x:c r="P92" s="17" t="str"/>
      <x:c r="Q92" s="4" t="str"/>
      <x:c r="R92" s="4" t="str">
        <x:v>NO_EVIDENCE_YET</x:v>
      </x:c>
      <x:c r="S92" s="17" t="str"/>
      <x:c r="T92" s="4" t="str">
        <x:v>YES</x:v>
      </x:c>
      <x:c r="U92" s="17" t="str">
        <x:v>不得以旧输出、字符串搜索、页面资产或模型自述替代</x:v>
      </x:c>
    </x:row>
    <x:row r="93" ht="23" customHeight="1">
      <x:c r="A93" s="4" t="str">
        <x:v>EVD-092</x:v>
      </x:c>
      <x:c r="B93" s="4" t="str">
        <x:v>P0-092</x:v>
      </x:c>
      <x:c r="C93" s="4" t="str">
        <x:v>M3</x:v>
      </x:c>
      <x:c r="D93" s="4" t="str">
        <x:v>M3-P092</x:v>
      </x:c>
      <x:c r="E93" s="17" t="str">
        <x:v>AUTOMATED_AND_MANUAL_AS_REQUIRED</x:v>
      </x:c>
      <x:c r="F93" s="4" t="str">
        <x:v>DEVICE_PASS</x:v>
      </x:c>
      <x:c r="G93" s="4" t="str">
        <x:v>NOT_EXECUTED</x:v>
      </x:c>
      <x:c r="H93" s="17" t="str">
        <x:v>在对应切片先登记失败测试ID，再记录focused tests与pnpm verify；真机/预发布按要求执行</x:v>
      </x:c>
      <x:c r="I93" s="17" t="str">
        <x:v>结算页只显示当前订单可用账户，P0 选择一个账户或不使用；系统自动按可用余额与可抵扣金额的较小值最大抵扣，不要求手填金额，适用与不可用商品说明一致。</x:v>
      </x:c>
      <x:c r="J93" s="17" t="str"/>
      <x:c r="K93" s="4" t="str"/>
      <x:c r="L93" s="4" t="str"/>
      <x:c r="M93" s="4" t="str"/>
      <x:c r="N93" s="4" t="str"/>
      <x:c r="O93" s="17" t="str"/>
      <x:c r="P93" s="17" t="str"/>
      <x:c r="Q93" s="4" t="str"/>
      <x:c r="R93" s="4" t="str">
        <x:v>NO_EVIDENCE_YET</x:v>
      </x:c>
      <x:c r="S93" s="17" t="str"/>
      <x:c r="T93" s="4" t="str">
        <x:v>YES</x:v>
      </x:c>
      <x:c r="U93" s="17" t="str">
        <x:v>不得以旧输出、字符串搜索、页面资产或模型自述替代</x:v>
      </x:c>
    </x:row>
    <x:row r="94" ht="23" customHeight="1">
      <x:c r="A94" s="4" t="str">
        <x:v>EVD-093</x:v>
      </x:c>
      <x:c r="B94" s="4" t="str">
        <x:v>P0-093</x:v>
      </x:c>
      <x:c r="C94" s="4" t="str">
        <x:v>M3</x:v>
      </x:c>
      <x:c r="D94" s="4" t="str">
        <x:v>M3-P093</x:v>
      </x:c>
      <x:c r="E94" s="17" t="str">
        <x:v>AUTOMATED_AND_MANUAL_AS_REQUIRED</x:v>
      </x:c>
      <x:c r="F94" s="4" t="str">
        <x:v>DEVICE_PASS</x:v>
      </x:c>
      <x:c r="G94" s="4" t="str">
        <x:v>NOT_EXECUTED</x:v>
      </x:c>
      <x:c r="H94" s="17" t="str">
        <x:v>在对应切片先登记失败测试ID，再记录focused tests与pnpm verify；真机/预发布按要求执行</x:v>
      </x:c>
      <x:c r="I94" s="17" t="str">
        <x:v>纯微信支付、福利卡全额和福利卡＋微信支付均只形成一次公司结账；结果页查询服务端微信支付真实状态，取消/失败/未知状态正确冻结或释放福利卡与库存，退出或断网后可恢复且不重复扣款。</x:v>
      </x:c>
      <x:c r="J94" s="17" t="str"/>
      <x:c r="K94" s="4" t="str"/>
      <x:c r="L94" s="4" t="str"/>
      <x:c r="M94" s="4" t="str"/>
      <x:c r="N94" s="4" t="str"/>
      <x:c r="O94" s="17" t="str"/>
      <x:c r="P94" s="17" t="str"/>
      <x:c r="Q94" s="4" t="str"/>
      <x:c r="R94" s="4" t="str">
        <x:v>NO_EVIDENCE_YET</x:v>
      </x:c>
      <x:c r="S94" s="17" t="str"/>
      <x:c r="T94" s="4" t="str">
        <x:v>YES</x:v>
      </x:c>
      <x:c r="U94" s="17" t="str">
        <x:v>不得以旧输出、字符串搜索、页面资产或模型自述替代</x:v>
      </x:c>
    </x:row>
    <x:row r="95" ht="23" customHeight="1">
      <x:c r="A95" s="4" t="str">
        <x:v>EVD-094</x:v>
      </x:c>
      <x:c r="B95" s="4" t="str">
        <x:v>P0-094</x:v>
      </x:c>
      <x:c r="C95" s="4" t="str">
        <x:v>M3</x:v>
      </x:c>
      <x:c r="D95" s="4" t="str">
        <x:v>M3-P094</x:v>
      </x:c>
      <x:c r="E95" s="17" t="str">
        <x:v>AUTOMATED_AND_MANUAL_AS_REQUIRED</x:v>
      </x:c>
      <x:c r="F95" s="4" t="str">
        <x:v>DEVICE_PASS</x:v>
      </x:c>
      <x:c r="G95" s="4" t="str">
        <x:v>NOT_EXECUTED</x:v>
      </x:c>
      <x:c r="H95" s="17" t="str">
        <x:v>在对应切片先登记失败测试ID，再记录focused tests与pnpm verify；真机/预发布按要求执行</x:v>
      </x:c>
      <x:c r="I95" s="17" t="str">
        <x:v>订单列表和详情同时表达一个公司主订单、一次支付、多个供应商履约子单、福利卡/微信支付结构、发票和售后；用户端不返回供应价、供应商应付、跑腿报酬或内部备注。</x:v>
      </x:c>
      <x:c r="J95" s="17" t="str"/>
      <x:c r="K95" s="4" t="str"/>
      <x:c r="L95" s="4" t="str"/>
      <x:c r="M95" s="4" t="str"/>
      <x:c r="N95" s="4" t="str"/>
      <x:c r="O95" s="17" t="str"/>
      <x:c r="P95" s="17" t="str"/>
      <x:c r="Q95" s="4" t="str"/>
      <x:c r="R95" s="4" t="str">
        <x:v>NO_EVIDENCE_YET</x:v>
      </x:c>
      <x:c r="S95" s="17" t="str"/>
      <x:c r="T95" s="4" t="str">
        <x:v>YES</x:v>
      </x:c>
      <x:c r="U95" s="17" t="str">
        <x:v>不得以旧输出、字符串搜索、页面资产或模型自述替代</x:v>
      </x:c>
    </x:row>
    <x:row r="96" ht="23" customHeight="1">
      <x:c r="A96" s="4" t="str">
        <x:v>EVD-095</x:v>
      </x:c>
      <x:c r="B96" s="4" t="str">
        <x:v>P0-095</x:v>
      </x:c>
      <x:c r="C96" s="4" t="str">
        <x:v>M4</x:v>
      </x:c>
      <x:c r="D96" s="4" t="str">
        <x:v>M4-P095</x:v>
      </x:c>
      <x:c r="E96" s="17" t="str">
        <x:v>AUTOMATED_AND_MANUAL_AS_REQUIRED</x:v>
      </x:c>
      <x:c r="F96" s="4" t="str">
        <x:v>DEVICE_PASS</x:v>
      </x:c>
      <x:c r="G96" s="4" t="str">
        <x:v>NOT_EXECUTED</x:v>
      </x:c>
      <x:c r="H96" s="17" t="str">
        <x:v>在对应切片先登记失败测试ID，再记录focused tests与pnpm verify；真机/预发布按要求执行</x:v>
      </x:c>
      <x:c r="I96" s="17" t="str">
        <x:v>同一主订单的每个个人供应商子单可展示独立跑腿配送卡与顺序节点，支持多个跑腿员、分批送达、异常和分项收货；单个子单送达不误标整单送达。</x:v>
      </x:c>
      <x:c r="J96" s="17" t="str"/>
      <x:c r="K96" s="4" t="str"/>
      <x:c r="L96" s="4" t="str"/>
      <x:c r="M96" s="4" t="str"/>
      <x:c r="N96" s="4" t="str"/>
      <x:c r="O96" s="17" t="str"/>
      <x:c r="P96" s="17" t="str"/>
      <x:c r="Q96" s="4" t="str"/>
      <x:c r="R96" s="4" t="str">
        <x:v>NO_EVIDENCE_YET</x:v>
      </x:c>
      <x:c r="S96" s="17" t="str"/>
      <x:c r="T96" s="4" t="str">
        <x:v>YES</x:v>
      </x:c>
      <x:c r="U96" s="17" t="str">
        <x:v>不得以旧输出、字符串搜索、页面资产或模型自述替代</x:v>
      </x:c>
    </x:row>
    <x:row r="97" ht="23" customHeight="1">
      <x:c r="A97" s="4" t="str">
        <x:v>EVD-096</x:v>
      </x:c>
      <x:c r="B97" s="4" t="str">
        <x:v>P0-096</x:v>
      </x:c>
      <x:c r="C97" s="4" t="str">
        <x:v>M3</x:v>
      </x:c>
      <x:c r="D97" s="4" t="str">
        <x:v>M3-P096</x:v>
      </x:c>
      <x:c r="E97" s="17" t="str">
        <x:v>AUTOMATED_AND_MANUAL_AS_REQUIRED</x:v>
      </x:c>
      <x:c r="F97" s="4" t="str">
        <x:v>DEVICE_PASS</x:v>
      </x:c>
      <x:c r="G97" s="4" t="str">
        <x:v>NOT_EXECUTED</x:v>
      </x:c>
      <x:c r="H97" s="17" t="str">
        <x:v>在对应切片先登记失败测试ID，再记录focused tests与pnpm verify；真机/预发布按要求执行</x:v>
      </x:c>
      <x:c r="I97" s="17" t="str">
        <x:v>支持按商品/子单申请、动态原因与凭证、补证、处理时间线、退货说明、客服申诉和部分退款；公司统一受理，福利卡与微信支付严格按原 OrderPaymentAllocation 退回。</x:v>
      </x:c>
      <x:c r="J97" s="17" t="str"/>
      <x:c r="K97" s="4" t="str"/>
      <x:c r="L97" s="4" t="str"/>
      <x:c r="M97" s="4" t="str"/>
      <x:c r="N97" s="4" t="str"/>
      <x:c r="O97" s="17" t="str"/>
      <x:c r="P97" s="17" t="str"/>
      <x:c r="Q97" s="4" t="str"/>
      <x:c r="R97" s="4" t="str">
        <x:v>NO_EVIDENCE_YET</x:v>
      </x:c>
      <x:c r="S97" s="17" t="str"/>
      <x:c r="T97" s="4" t="str">
        <x:v>YES</x:v>
      </x:c>
      <x:c r="U97" s="17" t="str">
        <x:v>不得以旧输出、字符串搜索、页面资产或模型自述替代</x:v>
      </x:c>
    </x:row>
    <x:row r="98" ht="23" customHeight="1">
      <x:c r="A98" s="4" t="str">
        <x:v>EVD-097</x:v>
      </x:c>
      <x:c r="B98" s="4" t="str">
        <x:v>P0-097</x:v>
      </x:c>
      <x:c r="C98" s="4" t="str">
        <x:v>M3</x:v>
      </x:c>
      <x:c r="D98" s="4" t="str">
        <x:v>M3-P097</x:v>
      </x:c>
      <x:c r="E98" s="17" t="str">
        <x:v>AUTOMATED_AND_MANUAL_AS_REQUIRED</x:v>
      </x:c>
      <x:c r="F98" s="4" t="str">
        <x:v>DEVICE_PASS</x:v>
      </x:c>
      <x:c r="G98" s="4" t="str">
        <x:v>NOT_EXECUTED</x:v>
      </x:c>
      <x:c r="H98" s="17" t="str">
        <x:v>在对应切片先登记失败测试ID，再记录focused tests与pnpm verify；真机/预发布按要求执行</x:v>
      </x:c>
      <x:c r="I98" s="17" t="str">
        <x:v>福利卡账户/绑定/流水、地址、发票资料、消息、客服、协议、隐私授权、账号安全和注销入口完整；卡码兑换幂等、敏感字段脱敏、订阅拒绝不影响交易。</x:v>
      </x:c>
      <x:c r="J98" s="17" t="str"/>
      <x:c r="K98" s="4" t="str"/>
      <x:c r="L98" s="4" t="str"/>
      <x:c r="M98" s="4" t="str"/>
      <x:c r="N98" s="4" t="str"/>
      <x:c r="O98" s="17" t="str"/>
      <x:c r="P98" s="17" t="str"/>
      <x:c r="Q98" s="4" t="str"/>
      <x:c r="R98" s="4" t="str">
        <x:v>NO_EVIDENCE_YET</x:v>
      </x:c>
      <x:c r="S98" s="17" t="str"/>
      <x:c r="T98" s="4" t="str">
        <x:v>YES</x:v>
      </x:c>
      <x:c r="U98" s="17" t="str">
        <x:v>不得以旧输出、字符串搜索、页面资产或模型自述替代</x:v>
      </x:c>
    </x:row>
    <x:row r="99" ht="23" customHeight="1">
      <x:c r="A99" s="4" t="str">
        <x:v>EVD-098</x:v>
      </x:c>
      <x:c r="B99" s="4" t="str">
        <x:v>P0-098</x:v>
      </x:c>
      <x:c r="C99" s="4" t="str">
        <x:v>M3</x:v>
      </x:c>
      <x:c r="D99" s="4" t="str">
        <x:v>M3-P098</x:v>
      </x:c>
      <x:c r="E99" s="17" t="str">
        <x:v>AUTOMATED_AND_MANUAL_AS_REQUIRED</x:v>
      </x:c>
      <x:c r="F99" s="4" t="str">
        <x:v>DEVICE_PASS</x:v>
      </x:c>
      <x:c r="G99" s="4" t="str">
        <x:v>NOT_EXECUTED</x:v>
      </x:c>
      <x:c r="H99" s="17" t="str">
        <x:v>在对应切片先登记失败测试ID，再记录focused tests与pnpm verify；真机/预发布按要求执行</x:v>
      </x:c>
      <x:c r="I99" s="17" t="str">
        <x:v>骨架、空态、失败、离线、登录失效、对象下架、支付未知、上传失败、分包、图片懒加载、弱网恢复、字号放大、对象级权限、分享安全和最小化埋点均通过验收；任何接口、日志、缓存或埋点均不泄露供应价及个人敏感数据。</x:v>
      </x:c>
      <x:c r="J99" s="17" t="str"/>
      <x:c r="K99" s="4" t="str"/>
      <x:c r="L99" s="4" t="str"/>
      <x:c r="M99" s="4" t="str"/>
      <x:c r="N99" s="4" t="str"/>
      <x:c r="O99" s="17" t="str"/>
      <x:c r="P99" s="17" t="str"/>
      <x:c r="Q99" s="4" t="str"/>
      <x:c r="R99" s="4" t="str">
        <x:v>NO_EVIDENCE_YET</x:v>
      </x:c>
      <x:c r="S99" s="17" t="str"/>
      <x:c r="T99" s="4" t="str">
        <x:v>YES</x:v>
      </x:c>
      <x:c r="U99" s="17" t="str">
        <x:v>不得以旧输出、字符串搜索、页面资产或模型自述替代</x:v>
      </x:c>
    </x:row>
    <x:row r="100" ht="23" customHeight="1">
      <x:c r="A100" s="4" t="str">
        <x:v>EVD-099</x:v>
      </x:c>
      <x:c r="B100" s="4" t="str">
        <x:v>P0-099</x:v>
      </x:c>
      <x:c r="C100" s="4" t="str">
        <x:v>M4</x:v>
      </x:c>
      <x:c r="D100" s="4" t="str">
        <x:v>M4-P099</x:v>
      </x:c>
      <x:c r="E100" s="17" t="str">
        <x:v>AUTOMATED_AND_MANUAL_AS_REQUIRED</x:v>
      </x:c>
      <x:c r="F100" s="4" t="str">
        <x:v>CI_PASS</x:v>
      </x:c>
      <x:c r="G100" s="4" t="str">
        <x:v>NOT_EXECUTED</x:v>
      </x:c>
      <x:c r="H100" s="17" t="str">
        <x:v>在对应切片先登记失败测试ID，再记录focused tests与pnpm verify；真机/预发布按要求执行</x:v>
      </x:c>
      <x:c r="I100" s="17" t="str">
        <x:v>个人零售子单只能生成 RETAIL_RUNNER DeliveryTask 并进入跑腿小程序；企业采购子单只能汇总进入 EnterpriseDeliveryOrder。两套接口、会话、通知、状态和数据权限互相拒绝。</x:v>
      </x:c>
      <x:c r="J100" s="17" t="str"/>
      <x:c r="K100" s="4" t="str"/>
      <x:c r="L100" s="4" t="str"/>
      <x:c r="M100" s="4" t="str"/>
      <x:c r="N100" s="4" t="str"/>
      <x:c r="O100" s="17" t="str"/>
      <x:c r="P100" s="17" t="str"/>
      <x:c r="Q100" s="4" t="str"/>
      <x:c r="R100" s="4" t="str">
        <x:v>NO_EVIDENCE_YET</x:v>
      </x:c>
      <x:c r="S100" s="17" t="str"/>
      <x:c r="T100" s="4" t="str">
        <x:v>YES</x:v>
      </x:c>
      <x:c r="U100" s="17" t="str">
        <x:v>不得以旧输出、字符串搜索、页面资产或模型自述替代</x:v>
      </x:c>
    </x:row>
    <x:row r="101" ht="23" customHeight="1">
      <x:c r="A101" s="4" t="str">
        <x:v>EVD-100</x:v>
      </x:c>
      <x:c r="B101" s="4" t="str">
        <x:v>P0-100</x:v>
      </x:c>
      <x:c r="C101" s="4" t="str">
        <x:v>M4</x:v>
      </x:c>
      <x:c r="D101" s="4" t="str">
        <x:v>M4-P100</x:v>
      </x:c>
      <x:c r="E101" s="17" t="str">
        <x:v>AUTOMATED_AND_MANUAL_AS_REQUIRED</x:v>
      </x:c>
      <x:c r="F101" s="4" t="str">
        <x:v>DEVICE_PASS</x:v>
      </x:c>
      <x:c r="G101" s="4" t="str">
        <x:v>NOT_EXECUTED</x:v>
      </x:c>
      <x:c r="H101" s="17" t="str">
        <x:v>在对应切片先登记失败测试ID，再记录focused tests与pnpm verify；真机/预发布按要求执行</x:v>
      </x:c>
      <x:c r="I101" s="17" t="str">
        <x:v>手机号验证、规则/隐私说明、申请资料、服务区域、草稿/待审/补正/通过/驳回及申诉页面完整；审核通过并启用前不能上线、查看大厅或抢单。</x:v>
      </x:c>
      <x:c r="J101" s="17" t="str"/>
      <x:c r="K101" s="4" t="str"/>
      <x:c r="L101" s="4" t="str"/>
      <x:c r="M101" s="4" t="str"/>
      <x:c r="N101" s="4" t="str"/>
      <x:c r="O101" s="17" t="str"/>
      <x:c r="P101" s="17" t="str"/>
      <x:c r="Q101" s="4" t="str"/>
      <x:c r="R101" s="4" t="str">
        <x:v>NO_EVIDENCE_YET</x:v>
      </x:c>
      <x:c r="S101" s="17" t="str"/>
      <x:c r="T101" s="4" t="str">
        <x:v>YES</x:v>
      </x:c>
      <x:c r="U101" s="17" t="str">
        <x:v>不得以旧输出、字符串搜索、页面资产或模型自述替代</x:v>
      </x:c>
    </x:row>
    <x:row r="102" ht="23" customHeight="1">
      <x:c r="A102" s="4" t="str">
        <x:v>EVD-101</x:v>
      </x:c>
      <x:c r="B102" s="4" t="str">
        <x:v>P0-101</x:v>
      </x:c>
      <x:c r="C102" s="4" t="str">
        <x:v>M4</x:v>
      </x:c>
      <x:c r="D102" s="4" t="str">
        <x:v>M4-P101</x:v>
      </x:c>
      <x:c r="E102" s="17" t="str">
        <x:v>AUTOMATED_AND_MANUAL_AS_REQUIRED</x:v>
      </x:c>
      <x:c r="F102" s="4" t="str">
        <x:v>DEVICE_PASS</x:v>
      </x:c>
      <x:c r="G102" s="4" t="str">
        <x:v>NOT_EXECUTED</x:v>
      </x:c>
      <x:c r="H102" s="17" t="str">
        <x:v>在对应切片先登记失败测试ID，再记录focused tests与pnpm verify；真机/预发布按要求执行</x:v>
      </x:c>
      <x:c r="I102" s="17" t="str">
        <x:v>跑腿应用独立于用户小程序，提供登录申请、配送首页、大厅、我的任务、任务详情、异常、记录和我的页面，以及大厅/任务/记录/我的四项 TabBar；不复用其他端会话。</x:v>
      </x:c>
      <x:c r="J102" s="17" t="str"/>
      <x:c r="K102" s="4" t="str"/>
      <x:c r="L102" s="4" t="str"/>
      <x:c r="M102" s="4" t="str"/>
      <x:c r="N102" s="4" t="str"/>
      <x:c r="O102" s="17" t="str"/>
      <x:c r="P102" s="17" t="str"/>
      <x:c r="Q102" s="4" t="str"/>
      <x:c r="R102" s="4" t="str">
        <x:v>NO_EVIDENCE_YET</x:v>
      </x:c>
      <x:c r="S102" s="17" t="str"/>
      <x:c r="T102" s="4" t="str">
        <x:v>YES</x:v>
      </x:c>
      <x:c r="U102" s="17" t="str">
        <x:v>不得以旧输出、字符串搜索、页面资产或模型自述替代</x:v>
      </x:c>
    </x:row>
    <x:row r="103" ht="23" customHeight="1">
      <x:c r="A103" s="4" t="str">
        <x:v>EVD-102</x:v>
      </x:c>
      <x:c r="B103" s="4" t="str">
        <x:v>P0-102</x:v>
      </x:c>
      <x:c r="C103" s="4" t="str">
        <x:v>M4</x:v>
      </x:c>
      <x:c r="D103" s="4" t="str">
        <x:v>M4-P102</x:v>
      </x:c>
      <x:c r="E103" s="17" t="str">
        <x:v>AUTOMATED_AND_MANUAL_AS_REQUIRED</x:v>
      </x:c>
      <x:c r="F103" s="4" t="str">
        <x:v>DEVICE_PASS</x:v>
      </x:c>
      <x:c r="G103" s="4" t="str">
        <x:v>NOT_EXECUTED</x:v>
      </x:c>
      <x:c r="H103" s="17" t="str">
        <x:v>在对应切片先登记失败测试ID，再记录focused tests与pnpm verify；真机/预发布按要求执行</x:v>
      </x:c>
      <x:c r="I103" s="17" t="str">
        <x:v>个人订单支付成功后按供应商子单幂等创建一个 DeliveryTask，供应商确认可取且子单有效后才进入 PENDING_HALL；重复回调不重复创建，取消/退款锁定任务不可抢。</x:v>
      </x:c>
      <x:c r="J103" s="17" t="str"/>
      <x:c r="K103" s="4" t="str"/>
      <x:c r="L103" s="4" t="str"/>
      <x:c r="M103" s="4" t="str"/>
      <x:c r="N103" s="4" t="str"/>
      <x:c r="O103" s="17" t="str"/>
      <x:c r="P103" s="17" t="str"/>
      <x:c r="Q103" s="4" t="str"/>
      <x:c r="R103" s="4" t="str">
        <x:v>NO_EVIDENCE_YET</x:v>
      </x:c>
      <x:c r="S103" s="17" t="str"/>
      <x:c r="T103" s="4" t="str">
        <x:v>YES</x:v>
      </x:c>
      <x:c r="U103" s="17" t="str">
        <x:v>不得以旧输出、字符串搜索、页面资产或模型自述替代</x:v>
      </x:c>
    </x:row>
    <x:row r="104" ht="23" customHeight="1">
      <x:c r="A104" s="4" t="str">
        <x:v>EVD-103</x:v>
      </x:c>
      <x:c r="B104" s="4" t="str">
        <x:v>P0-103</x:v>
      </x:c>
      <x:c r="C104" s="4" t="str">
        <x:v>M4</x:v>
      </x:c>
      <x:c r="D104" s="4" t="str">
        <x:v>M4-P103</x:v>
      </x:c>
      <x:c r="E104" s="17" t="str">
        <x:v>AUTOMATED_AND_MANUAL_AS_REQUIRED</x:v>
      </x:c>
      <x:c r="F104" s="4" t="str">
        <x:v>DEVICE_PASS</x:v>
      </x:c>
      <x:c r="G104" s="4" t="str">
        <x:v>NOT_EXECUTED</x:v>
      </x:c>
      <x:c r="H104" s="17" t="str">
        <x:v>在对应切片先登记失败测试ID，再记录focused tests与pnpm verify；真机/预发布按要求执行</x:v>
      </x:c>
      <x:c r="I104" s="17" t="str">
        <x:v>只有启用、资料有效、在线、服务区域匹配且未超在途上限的跑腿员可见可抢任务；下线仅停止新任务，不能隐藏或撤销已接任务。</x:v>
      </x:c>
      <x:c r="J104" s="17" t="str"/>
      <x:c r="K104" s="4" t="str"/>
      <x:c r="L104" s="4" t="str"/>
      <x:c r="M104" s="4" t="str"/>
      <x:c r="N104" s="4" t="str"/>
      <x:c r="O104" s="17" t="str"/>
      <x:c r="P104" s="17" t="str"/>
      <x:c r="Q104" s="4" t="str"/>
      <x:c r="R104" s="4" t="str">
        <x:v>NO_EVIDENCE_YET</x:v>
      </x:c>
      <x:c r="S104" s="17" t="str"/>
      <x:c r="T104" s="4" t="str">
        <x:v>YES</x:v>
      </x:c>
      <x:c r="U104" s="17" t="str">
        <x:v>不得以旧输出、字符串搜索、页面资产或模型自述替代</x:v>
      </x:c>
    </x:row>
    <x:row r="105" ht="23" customHeight="1">
      <x:c r="A105" s="4" t="str">
        <x:v>EVD-104</x:v>
      </x:c>
      <x:c r="B105" s="4" t="str">
        <x:v>P0-104</x:v>
      </x:c>
      <x:c r="C105" s="4" t="str">
        <x:v>M4</x:v>
      </x:c>
      <x:c r="D105" s="4" t="str">
        <x:v>M4-P104</x:v>
      </x:c>
      <x:c r="E105" s="17" t="str">
        <x:v>AUTOMATED_AND_MANUAL_AS_REQUIRED</x:v>
      </x:c>
      <x:c r="F105" s="4" t="str">
        <x:v>DEVICE_PASS</x:v>
      </x:c>
      <x:c r="G105" s="4" t="str">
        <x:v>NOT_EXECUTED</x:v>
      </x:c>
      <x:c r="H105" s="17" t="str">
        <x:v>在对应切片先登记失败测试ID，再记录focused tests与pnpm verify；真机/预发布按要求执行</x:v>
      </x:c>
      <x:c r="I105" s="17" t="str">
        <x:v>抢单前只显示取送区域、时间、件数、特殊要求和预计报酬，不显示精确门牌、完整电话、完整商品、价格/支付、供应价、企业订单或其他内部数据。</x:v>
      </x:c>
      <x:c r="J105" s="17" t="str"/>
      <x:c r="K105" s="4" t="str"/>
      <x:c r="L105" s="4" t="str"/>
      <x:c r="M105" s="4" t="str"/>
      <x:c r="N105" s="4" t="str"/>
      <x:c r="O105" s="17" t="str"/>
      <x:c r="P105" s="17" t="str"/>
      <x:c r="Q105" s="4" t="str"/>
      <x:c r="R105" s="4" t="str">
        <x:v>NO_EVIDENCE_YET</x:v>
      </x:c>
      <x:c r="S105" s="17" t="str"/>
      <x:c r="T105" s="4" t="str">
        <x:v>YES</x:v>
      </x:c>
      <x:c r="U105" s="17" t="str">
        <x:v>不得以旧输出、字符串搜索、页面资产或模型自述替代</x:v>
      </x:c>
    </x:row>
    <x:row r="106" ht="23" customHeight="1">
      <x:c r="A106" s="4" t="str">
        <x:v>EVD-105</x:v>
      </x:c>
      <x:c r="B106" s="4" t="str">
        <x:v>P0-105</x:v>
      </x:c>
      <x:c r="C106" s="4" t="str">
        <x:v>M4</x:v>
      </x:c>
      <x:c r="D106" s="4" t="str">
        <x:v>M4-P105</x:v>
      </x:c>
      <x:c r="E106" s="17" t="str">
        <x:v>AUTOMATED_AND_MANUAL_AS_REQUIRED</x:v>
      </x:c>
      <x:c r="F106" s="4" t="str">
        <x:v>DEVICE_PASS</x:v>
      </x:c>
      <x:c r="G106" s="4" t="str">
        <x:v>NOT_EXECUTED</x:v>
      </x:c>
      <x:c r="H106" s="17" t="str">
        <x:v>在对应切片先登记失败测试ID，再记录focused tests与pnpm verify；真机/预发布按要求执行</x:v>
      </x:c>
      <x:c r="I106" s="17" t="str">
        <x:v>抢单以幂等键和 DeliveryTask.version 乐观锁绑定唯一 runnerId；并发只有一人成功，弱网未知先查询本人任务，任务已抢/取消/区域不符/超限使用不同错误码。</x:v>
      </x:c>
      <x:c r="J106" s="17" t="str"/>
      <x:c r="K106" s="4" t="str"/>
      <x:c r="L106" s="4" t="str"/>
      <x:c r="M106" s="4" t="str"/>
      <x:c r="N106" s="4" t="str"/>
      <x:c r="O106" s="17" t="str"/>
      <x:c r="P106" s="17" t="str"/>
      <x:c r="Q106" s="4" t="str"/>
      <x:c r="R106" s="4" t="str">
        <x:v>NO_EVIDENCE_YET</x:v>
      </x:c>
      <x:c r="S106" s="17" t="str"/>
      <x:c r="T106" s="4" t="str">
        <x:v>YES</x:v>
      </x:c>
      <x:c r="U106" s="17" t="str">
        <x:v>不得以旧输出、字符串搜索、页面资产或模型自述替代</x:v>
      </x:c>
    </x:row>
    <x:row r="107" ht="23" customHeight="1">
      <x:c r="A107" s="4" t="str">
        <x:v>EVD-106</x:v>
      </x:c>
      <x:c r="B107" s="4" t="str">
        <x:v>P0-106</x:v>
      </x:c>
      <x:c r="C107" s="4" t="str">
        <x:v>M4</x:v>
      </x:c>
      <x:c r="D107" s="4" t="str">
        <x:v>M4-P106</x:v>
      </x:c>
      <x:c r="E107" s="17" t="str">
        <x:v>AUTOMATED_AND_MANUAL_AS_REQUIRED</x:v>
      </x:c>
      <x:c r="F107" s="4" t="str">
        <x:v>DEVICE_PASS</x:v>
      </x:c>
      <x:c r="G107" s="4" t="str">
        <x:v>NOT_EXECUTED</x:v>
      </x:c>
      <x:c r="H107" s="17" t="str">
        <x:v>在对应切片先登记失败测试ID，再记录focused tests与pnpm verify；真机/预发布按要求执行</x:v>
      </x:c>
      <x:c r="I107" s="17" t="str">
        <x:v>承接成功后同时返回本任务的供应商取货点快照和用户收货目的地快照，以及商品摘要、两个地点的受控联系、当前节点和操作；他人任务、其他供应商子单、企业数据、价格和结算字段均不可访问。</x:v>
      </x:c>
      <x:c r="J107" s="17" t="str"/>
      <x:c r="K107" s="4" t="str"/>
      <x:c r="L107" s="4" t="str"/>
      <x:c r="M107" s="4" t="str"/>
      <x:c r="N107" s="4" t="str"/>
      <x:c r="O107" s="17" t="str"/>
      <x:c r="P107" s="17" t="str"/>
      <x:c r="Q107" s="4" t="str"/>
      <x:c r="R107" s="4" t="str">
        <x:v>NO_EVIDENCE_YET</x:v>
      </x:c>
      <x:c r="S107" s="17" t="str"/>
      <x:c r="T107" s="4" t="str">
        <x:v>YES</x:v>
      </x:c>
      <x:c r="U107" s="17" t="str">
        <x:v>不得以旧输出、字符串搜索、页面资产或模型自述替代</x:v>
      </x:c>
    </x:row>
    <x:row r="108" ht="23" customHeight="1">
      <x:c r="A108" s="4" t="str">
        <x:v>EVD-107</x:v>
      </x:c>
      <x:c r="B108" s="4" t="str">
        <x:v>P0-107</x:v>
      </x:c>
      <x:c r="C108" s="4" t="str">
        <x:v>M4</x:v>
      </x:c>
      <x:c r="D108" s="4" t="str">
        <x:v>M4-P107</x:v>
      </x:c>
      <x:c r="E108" s="17" t="str">
        <x:v>AUTOMATED_AND_MANUAL_AS_REQUIRED</x:v>
      </x:c>
      <x:c r="F108" s="4" t="str">
        <x:v>DEVICE_PASS</x:v>
      </x:c>
      <x:c r="G108" s="4" t="str">
        <x:v>NOT_EXECUTED</x:v>
      </x:c>
      <x:c r="H108" s="17" t="str">
        <x:v>在对应切片先登记失败测试ID，再记录focused tests与pnpm verify；真机/预发布按要求执行</x:v>
      </x:c>
      <x:c r="I108" s="17" t="str">
        <x:v>已抢单、到取货地、取货、配送、到目的地、送达、完成必须按顺序推进；服务端校验 runnerId 和前置状态，每个节点幂等留痕，不能越级、倒退或替他人点击。</x:v>
      </x:c>
      <x:c r="J108" s="17" t="str"/>
      <x:c r="K108" s="4" t="str"/>
      <x:c r="L108" s="4" t="str"/>
      <x:c r="M108" s="4" t="str"/>
      <x:c r="N108" s="4" t="str"/>
      <x:c r="O108" s="17" t="str"/>
      <x:c r="P108" s="17" t="str"/>
      <x:c r="Q108" s="4" t="str"/>
      <x:c r="R108" s="4" t="str">
        <x:v>NO_EVIDENCE_YET</x:v>
      </x:c>
      <x:c r="S108" s="17" t="str"/>
      <x:c r="T108" s="4" t="str">
        <x:v>YES</x:v>
      </x:c>
      <x:c r="U108" s="17" t="str">
        <x:v>不得以旧输出、字符串搜索、页面资产或模型自述替代</x:v>
      </x:c>
    </x:row>
    <x:row r="109" ht="23" customHeight="1">
      <x:c r="A109" s="4" t="str">
        <x:v>EVD-108</x:v>
      </x:c>
      <x:c r="B109" s="4" t="str">
        <x:v>P0-108</x:v>
      </x:c>
      <x:c r="C109" s="4" t="str">
        <x:v>M4</x:v>
      </x:c>
      <x:c r="D109" s="4" t="str">
        <x:v>M4-P108</x:v>
      </x:c>
      <x:c r="E109" s="17" t="str">
        <x:v>AUTOMATED_AND_MANUAL_AS_REQUIRED</x:v>
      </x:c>
      <x:c r="F109" s="4" t="str">
        <x:v>DEVICE_PASS</x:v>
      </x:c>
      <x:c r="G109" s="4" t="str">
        <x:v>NOT_EXECUTED</x:v>
      </x:c>
      <x:c r="H109" s="17" t="str">
        <x:v>在对应切片先登记失败测试ID，再记录focused tests与pnpm verify；真机/预发布按要求执行</x:v>
      </x:c>
      <x:c r="I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09" s="17" t="str"/>
      <x:c r="K109" s="4" t="str"/>
      <x:c r="L109" s="4" t="str"/>
      <x:c r="M109" s="4" t="str"/>
      <x:c r="N109" s="4" t="str"/>
      <x:c r="O109" s="17" t="str"/>
      <x:c r="P109" s="17" t="str"/>
      <x:c r="Q109" s="4" t="str"/>
      <x:c r="R109" s="4" t="str">
        <x:v>NO_EVIDENCE_YET</x:v>
      </x:c>
      <x:c r="S109" s="17" t="str"/>
      <x:c r="T109" s="4" t="str">
        <x:v>YES</x:v>
      </x:c>
      <x:c r="U109" s="17" t="str">
        <x:v>不得以旧输出、字符串搜索、页面资产或模型自述替代</x:v>
      </x:c>
    </x:row>
    <x:row r="110" ht="23" customHeight="1">
      <x:c r="A110" s="4" t="str">
        <x:v>EVD-109</x:v>
      </x:c>
      <x:c r="B110" s="4" t="str">
        <x:v>P0-109</x:v>
      </x:c>
      <x:c r="C110" s="4" t="str">
        <x:v>M4</x:v>
      </x:c>
      <x:c r="D110" s="4" t="str">
        <x:v>M4-P109</x:v>
      </x:c>
      <x:c r="E110" s="17" t="str">
        <x:v>AUTOMATED_AND_MANUAL_AS_REQUIRED</x:v>
      </x:c>
      <x:c r="F110" s="4" t="str">
        <x:v>DEVICE_PASS</x:v>
      </x:c>
      <x:c r="G110" s="4" t="str">
        <x:v>NOT_EXECUTED</x:v>
      </x:c>
      <x:c r="H110" s="17" t="str">
        <x:v>在对应切片先登记失败测试ID，再记录focused tests与pnpm verify；真机/预发布按要求执行</x:v>
      </x:c>
      <x:c r="I110" s="17" t="str">
        <x:v>未备好、缺货、联系不上、地址错误、无人收货、破损、拒收、网络故障和无法继续均可上报并留证；跑腿员不能取消订单、删除任务、修改退款或私下转派，公司处理结果完整留痕。</x:v>
      </x:c>
      <x:c r="J110" s="17" t="str"/>
      <x:c r="K110" s="4" t="str"/>
      <x:c r="L110" s="4" t="str"/>
      <x:c r="M110" s="4" t="str"/>
      <x:c r="N110" s="4" t="str"/>
      <x:c r="O110" s="17" t="str"/>
      <x:c r="P110" s="17" t="str"/>
      <x:c r="Q110" s="4" t="str"/>
      <x:c r="R110" s="4" t="str">
        <x:v>NO_EVIDENCE_YET</x:v>
      </x:c>
      <x:c r="S110" s="17" t="str"/>
      <x:c r="T110" s="4" t="str">
        <x:v>YES</x:v>
      </x:c>
      <x:c r="U110" s="17" t="str">
        <x:v>不得以旧输出、字符串搜索、页面资产或模型自述替代</x:v>
      </x:c>
    </x:row>
    <x:row r="111" ht="23" customHeight="1">
      <x:c r="A111" s="4" t="str">
        <x:v>EVD-110</x:v>
      </x:c>
      <x:c r="B111" s="4" t="str">
        <x:v>P0-110</x:v>
      </x:c>
      <x:c r="C111" s="4" t="str">
        <x:v>M4</x:v>
      </x:c>
      <x:c r="D111" s="4" t="str">
        <x:v>M4-P110</x:v>
      </x:c>
      <x:c r="E111" s="17" t="str">
        <x:v>AUTOMATED_AND_MANUAL_AS_REQUIRED</x:v>
      </x:c>
      <x:c r="F111" s="4" t="str">
        <x:v>DEVICE_PASS</x:v>
      </x:c>
      <x:c r="G111" s="4" t="str">
        <x:v>NOT_EXECUTED</x:v>
      </x:c>
      <x:c r="H111" s="17" t="str">
        <x:v>在对应切片先登记失败测试ID，再记录focused tests与pnpm verify；真机/预发布按要求执行</x:v>
      </x:c>
      <x:c r="I111" s="17" t="str">
        <x:v>公司批准转派时追加承接日志，原跑腿员立即失去后续节点权限，新跑腿员从批准状态继续；冻结/停用账号立即下线且已接任务进入明确处理队列。</x:v>
      </x:c>
      <x:c r="J111" s="17" t="str"/>
      <x:c r="K111" s="4" t="str"/>
      <x:c r="L111" s="4" t="str"/>
      <x:c r="M111" s="4" t="str"/>
      <x:c r="N111" s="4" t="str"/>
      <x:c r="O111" s="17" t="str"/>
      <x:c r="P111" s="17" t="str"/>
      <x:c r="Q111" s="4" t="str"/>
      <x:c r="R111" s="4" t="str">
        <x:v>NO_EVIDENCE_YET</x:v>
      </x:c>
      <x:c r="S111" s="17" t="str"/>
      <x:c r="T111" s="4" t="str">
        <x:v>YES</x:v>
      </x:c>
      <x:c r="U111" s="17" t="str">
        <x:v>不得以旧输出、字符串搜索、页面资产或模型自述替代</x:v>
      </x:c>
    </x:row>
    <x:row r="112" ht="23" customHeight="1">
      <x:c r="A112" s="4" t="str">
        <x:v>EVD-111</x:v>
      </x:c>
      <x:c r="B112" s="4" t="str">
        <x:v>P0-111</x:v>
      </x:c>
      <x:c r="C112" s="4" t="str">
        <x:v>M4</x:v>
      </x:c>
      <x:c r="D112" s="4" t="str">
        <x:v>M4-P111</x:v>
      </x:c>
      <x:c r="E112" s="17" t="str">
        <x:v>AUTOMATED_AND_MANUAL_AS_REQUIRED</x:v>
      </x:c>
      <x:c r="F112" s="4" t="str">
        <x:v>DEVICE_PASS</x:v>
      </x:c>
      <x:c r="G112" s="4" t="str">
        <x:v>NOT_EXECUTED</x:v>
      </x:c>
      <x:c r="H112" s="17" t="str">
        <x:v>在对应切片先登记失败测试ID，再记录focused tests与pnpm verify；真机/预发布按要求执行</x:v>
      </x:c>
      <x:c r="I112" s="17" t="str">
        <x:v>履约阶段使用隐私号/受控联系；取货和送达凭证按规则收集，普通个人订单不强制扫码；同一主订单多个任务分别送达和确认，单任务完成不误标整单完成。</x:v>
      </x:c>
      <x:c r="J112" s="17" t="str"/>
      <x:c r="K112" s="4" t="str"/>
      <x:c r="L112" s="4" t="str"/>
      <x:c r="M112" s="4" t="str"/>
      <x:c r="N112" s="4" t="str"/>
      <x:c r="O112" s="17" t="str"/>
      <x:c r="P112" s="17" t="str"/>
      <x:c r="Q112" s="4" t="str"/>
      <x:c r="R112" s="4" t="str">
        <x:v>NO_EVIDENCE_YET</x:v>
      </x:c>
      <x:c r="S112" s="17" t="str"/>
      <x:c r="T112" s="4" t="str">
        <x:v>YES</x:v>
      </x:c>
      <x:c r="U112" s="17" t="str">
        <x:v>不得以旧输出、字符串搜索、页面资产或模型自述替代</x:v>
      </x:c>
    </x:row>
    <x:row r="113" ht="23" customHeight="1">
      <x:c r="A113" s="4" t="str">
        <x:v>EVD-112</x:v>
      </x:c>
      <x:c r="B113" s="4" t="str">
        <x:v>P0-112</x:v>
      </x:c>
      <x:c r="C113" s="4" t="str">
        <x:v>M4</x:v>
      </x:c>
      <x:c r="D113" s="4" t="str">
        <x:v>M4-P112</x:v>
      </x:c>
      <x:c r="E113" s="17" t="str">
        <x:v>AUTOMATED_AND_MANUAL_AS_REQUIRED</x:v>
      </x:c>
      <x:c r="F113" s="4" t="str">
        <x:v>DEVICE_PASS</x:v>
      </x:c>
      <x:c r="G113" s="4" t="str">
        <x:v>NOT_EXECUTED</x:v>
      </x:c>
      <x:c r="H113" s="17" t="str">
        <x:v>在对应切片先登记失败测试ID，再记录focused tests与pnpm verify；真机/预发布按要求执行</x:v>
      </x:c>
      <x:c r="I113" s="17" t="str">
        <x:v>抢单、取消、节点提醒和异常结果支持站内/订阅通知，拒绝订阅不影响任务；通知、日志、缓存和埋点不包含完整地址/电话、价格、支付结构、供应价或内部责任结论。</x:v>
      </x:c>
      <x:c r="J113" s="17" t="str"/>
      <x:c r="K113" s="4" t="str"/>
      <x:c r="L113" s="4" t="str"/>
      <x:c r="M113" s="4" t="str"/>
      <x:c r="N113" s="4" t="str"/>
      <x:c r="O113" s="17" t="str"/>
      <x:c r="P113" s="17" t="str"/>
      <x:c r="Q113" s="4" t="str"/>
      <x:c r="R113" s="4" t="str">
        <x:v>NO_EVIDENCE_YET</x:v>
      </x:c>
      <x:c r="S113" s="17" t="str"/>
      <x:c r="T113" s="4" t="str">
        <x:v>YES</x:v>
      </x:c>
      <x:c r="U113" s="17" t="str">
        <x:v>不得以旧输出、字符串搜索、页面资产或模型自述替代</x:v>
      </x:c>
    </x:row>
    <x:row r="114" ht="23" customHeight="1">
      <x:c r="A114" s="4" t="str">
        <x:v>EVD-113</x:v>
      </x:c>
      <x:c r="B114" s="4" t="str">
        <x:v>P0-113</x:v>
      </x:c>
      <x:c r="C114" s="4" t="str">
        <x:v>M4</x:v>
      </x:c>
      <x:c r="D114" s="4" t="str">
        <x:v>M4-P113</x:v>
      </x:c>
      <x:c r="E114" s="17" t="str">
        <x:v>AUTOMATED_AND_MANUAL_AS_REQUIRED</x:v>
      </x:c>
      <x:c r="F114" s="4" t="str">
        <x:v>DEVICE_PASS</x:v>
      </x:c>
      <x:c r="G114" s="4" t="str">
        <x:v>NOT_EXECUTED</x:v>
      </x:c>
      <x:c r="H114" s="17" t="str">
        <x:v>在对应切片先登记失败测试ID，再记录focused tests与pnpm verify；真机/预发布按要求执行</x:v>
      </x:c>
      <x:c r="I114" s="17" t="str">
        <x:v>跑腿员可查看本人历史任务、节点、异常、申诉、报酬快照、调整和线下支付状态；不做跑腿钱包、充值、提现、自动分账或地图里程计费，已确认明细只能追加调整/冲正。</x:v>
      </x:c>
      <x:c r="J114" s="17" t="str"/>
      <x:c r="K114" s="4" t="str"/>
      <x:c r="L114" s="4" t="str"/>
      <x:c r="M114" s="4" t="str"/>
      <x:c r="N114" s="4" t="str"/>
      <x:c r="O114" s="17" t="str"/>
      <x:c r="P114" s="17" t="str"/>
      <x:c r="Q114" s="4" t="str"/>
      <x:c r="R114" s="4" t="str">
        <x:v>NO_EVIDENCE_YET</x:v>
      </x:c>
      <x:c r="S114" s="17" t="str"/>
      <x:c r="T114" s="4" t="str">
        <x:v>YES</x:v>
      </x:c>
      <x:c r="U114" s="17" t="str">
        <x:v>不得以旧输出、字符串搜索、页面资产或模型自述替代</x:v>
      </x:c>
    </x:row>
    <x:row r="115" ht="23" customHeight="1">
      <x:c r="A115" s="4" t="str">
        <x:v>EVD-114</x:v>
      </x:c>
      <x:c r="B115" s="4" t="str">
        <x:v>P0-114</x:v>
      </x:c>
      <x:c r="C115" s="4" t="str">
        <x:v>M4</x:v>
      </x:c>
      <x:c r="D115" s="4" t="str">
        <x:v>M4-P114</x:v>
      </x:c>
      <x:c r="E115" s="17" t="str">
        <x:v>AUTOMATED_AND_MANUAL_AS_REQUIRED</x:v>
      </x:c>
      <x:c r="F115" s="4" t="str">
        <x:v>DEVICE_PASS</x:v>
      </x:c>
      <x:c r="G115" s="4" t="str">
        <x:v>NOT_EXECUTED</x:v>
      </x:c>
      <x:c r="H115" s="17" t="str">
        <x:v>在对应切片先登记失败测试ID，再记录focused tests与pnpm verify；真机/预发布按要求执行</x:v>
      </x:c>
      <x:c r="I115" s="17" t="str">
        <x:v>空大厅、审核中、冻结、弱网、离线、任务被抢、节点重复、任务取消、上传失败和导航失败均可恢复；runnerId 服务端绑定，对象级越权、篡改状态及企业配送访问全部失败。</x:v>
      </x:c>
      <x:c r="J115" s="17" t="str"/>
      <x:c r="K115" s="4" t="str"/>
      <x:c r="L115" s="4" t="str"/>
      <x:c r="M115" s="4" t="str"/>
      <x:c r="N115" s="4" t="str"/>
      <x:c r="O115" s="17" t="str"/>
      <x:c r="P115" s="17" t="str"/>
      <x:c r="Q115" s="4" t="str"/>
      <x:c r="R115" s="4" t="str">
        <x:v>NO_EVIDENCE_YET</x:v>
      </x:c>
      <x:c r="S115" s="17" t="str"/>
      <x:c r="T115" s="4" t="str">
        <x:v>YES</x:v>
      </x:c>
      <x:c r="U115" s="17" t="str">
        <x:v>不得以旧输出、字符串搜索、页面资产或模型自述替代</x:v>
      </x:c>
    </x:row>
    <x:row r="116" ht="23" customHeight="1">
      <x:c r="A116" s="4" t="str">
        <x:v>EVD-115</x:v>
      </x:c>
      <x:c r="B116" s="4" t="str">
        <x:v>P0-115</x:v>
      </x:c>
      <x:c r="C116" s="4" t="str">
        <x:v>M4</x:v>
      </x:c>
      <x:c r="D116" s="4" t="str">
        <x:v>M4-P115</x:v>
      </x:c>
      <x:c r="E116" s="17" t="str">
        <x:v>AUTOMATED_AND_MANUAL_AS_REQUIRED</x:v>
      </x:c>
      <x:c r="F116" s="4" t="str">
        <x:v>CI_PASS</x:v>
      </x:c>
      <x:c r="G116" s="4" t="str">
        <x:v>NOT_EXECUTED</x:v>
      </x:c>
      <x:c r="H116" s="17" t="str">
        <x:v>在对应切片先登记失败测试ID，再记录focused tests与pnpm verify；真机/预发布按要求执行</x:v>
      </x:c>
      <x:c r="I116" s="17" t="str">
        <x:v>等待供应商、可收取、收货中、已汇总、已派车、运输中、已到达、已签收和已完成按顺序留痕；企业确认的部分齐套配送可形成可追溯批次。</x:v>
      </x:c>
      <x:c r="J116" s="17" t="str"/>
      <x:c r="K116" s="4" t="str"/>
      <x:c r="L116" s="4" t="str"/>
      <x:c r="M116" s="4" t="str"/>
      <x:c r="N116" s="4" t="str"/>
      <x:c r="O116" s="17" t="str"/>
      <x:c r="P116" s="17" t="str"/>
      <x:c r="Q116" s="4" t="str"/>
      <x:c r="R116" s="4" t="str">
        <x:v>NO_EVIDENCE_YET</x:v>
      </x:c>
      <x:c r="S116" s="17" t="str"/>
      <x:c r="T116" s="4" t="str">
        <x:v>YES</x:v>
      </x:c>
      <x:c r="U116" s="17" t="str">
        <x:v>不得以旧输出、字符串搜索、页面资产或模型自述替代</x:v>
      </x:c>
    </x:row>
    <x:row r="117" ht="23" customHeight="1">
      <x:c r="A117" s="4" t="str">
        <x:v>EVD-116</x:v>
      </x:c>
      <x:c r="B117" s="4" t="str">
        <x:v>P0-116</x:v>
      </x:c>
      <x:c r="C117" s="4" t="str">
        <x:v>M4</x:v>
      </x:c>
      <x:c r="D117" s="4" t="str">
        <x:v>M4-P116</x:v>
      </x:c>
      <x:c r="E117" s="17" t="str">
        <x:v>AUTOMATED_AND_MANUAL_AS_REQUIRED</x:v>
      </x:c>
      <x:c r="F117" s="4" t="str">
        <x:v>CI_PASS</x:v>
      </x:c>
      <x:c r="G117" s="4" t="str">
        <x:v>NOT_EXECUTED</x:v>
      </x:c>
      <x:c r="H117" s="17" t="str">
        <x:v>在对应切片先登记失败测试ID，再记录focused tests与pnpm verify；真机/预发布按要求执行</x:v>
      </x:c>
      <x:c r="I117" s="17" t="str">
        <x:v>物流职能账号固定页面具备首页、备货汇总、汇总收货、配送列表/详情、移动执行、资源和异常子页面；其他公司职能、供应商和跑腿账号无权访问，页面不加载供应价及财务数据。</x:v>
      </x:c>
      <x:c r="J117" s="17" t="str"/>
      <x:c r="K117" s="4" t="str"/>
      <x:c r="L117" s="4" t="str"/>
      <x:c r="M117" s="4" t="str"/>
      <x:c r="N117" s="4" t="str"/>
      <x:c r="O117" s="17" t="str"/>
      <x:c r="P117" s="17" t="str"/>
      <x:c r="Q117" s="4" t="str"/>
      <x:c r="R117" s="4" t="str">
        <x:v>NO_EVIDENCE_YET</x:v>
      </x:c>
      <x:c r="S117" s="17" t="str"/>
      <x:c r="T117" s="4" t="str">
        <x:v>YES</x:v>
      </x:c>
      <x:c r="U117" s="17" t="str">
        <x:v>不得以旧输出、字符串搜索、页面资产或模型自述替代</x:v>
      </x:c>
    </x:row>
    <x:row r="118" ht="23" customHeight="1">
      <x:c r="A118" s="4" t="str">
        <x:v>EVD-117</x:v>
      </x:c>
      <x:c r="B118" s="4" t="str">
        <x:v>P0-117</x:v>
      </x:c>
      <x:c r="C118" s="4" t="str">
        <x:v>M4</x:v>
      </x:c>
      <x:c r="D118" s="4" t="str">
        <x:v>M4-P117</x:v>
      </x:c>
      <x:c r="E118" s="17" t="str">
        <x:v>AUTOMATED_AND_MANUAL_AS_REQUIRED</x:v>
      </x:c>
      <x:c r="F118" s="4" t="str">
        <x:v>CI_PASS</x:v>
      </x:c>
      <x:c r="G118" s="4" t="str">
        <x:v>NOT_EXECUTED</x:v>
      </x:c>
      <x:c r="H118" s="17" t="str">
        <x:v>在对应切片先登记失败测试ID，再记录focused tests与pnpm verify；真机/预发布按要求执行</x:v>
      </x:c>
      <x:c r="I118" s="17" t="str">
        <x:v>应收/实收、批次、效期、温区、包装、照片、交接与少货/错货/破损差异可逐项登记；每个配送项可追溯原订单项和供应商子单，重复收货幂等且不覆盖原订单。</x:v>
      </x:c>
      <x:c r="J118" s="17" t="str"/>
      <x:c r="K118" s="4" t="str"/>
      <x:c r="L118" s="4" t="str"/>
      <x:c r="M118" s="4" t="str"/>
      <x:c r="N118" s="4" t="str"/>
      <x:c r="O118" s="17" t="str"/>
      <x:c r="P118" s="17" t="str"/>
      <x:c r="Q118" s="4" t="str"/>
      <x:c r="R118" s="4" t="str">
        <x:v>NO_EVIDENCE_YET</x:v>
      </x:c>
      <x:c r="S118" s="17" t="str"/>
      <x:c r="T118" s="4" t="str">
        <x:v>YES</x:v>
      </x:c>
      <x:c r="U118" s="17" t="str">
        <x:v>不得以旧输出、字符串搜索、页面资产或模型自述替代</x:v>
      </x:c>
    </x:row>
    <x:row r="119" ht="23" customHeight="1">
      <x:c r="A119" s="4" t="str">
        <x:v>EVD-118</x:v>
      </x:c>
      <x:c r="B119" s="4" t="str">
        <x:v>P0-118</x:v>
      </x:c>
      <x:c r="C119" s="4" t="str">
        <x:v>M4</x:v>
      </x:c>
      <x:c r="D119" s="4" t="str">
        <x:v>M4-P118</x:v>
      </x:c>
      <x:c r="E119" s="17" t="str">
        <x:v>AUTOMATED_AND_MANUAL_AS_REQUIRED</x:v>
      </x:c>
      <x:c r="F119" s="4" t="str">
        <x:v>STAGING_PASS</x:v>
      </x:c>
      <x:c r="G119" s="4" t="str">
        <x:v>NOT_EXECUTED</x:v>
      </x:c>
      <x:c r="H119" s="17" t="str">
        <x:v>在对应切片先登记失败测试ID，再记录focused tests与pnpm verify；真机/预发布按要求执行</x:v>
      </x:c>
      <x:c r="I119" s="17" t="str">
        <x:v>公司可为已汇总批次安排公司车辆/司机或指定承运商并保存快照；移动页完成发车、运输、到达、联系、签收、回单和异常，第三方承运商P0无独立后台账号。</x:v>
      </x:c>
      <x:c r="J119" s="17" t="str"/>
      <x:c r="K119" s="4" t="str"/>
      <x:c r="L119" s="4" t="str"/>
      <x:c r="M119" s="4" t="str"/>
      <x:c r="N119" s="4" t="str"/>
      <x:c r="O119" s="17" t="str"/>
      <x:c r="P119" s="17" t="str"/>
      <x:c r="Q119" s="4" t="str"/>
      <x:c r="R119" s="4" t="str">
        <x:v>NO_EVIDENCE_YET</x:v>
      </x:c>
      <x:c r="S119" s="17" t="str"/>
      <x:c r="T119" s="4" t="str">
        <x:v>YES</x:v>
      </x:c>
      <x:c r="U119" s="17" t="str">
        <x:v>不得以旧输出、字符串搜索、页面资产或模型自述替代</x:v>
      </x:c>
    </x:row>
    <x:row r="120" ht="23" customHeight="1">
      <x:c r="A120" s="5" t="str">
        <x:v>EVD-119</x:v>
      </x:c>
      <x:c r="B120" s="5" t="str">
        <x:v>P0-119</x:v>
      </x:c>
      <x:c r="C120" s="5" t="str">
        <x:v>M4</x:v>
      </x:c>
      <x:c r="D120" s="5" t="str">
        <x:v>M4-P119</x:v>
      </x:c>
      <x:c r="E120" s="18" t="str">
        <x:v>AUTOMATED_AND_MANUAL_AS_REQUIRED</x:v>
      </x:c>
      <x:c r="F120" s="5" t="str">
        <x:v>STAGING_PASS</x:v>
      </x:c>
      <x:c r="G120" s="5" t="str">
        <x:v>NOT_EXECUTED</x:v>
      </x:c>
      <x:c r="H120" s="18" t="str">
        <x:v>在对应切片先登记失败测试ID，再记录focused tests与pnpm verify；真机/预发布按要求执行</x:v>
      </x:c>
      <x:c r="I120" s="18" t="str">
        <x:v>企业门户只显示统一配送时间线、批次和签收结果；签收数量、签名/回单/照片、拒收和差异完整留痕。任务、节点、派车、异常和配送指标可审计且不泄露个人隐私或内部结算数据。</x:v>
      </x:c>
      <x:c r="J120" s="18" t="str"/>
      <x:c r="K120" s="5" t="str"/>
      <x:c r="L120" s="5" t="str"/>
      <x:c r="M120" s="5" t="str"/>
      <x:c r="N120" s="5" t="str"/>
      <x:c r="O120" s="18" t="str"/>
      <x:c r="P120" s="18" t="str"/>
      <x:c r="Q120" s="5" t="str"/>
      <x:c r="R120" s="5" t="str">
        <x:v>NO_EVIDENCE_YET</x:v>
      </x:c>
      <x:c r="S120" s="18" t="str"/>
      <x:c r="T120" s="5" t="str">
        <x:v>YES</x:v>
      </x:c>
      <x:c r="U120" s="18"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8e97b23104e4c16"/>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4" t="str">
        <x:v>MIG-001</x:v>
      </x:c>
      <x:c r="B2" s="4" t="str">
        <x:v>M0</x:v>
      </x:c>
      <x:c r="C2" s="17" t="str">
        <x:v>0001_engineering_baseline</x:v>
      </x:c>
      <x:c r="D2" s="4" t="str">
        <x:v>NONE</x:v>
      </x:c>
      <x:c r="E2" s="17" t="str">
        <x:v>Prisma迁移元数据、时区/字符集/金额约定</x:v>
      </x:c>
      <x:c r="F2" s="4"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4" t="str">
        <x:v>BEFORE_STAGING_OR_PRODUCTION</x:v>
      </x:c>
      <x:c r="L2" s="4" t="str">
        <x:v>PLANNED</x:v>
      </x:c>
      <x:c r="M2" s="4" t="str"/>
      <x:c r="N2" s="4" t="str"/>
      <x:c r="O2" s="4" t="str"/>
      <x:c r="P2" s="4" t="str"/>
      <x:c r="Q2" s="4" t="str">
        <x:v>artifacts/verification/M0-010/prisma-migration-rehearsal.json</x:v>
      </x:c>
      <x:c r="R2" s="17" t="str">
        <x:v>M0-010仅完成临时夹具的空库、升级、逻辑备份恢复和向前修复演练；产品schema未变且产品SQL迁移为0。MIG-001仍未创建或应用，首个所属纵向切片必须新增而非回改历史迁移。</x:v>
      </x:c>
    </x:row>
    <x:row r="3" ht="23" customHeight="1">
      <x:c r="A3" s="4" t="str">
        <x:v>MIG-002</x:v>
      </x:c>
      <x:c r="B3" s="4" t="str">
        <x:v>M1</x:v>
      </x:c>
      <x:c r="C3" s="17" t="str">
        <x:v>0101_company_auth_accounts</x:v>
      </x:c>
      <x:c r="D3" s="4" t="str">
        <x:v>MIG-001</x:v>
      </x:c>
      <x:c r="E3" s="17" t="str">
        <x:v>Company/CompanyUser/FunctionalAccountType/FunctionalAccount/AuthSession</x:v>
      </x:c>
      <x:c r="F3" s="4"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账号状态与workspaceRoute约束；prisma validate；空库/升级路径dry-run；关键不变量SQL</x:v>
      </x:c>
      <x:c r="K3" s="4" t="str">
        <x:v>BEFORE_STAGING_OR_PRODUCTION</x:v>
      </x:c>
      <x:c r="L3" s="4" t="str">
        <x:v>PLANNED</x:v>
      </x:c>
      <x:c r="M3" s="4" t="str"/>
      <x:c r="N3" s="4" t="str"/>
      <x:c r="O3" s="4" t="str"/>
      <x:c r="P3" s="4" t="str"/>
      <x:c r="Q3" s="4" t="str"/>
      <x:c r="R3" s="17" t="str"/>
    </x:row>
    <x:row r="4" ht="23" customHeight="1">
      <x:c r="A4" s="4" t="str">
        <x:v>MIG-003</x:v>
      </x:c>
      <x:c r="B4" s="4" t="str">
        <x:v>M1</x:v>
      </x:c>
      <x:c r="C4" s="17" t="str">
        <x:v>0102_permissions_data_scope</x:v>
      </x:c>
      <x:c r="D4" s="4" t="str">
        <x:v>MIG-002</x:v>
      </x:c>
      <x:c r="E4" s="17" t="str">
        <x:v>Permission/FunctionalAccountPermission/DataScopePolicy/FieldAccessPolicy</x:v>
      </x:c>
      <x:c r="F4" s="4"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4" t="str">
        <x:v>BEFORE_STAGING_OR_PRODUCTION</x:v>
      </x:c>
      <x:c r="L4" s="4" t="str">
        <x:v>PLANNED</x:v>
      </x:c>
      <x:c r="M4" s="4" t="str"/>
      <x:c r="N4" s="4" t="str"/>
      <x:c r="O4" s="4" t="str"/>
      <x:c r="P4" s="4" t="str"/>
      <x:c r="Q4" s="4" t="str"/>
      <x:c r="R4" s="17" t="str"/>
    </x:row>
    <x:row r="5" ht="23" customHeight="1">
      <x:c r="A5" s="4" t="str">
        <x:v>MIG-004</x:v>
      </x:c>
      <x:c r="B5" s="4" t="str">
        <x:v>M1</x:v>
      </x:c>
      <x:c r="C5" s="17" t="str">
        <x:v>0103_supplier_onboarding</x:v>
      </x:c>
      <x:c r="D5" s="4" t="str">
        <x:v>MIG-003</x:v>
      </x:c>
      <x:c r="E5" s="17" t="str">
        <x:v>Supplier/SupplierUser/ApprovalTask/LoginAudit/AuditLog</x:v>
      </x:c>
      <x:c r="F5" s="4" t="str">
        <x:v>供应商准入</x:v>
      </x:c>
      <x:c r="G5" s="17" t="str">
        <x:v>由阶段切片生成Prisma migration；事务/分批策略按数据量确定</x:v>
      </x:c>
      <x:c r="H5" s="17" t="str">
        <x:v>已发布迁移不回改；失败前恢复备份或创建向前修复迁移；应用版本可回退时保持schema兼容窗口</x:v>
      </x:c>
      <x:c r="I5" s="17" t="str">
        <x:v>无</x:v>
      </x:c>
      <x:c r="J5" s="17" t="str">
        <x:v>主体唯一、审计索引；ApprovalTask申请/复核保存自然人identityId且不得同人；prisma validate；空库/升级dry-run；关键不变量SQL</x:v>
      </x:c>
      <x:c r="K5" s="4" t="str">
        <x:v>BEFORE_STAGING_OR_PRODUCTION</x:v>
      </x:c>
      <x:c r="L5" s="4" t="str">
        <x:v>PLANNED</x:v>
      </x:c>
      <x:c r="M5" s="4" t="str"/>
      <x:c r="N5" s="4" t="str"/>
      <x:c r="O5" s="4" t="str"/>
      <x:c r="P5" s="4" t="str"/>
      <x:c r="Q5" s="4" t="str"/>
      <x:c r="R5" s="17" t="str"/>
    </x:row>
    <x:row r="6" ht="23" customHeight="1">
      <x:c r="A6" s="4" t="str">
        <x:v>MIG-005</x:v>
      </x:c>
      <x:c r="B6" s="4" t="str">
        <x:v>M2</x:v>
      </x:c>
      <x:c r="C6" s="17" t="str">
        <x:v>0201_category_templates</x:v>
      </x:c>
      <x:c r="D6" s="4" t="str">
        <x:v>MIG-004</x:v>
      </x:c>
      <x:c r="E6" s="17" t="str">
        <x:v>Category/CategoryTemplate</x:v>
      </x:c>
      <x:c r="F6" s="4"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4" t="str">
        <x:v>BEFORE_STAGING_OR_PRODUCTION</x:v>
      </x:c>
      <x:c r="L6" s="4" t="str">
        <x:v>PLANNED</x:v>
      </x:c>
      <x:c r="M6" s="4" t="str"/>
      <x:c r="N6" s="4" t="str"/>
      <x:c r="O6" s="4" t="str"/>
      <x:c r="P6" s="4" t="str"/>
      <x:c r="Q6" s="4" t="str"/>
      <x:c r="R6" s="17" t="str"/>
    </x:row>
    <x:row r="7" ht="23" customHeight="1">
      <x:c r="A7" s="4" t="str">
        <x:v>MIG-006</x:v>
      </x:c>
      <x:c r="B7" s="4" t="str">
        <x:v>M2</x:v>
      </x:c>
      <x:c r="C7" s="17" t="str">
        <x:v>0202_supplier_product_drafts</x:v>
      </x:c>
      <x:c r="D7" s="4" t="str">
        <x:v>MIG-005</x:v>
      </x:c>
      <x:c r="E7" s="17" t="str">
        <x:v>SupplierProduct/SupplierProductSku</x:v>
      </x:c>
      <x:c r="F7" s="4"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4" t="str">
        <x:v>BEFORE_STAGING_OR_PRODUCTION</x:v>
      </x:c>
      <x:c r="L7" s="4" t="str">
        <x:v>PLANNED</x:v>
      </x:c>
      <x:c r="M7" s="4" t="str"/>
      <x:c r="N7" s="4" t="str"/>
      <x:c r="O7" s="4" t="str"/>
      <x:c r="P7" s="4" t="str"/>
      <x:c r="Q7" s="4" t="str"/>
      <x:c r="R7" s="17" t="str"/>
    </x:row>
    <x:row r="8" ht="23" customHeight="1">
      <x:c r="A8" s="4" t="str">
        <x:v>MIG-007</x:v>
      </x:c>
      <x:c r="B8" s="4" t="str">
        <x:v>M2</x:v>
      </x:c>
      <x:c r="C8" s="17" t="str">
        <x:v>0203_sellable_product_sku</x:v>
      </x:c>
      <x:c r="D8" s="4" t="str">
        <x:v>MIG-006</x:v>
      </x:c>
      <x:c r="E8" s="17" t="str">
        <x:v>Product/Sku</x:v>
      </x:c>
      <x:c r="F8" s="4"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4" t="str">
        <x:v>BEFORE_STAGING_OR_PRODUCTION</x:v>
      </x:c>
      <x:c r="L8" s="4" t="str">
        <x:v>PLANNED</x:v>
      </x:c>
      <x:c r="M8" s="4" t="str"/>
      <x:c r="N8" s="4" t="str"/>
      <x:c r="O8" s="4" t="str"/>
      <x:c r="P8" s="4" t="str"/>
      <x:c r="Q8" s="4" t="str"/>
      <x:c r="R8" s="17" t="str"/>
    </x:row>
    <x:row r="9" ht="23" customHeight="1">
      <x:c r="A9" s="4" t="str">
        <x:v>MIG-008</x:v>
      </x:c>
      <x:c r="B9" s="4" t="str">
        <x:v>M2</x:v>
      </x:c>
      <x:c r="C9" s="17" t="str">
        <x:v>0204_price_history_approval</x:v>
      </x:c>
      <x:c r="D9" s="4" t="str">
        <x:v>MIG-007</x:v>
      </x:c>
      <x:c r="E9" s="17" t="str">
        <x:v>SupplyPriceChangeRequest/PriceChangeLog</x:v>
      </x:c>
      <x:c r="F9" s="4"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4" t="str">
        <x:v>BEFORE_STAGING_OR_PRODUCTION</x:v>
      </x:c>
      <x:c r="L9" s="4" t="str">
        <x:v>PLANNED</x:v>
      </x:c>
      <x:c r="M9" s="4" t="str"/>
      <x:c r="N9" s="4" t="str"/>
      <x:c r="O9" s="4" t="str"/>
      <x:c r="P9" s="4" t="str"/>
      <x:c r="Q9" s="4" t="str"/>
      <x:c r="R9" s="17" t="str"/>
    </x:row>
    <x:row r="10" ht="23" customHeight="1">
      <x:c r="A10" s="4" t="str">
        <x:v>MIG-009</x:v>
      </x:c>
      <x:c r="B10" s="4" t="str">
        <x:v>M2</x:v>
      </x:c>
      <x:c r="C10" s="17" t="str">
        <x:v>0205_inventory_truth</x:v>
      </x:c>
      <x:c r="D10" s="4" t="str">
        <x:v>MIG-008</x:v>
      </x:c>
      <x:c r="E10" s="17" t="str">
        <x:v>InventoryBalance/InventoryChangeLog</x:v>
      </x:c>
      <x:c r="F10" s="4"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4" t="str">
        <x:v>BEFORE_STAGING_OR_PRODUCTION</x:v>
      </x:c>
      <x:c r="L10" s="4" t="str">
        <x:v>PLANNED</x:v>
      </x:c>
      <x:c r="M10" s="4" t="str"/>
      <x:c r="N10" s="4" t="str"/>
      <x:c r="O10" s="4" t="str"/>
      <x:c r="P10" s="4" t="str"/>
      <x:c r="Q10" s="4" t="str"/>
      <x:c r="R10" s="17" t="str"/>
    </x:row>
    <x:row r="11" ht="23" customHeight="1">
      <x:c r="A11" s="4" t="str">
        <x:v>MIG-010</x:v>
      </x:c>
      <x:c r="B11" s="4" t="str">
        <x:v>M3</x:v>
      </x:c>
      <x:c r="C11" s="17" t="str">
        <x:v>0301_consumer_identity_profile</x:v>
      </x:c>
      <x:c r="D11" s="4" t="str">
        <x:v>MIG-009</x:v>
      </x:c>
      <x:c r="E11" s="17" t="str">
        <x:v>ConsumerUser/WechatIdentity/Session/Address/Invoice/Message</x:v>
      </x:c>
      <x:c r="F11" s="4"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4" t="str">
        <x:v>YES</x:v>
      </x:c>
      <x:c r="L11" s="4" t="str">
        <x:v>PLANNED</x:v>
      </x:c>
      <x:c r="M11" s="4" t="str"/>
      <x:c r="N11" s="4" t="str"/>
      <x:c r="O11" s="4" t="str"/>
      <x:c r="P11" s="4" t="str"/>
      <x:c r="Q11" s="4" t="str"/>
      <x:c r="R11" s="17" t="str"/>
    </x:row>
    <x:row r="12" ht="23" customHeight="1">
      <x:c r="A12" s="4" t="str">
        <x:v>MIG-011</x:v>
      </x:c>
      <x:c r="B12" s="4" t="str">
        <x:v>M3</x:v>
      </x:c>
      <x:c r="C12" s="17" t="str">
        <x:v>0302_enterprise_identity_profile</x:v>
      </x:c>
      <x:c r="D12" s="4" t="str">
        <x:v>MIG-010</x:v>
      </x:c>
      <x:c r="E12" s="17" t="str">
        <x:v>EnterpriseCustomer/User/Address/Invoice/ProcurementProfile</x:v>
      </x:c>
      <x:c r="F12" s="4"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4" t="str">
        <x:v>YES</x:v>
      </x:c>
      <x:c r="L12" s="4" t="str">
        <x:v>PLANNED</x:v>
      </x:c>
      <x:c r="M12" s="4" t="str"/>
      <x:c r="N12" s="4" t="str"/>
      <x:c r="O12" s="4" t="str"/>
      <x:c r="P12" s="4" t="str"/>
      <x:c r="Q12" s="4" t="str"/>
      <x:c r="R12" s="17" t="str"/>
    </x:row>
    <x:row r="13" ht="23" customHeight="1">
      <x:c r="A13" s="4" t="str">
        <x:v>MIG-012</x:v>
      </x:c>
      <x:c r="B13" s="4" t="str">
        <x:v>M3</x:v>
      </x:c>
      <x:c r="C13" s="17" t="str">
        <x:v>0303_cart_order_suborders</x:v>
      </x:c>
      <x:c r="D13" s="4" t="str">
        <x:v>MIG-011</x:v>
      </x:c>
      <x:c r="E13" s="17" t="str">
        <x:v>ShoppingCart/Item/Order/OrderItem/SupplierFulfillmentSubOrder</x:v>
      </x:c>
      <x:c r="F13" s="4"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4" t="str">
        <x:v>YES</x:v>
      </x:c>
      <x:c r="L13" s="4" t="str">
        <x:v>PLANNED</x:v>
      </x:c>
      <x:c r="M13" s="4" t="str"/>
      <x:c r="N13" s="4" t="str"/>
      <x:c r="O13" s="4" t="str"/>
      <x:c r="P13" s="4" t="str"/>
      <x:c r="Q13" s="4" t="str"/>
      <x:c r="R13" s="17" t="str"/>
    </x:row>
    <x:row r="14" ht="23" customHeight="1">
      <x:c r="A14" s="4" t="str">
        <x:v>MIG-013</x:v>
      </x:c>
      <x:c r="B14" s="4" t="str">
        <x:v>M3</x:v>
      </x:c>
      <x:c r="C14" s="17" t="str">
        <x:v>0304_payment_refund_allocation</x:v>
      </x:c>
      <x:c r="D14" s="4" t="str">
        <x:v>MIG-012</x:v>
      </x:c>
      <x:c r="E14" s="17" t="str">
        <x:v>OrderPaymentAllocation/PaymentTransaction/RefundTransaction</x:v>
      </x:c>
      <x:c r="F14" s="4"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4" t="str">
        <x:v>YES</x:v>
      </x:c>
      <x:c r="L14" s="4" t="str">
        <x:v>PLANNED</x:v>
      </x:c>
      <x:c r="M14" s="4" t="str"/>
      <x:c r="N14" s="4" t="str"/>
      <x:c r="O14" s="4" t="str"/>
      <x:c r="P14" s="4" t="str"/>
      <x:c r="Q14" s="4" t="str"/>
      <x:c r="R14" s="17" t="str"/>
    </x:row>
    <x:row r="15" ht="23" customHeight="1">
      <x:c r="A15" s="4" t="str">
        <x:v>MIG-014</x:v>
      </x:c>
      <x:c r="B15" s="4" t="str">
        <x:v>M3</x:v>
      </x:c>
      <x:c r="C15" s="17" t="str">
        <x:v>0305_welfare_card_ledger</x:v>
      </x:c>
      <x:c r="D15" s="4" t="str">
        <x:v>MIG-013</x:v>
      </x:c>
      <x:c r="E15" s="17" t="str">
        <x:v>WelfareCardProgram/Batch/Code/Account/Ledger</x:v>
      </x:c>
      <x:c r="F15" s="4"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4" t="str">
        <x:v>YES</x:v>
      </x:c>
      <x:c r="L15" s="4" t="str">
        <x:v>PLANNED</x:v>
      </x:c>
      <x:c r="M15" s="4" t="str"/>
      <x:c r="N15" s="4" t="str"/>
      <x:c r="O15" s="4" t="str"/>
      <x:c r="P15" s="4" t="str"/>
      <x:c r="Q15" s="4" t="str"/>
      <x:c r="R15" s="17" t="str"/>
    </x:row>
    <x:row r="16" ht="23" customHeight="1">
      <x:c r="A16" s="4" t="str">
        <x:v>MIG-015</x:v>
      </x:c>
      <x:c r="B16" s="4" t="str">
        <x:v>M3</x:v>
      </x:c>
      <x:c r="C16" s="17" t="str">
        <x:v>0306_enterprise_procurement</x:v>
      </x:c>
      <x:c r="D16" s="4" t="str">
        <x:v>MIG-014</x:v>
      </x:c>
      <x:c r="E16" s="17" t="str">
        <x:v>EnterpriseProcurementOrder/EnterpriseWelfarePurchase</x:v>
      </x:c>
      <x:c r="F16" s="4"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4" t="str">
        <x:v>YES</x:v>
      </x:c>
      <x:c r="L16" s="4" t="str">
        <x:v>PLANNED</x:v>
      </x:c>
      <x:c r="M16" s="4" t="str"/>
      <x:c r="N16" s="4" t="str"/>
      <x:c r="O16" s="4" t="str"/>
      <x:c r="P16" s="4" t="str"/>
      <x:c r="Q16" s="4" t="str"/>
      <x:c r="R16" s="17" t="str"/>
    </x:row>
    <x:row r="17" ht="23" customHeight="1">
      <x:c r="A17" s="4" t="str">
        <x:v>MIG-016</x:v>
      </x:c>
      <x:c r="B17" s="4" t="str">
        <x:v>M4</x:v>
      </x:c>
      <x:c r="C17" s="17" t="str">
        <x:v>0401_runner_delivery</x:v>
      </x:c>
      <x:c r="D17" s="4" t="str">
        <x:v>MIG-015</x:v>
      </x:c>
      <x:c r="E17" s="17" t="str">
        <x:v>RunnerApplication/Runner/RunnerSession/DeliveryTask/AssignmentLog/NodeLog</x:v>
      </x:c>
      <x:c r="F17" s="4"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4" t="str">
        <x:v>YES</x:v>
      </x:c>
      <x:c r="L17" s="4" t="str">
        <x:v>PLANNED</x:v>
      </x:c>
      <x:c r="M17" s="4" t="str"/>
      <x:c r="N17" s="4" t="str"/>
      <x:c r="O17" s="4" t="str"/>
      <x:c r="P17" s="4" t="str"/>
      <x:c r="Q17" s="4" t="str"/>
      <x:c r="R17" s="17" t="str"/>
    </x:row>
    <x:row r="18" ht="23" customHeight="1">
      <x:c r="A18" s="4" t="str">
        <x:v>MIG-017</x:v>
      </x:c>
      <x:c r="B18" s="4" t="str">
        <x:v>M4</x:v>
      </x:c>
      <x:c r="C18" s="17" t="str">
        <x:v>0402_delivery_exception_proof</x:v>
      </x:c>
      <x:c r="D18" s="4" t="str">
        <x:v>MIG-016</x:v>
      </x:c>
      <x:c r="E18" s="17" t="str">
        <x:v>DeliveryException/DeliveryProof/RunnerCompensationRecord</x:v>
      </x:c>
      <x:c r="F18" s="4"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4" t="str">
        <x:v>YES</x:v>
      </x:c>
      <x:c r="L18" s="4" t="str">
        <x:v>PLANNED</x:v>
      </x:c>
      <x:c r="M18" s="4" t="str"/>
      <x:c r="N18" s="4" t="str"/>
      <x:c r="O18" s="4" t="str"/>
      <x:c r="P18" s="4" t="str"/>
      <x:c r="Q18" s="4" t="str"/>
      <x:c r="R18" s="17" t="str"/>
    </x:row>
    <x:row r="19" ht="23" customHeight="1">
      <x:c r="A19" s="4" t="str">
        <x:v>MIG-018</x:v>
      </x:c>
      <x:c r="B19" s="4" t="str">
        <x:v>M4</x:v>
      </x:c>
      <x:c r="C19" s="17" t="str">
        <x:v>0403_enterprise_delivery</x:v>
      </x:c>
      <x:c r="D19" s="4" t="str">
        <x:v>MIG-017</x:v>
      </x:c>
      <x:c r="E19" s="17" t="str">
        <x:v>EnterpriseDeliveryOrder/Item/NodeLog/CompanyDeliveryResource</x:v>
      </x:c>
      <x:c r="F19" s="4"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4" t="str">
        <x:v>YES</x:v>
      </x:c>
      <x:c r="L19" s="4" t="str">
        <x:v>PLANNED</x:v>
      </x:c>
      <x:c r="M19" s="4" t="str"/>
      <x:c r="N19" s="4" t="str"/>
      <x:c r="O19" s="4" t="str"/>
      <x:c r="P19" s="4" t="str"/>
      <x:c r="Q19" s="4" t="str"/>
      <x:c r="R19" s="17" t="str"/>
    </x:row>
    <x:row r="20" ht="23" customHeight="1">
      <x:c r="A20" s="4" t="str">
        <x:v>MIG-019</x:v>
      </x:c>
      <x:c r="B20" s="4" t="str">
        <x:v>M5</x:v>
      </x:c>
      <x:c r="C20" s="17" t="str">
        <x:v>0501_aftersales_responsibility</x:v>
      </x:c>
      <x:c r="D20" s="4" t="str">
        <x:v>MIG-018</x:v>
      </x:c>
      <x:c r="E20" s="17" t="str">
        <x:v>AfterSale领域表/证据/责任快照（阶段冻结命名）</x:v>
      </x:c>
      <x:c r="F20" s="4"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4" t="str">
        <x:v>YES</x:v>
      </x:c>
      <x:c r="L20" s="4" t="str">
        <x:v>PLANNED</x:v>
      </x:c>
      <x:c r="M20" s="4" t="str"/>
      <x:c r="N20" s="4" t="str"/>
      <x:c r="O20" s="4" t="str"/>
      <x:c r="P20" s="4" t="str"/>
      <x:c r="Q20" s="4" t="str"/>
      <x:c r="R20" s="17" t="str"/>
    </x:row>
    <x:row r="21" ht="23" customHeight="1">
      <x:c r="A21" s="4" t="str">
        <x:v>MIG-020</x:v>
      </x:c>
      <x:c r="B21" s="4" t="str">
        <x:v>M5</x:v>
      </x:c>
      <x:c r="C21" s="17" t="str">
        <x:v>0502_supplier_statements</x:v>
      </x:c>
      <x:c r="D21" s="4" t="str">
        <x:v>MIG-019</x:v>
      </x:c>
      <x:c r="E21" s="17" t="str">
        <x:v>SupplierStatement/StatementItem/OfflineSettlementRecord</x:v>
      </x:c>
      <x:c r="F21" s="4"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4" t="str">
        <x:v>YES</x:v>
      </x:c>
      <x:c r="L21" s="4" t="str">
        <x:v>PLANNED</x:v>
      </x:c>
      <x:c r="M21" s="4" t="str"/>
      <x:c r="N21" s="4" t="str"/>
      <x:c r="O21" s="4" t="str"/>
      <x:c r="P21" s="4" t="str"/>
      <x:c r="Q21" s="4" t="str"/>
      <x:c r="R21" s="17" t="str"/>
    </x:row>
    <x:row r="22" ht="23" customHeight="1">
      <x:c r="A22" s="4" t="str">
        <x:v>MIG-021</x:v>
      </x:c>
      <x:c r="B22" s="4" t="str">
        <x:v>M5</x:v>
      </x:c>
      <x:c r="C22" s="17" t="str">
        <x:v>0503_portal_content</x:v>
      </x:c>
      <x:c r="D22" s="4" t="str">
        <x:v>MIG-020</x:v>
      </x:c>
      <x:c r="E22" s="17" t="str">
        <x:v>PortalContent/Revision/Navigation/Media/BusinessInquiry</x:v>
      </x:c>
      <x:c r="F22" s="4"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4" t="str">
        <x:v>YES</x:v>
      </x:c>
      <x:c r="L22" s="4" t="str">
        <x:v>PLANNED</x:v>
      </x:c>
      <x:c r="M22" s="4" t="str"/>
      <x:c r="N22" s="4" t="str"/>
      <x:c r="O22" s="4" t="str"/>
      <x:c r="P22" s="4" t="str"/>
      <x:c r="Q22" s="4" t="str"/>
      <x:c r="R22" s="17" t="str"/>
    </x:row>
    <x:row r="23" ht="23" customHeight="1">
      <x:c r="A23" s="5" t="str">
        <x:v>MIG-022</x:v>
      </x:c>
      <x:c r="B23" s="5" t="str">
        <x:v>M5</x:v>
      </x:c>
      <x:c r="C23" s="18" t="str">
        <x:v>0504_export_governance</x:v>
      </x:c>
      <x:c r="D23" s="5" t="str">
        <x:v>MIG-021</x:v>
      </x:c>
      <x:c r="E23" s="18" t="str">
        <x:v>ExportJob及审计索引/保留策略</x:v>
      </x:c>
      <x:c r="F23" s="5"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5" t="str">
        <x:v>YES</x:v>
      </x:c>
      <x:c r="L23" s="5" t="str">
        <x:v>PLANNED</x:v>
      </x:c>
      <x:c r="M23" s="5" t="str"/>
      <x:c r="N23" s="5" t="str"/>
      <x:c r="O23" s="5" t="str"/>
      <x:c r="P23" s="5" t="str"/>
      <x:c r="Q23" s="5" t="str"/>
      <x:c r="R23" s="18"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e4be2e1b148455a"/>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4" t="str">
        <x:v>API-001</x:v>
      </x:c>
      <x:c r="B2" s="4" t="str">
        <x:v>M0</x:v>
      </x:c>
      <x:c r="C2" s="4" t="str">
        <x:v>system</x:v>
      </x:c>
      <x:c r="D2" s="4"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4" t="str">
        <x:v>NONE</x:v>
      </x:c>
      <x:c r="L2" s="17" t="str">
        <x:v>NEVER_RETURN; DTO白名单；对象归属校验先于查询结果返回</x:v>
      </x:c>
      <x:c r="M2" s="17" t="str">
        <x:v>N/A</x:v>
      </x:c>
      <x:c r="N2" s="17" t="str">
        <x:v>P0-048</x:v>
      </x:c>
      <x:c r="O2" s="4" t="str">
        <x:v>GENERATED</x:v>
      </x:c>
      <x:c r="P2" s="4" t="str">
        <x:v>IMPLEMENTED</x:v>
      </x:c>
      <x:c r="Q2" s="4" t="str">
        <x:v>IMPLEMENTED</x:v>
      </x:c>
      <x:c r="R2" s="4" t="str">
        <x:v>M0-008-CONTRACT</x:v>
      </x:c>
      <x:c r="S2" s="4" t="str">
        <x:v>CODEX</x:v>
      </x:c>
      <x:c r="T2" s="17" t="str">
        <x:v>已由M0-008确定性生成；测试见tests/openapi/openapi-generation.test.mjs；成功响应为显式DTO白名单；异常由统一安全错误结构处理；无业务数据或供应价字段</x:v>
      </x:c>
    </x:row>
    <x:row r="3" ht="23" customHeight="1">
      <x:c r="A3" s="4" t="str">
        <x:v>API-002</x:v>
      </x:c>
      <x:c r="B3" s="4" t="str">
        <x:v>M0</x:v>
      </x:c>
      <x:c r="C3" s="4" t="str">
        <x:v>system</x:v>
      </x:c>
      <x:c r="D3" s="4"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4" t="str">
        <x:v>NONE</x:v>
      </x:c>
      <x:c r="L3" s="17" t="str">
        <x:v>NEVER_RETURN; DTO白名单；对象归属校验先于查询结果返回</x:v>
      </x:c>
      <x:c r="M3" s="17" t="str">
        <x:v>N/A</x:v>
      </x:c>
      <x:c r="N3" s="17" t="str">
        <x:v>P0-048</x:v>
      </x:c>
      <x:c r="O3" s="4" t="str">
        <x:v>GENERATED</x:v>
      </x:c>
      <x:c r="P3" s="4" t="str">
        <x:v>IMPLEMENTED</x:v>
      </x:c>
      <x:c r="Q3" s="4" t="str">
        <x:v>IMPLEMENTED</x:v>
      </x:c>
      <x:c r="R3" s="4" t="str">
        <x:v>M0-008-CONTRACT</x:v>
      </x:c>
      <x:c r="S3" s="4"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4" t="str">
        <x:v>API-003</x:v>
      </x:c>
      <x:c r="B4" s="4" t="str">
        <x:v>M1</x:v>
      </x:c>
      <x:c r="C4" s="4" t="str">
        <x:v>company-auth</x:v>
      </x:c>
      <x:c r="D4" s="4" t="str">
        <x:v>POST</x:v>
      </x:c>
      <x:c r="E4" s="17" t="str">
        <x:v>/v1/company-auth/login</x:v>
      </x:c>
      <x:c r="F4" s="17" t="str">
        <x:v>COMPANY_USER</x:v>
      </x:c>
      <x:c r="G4" s="17" t="str">
        <x:v>CompanyLoginRequest</x:v>
      </x:c>
      <x:c r="H4" s="17" t="str">
        <x:v>WorkspaceChoiceResponse</x:v>
      </x:c>
      <x:c r="I4" s="17" t="str">
        <x:v>{success,data,error:{code,message,details?},requestId}</x:v>
      </x:c>
      <x:c r="J4" s="17" t="str">
        <x:v>AUTH_INVALID|ACCOUNT_SUSPENDED|RATE_LIMITED</x:v>
      </x:c>
      <x:c r="K4" s="4" t="str">
        <x:v>requestId</x:v>
      </x:c>
      <x:c r="L4" s="17" t="str">
        <x:v>NEVER_RETURN; DTO白名单；对象归属校验先于查询结果返回</x:v>
      </x:c>
      <x:c r="M4" s="17" t="str">
        <x:v>N/A</x:v>
      </x:c>
      <x:c r="N4" s="17" t="str">
        <x:v>P0-066</x:v>
      </x:c>
      <x:c r="O4" s="4" t="str">
        <x:v>PLANNED</x:v>
      </x:c>
      <x:c r="P4" s="4" t="str">
        <x:v>PLANNED</x:v>
      </x:c>
      <x:c r="Q4" s="4" t="str">
        <x:v>PLANNED</x:v>
      </x:c>
      <x:c r="R4" s="4" t="str">
        <x:v>TO_BE_CREATED</x:v>
      </x:c>
      <x:c r="S4" s="4" t="str">
        <x:v>UNASSIGNED</x:v>
      </x:c>
      <x:c r="T4" s="17" t="str">
        <x:v>路径为执行初始契约；阶段M*-000冻结后方可编码</x:v>
      </x:c>
    </x:row>
    <x:row r="5" ht="23" customHeight="1">
      <x:c r="A5" s="4" t="str">
        <x:v>API-004</x:v>
      </x:c>
      <x:c r="B5" s="4" t="str">
        <x:v>M1</x:v>
      </x:c>
      <x:c r="C5" s="4" t="str">
        <x:v>company-auth</x:v>
      </x:c>
      <x:c r="D5" s="4" t="str">
        <x:v>POST</x:v>
      </x:c>
      <x:c r="E5" s="17" t="str">
        <x:v>/v1/company-auth/workspaces/{accountId}/select</x:v>
      </x:c>
      <x:c r="F5" s="17" t="str">
        <x:v>COMPANY_USER</x:v>
      </x:c>
      <x:c r="G5" s="17" t="str">
        <x:v>SelectWorkspaceRequest</x:v>
      </x:c>
      <x:c r="H5" s="17" t="str">
        <x:v>SessionResponse</x:v>
      </x:c>
      <x:c r="I5" s="17" t="str">
        <x:v>{success,data,error:{code,message,details?},requestId}</x:v>
      </x:c>
      <x:c r="J5" s="17" t="str">
        <x:v>WORKSPACE_FORBIDDEN|SECOND_VERIFICATION_REQUIRED</x:v>
      </x:c>
      <x:c r="K5" s="4" t="str">
        <x:v>selectionNonce</x:v>
      </x:c>
      <x:c r="L5" s="17" t="str">
        <x:v>NEVER_RETURN; DTO白名单；对象归属校验先于查询结果返回</x:v>
      </x:c>
      <x:c r="M5" s="17" t="str">
        <x:v>N/A</x:v>
      </x:c>
      <x:c r="N5" s="17" t="str">
        <x:v>P0-066,P0-067</x:v>
      </x:c>
      <x:c r="O5" s="4" t="str">
        <x:v>PLANNED</x:v>
      </x:c>
      <x:c r="P5" s="4" t="str">
        <x:v>PLANNED</x:v>
      </x:c>
      <x:c r="Q5" s="4" t="str">
        <x:v>PLANNED</x:v>
      </x:c>
      <x:c r="R5" s="4" t="str">
        <x:v>TO_BE_CREATED</x:v>
      </x:c>
      <x:c r="S5" s="4" t="str">
        <x:v>UNASSIGNED</x:v>
      </x:c>
      <x:c r="T5" s="17" t="str">
        <x:v>路径为执行初始契约；阶段M*-000冻结后方可编码</x:v>
      </x:c>
    </x:row>
    <x:row r="6" ht="23" customHeight="1">
      <x:c r="A6" s="4" t="str">
        <x:v>API-005</x:v>
      </x:c>
      <x:c r="B6" s="4" t="str">
        <x:v>M1</x:v>
      </x:c>
      <x:c r="C6" s="4" t="str">
        <x:v>supplier-auth</x:v>
      </x:c>
      <x:c r="D6" s="4" t="str">
        <x:v>POST</x:v>
      </x:c>
      <x:c r="E6" s="17" t="str">
        <x:v>/v1/suppliers/registrations</x:v>
      </x:c>
      <x:c r="F6" s="17" t="str">
        <x:v>PUBLIC</x:v>
      </x:c>
      <x:c r="G6" s="17" t="str">
        <x:v>SupplierRegistrationRequest</x:v>
      </x:c>
      <x:c r="H6" s="17" t="str">
        <x:v>SupplierRegistrationResponse</x:v>
      </x:c>
      <x:c r="I6" s="17" t="str">
        <x:v>{success,data,error:{code,message,details?},requestId}</x:v>
      </x:c>
      <x:c r="J6" s="17" t="str">
        <x:v>SUPPLIER_DUPLICATE|VALIDATION_FAILED</x:v>
      </x:c>
      <x:c r="K6" s="4" t="str">
        <x:v>Idempotency-Key</x:v>
      </x:c>
      <x:c r="L6" s="17" t="str">
        <x:v>NEVER_RETURN; DTO白名单；对象归属校验先于查询结果返回</x:v>
      </x:c>
      <x:c r="M6" s="17" t="str">
        <x:v>N/A</x:v>
      </x:c>
      <x:c r="N6" s="17" t="str">
        <x:v>P0-003,P0-069</x:v>
      </x:c>
      <x:c r="O6" s="4" t="str">
        <x:v>PLANNED</x:v>
      </x:c>
      <x:c r="P6" s="4" t="str">
        <x:v>PLANNED</x:v>
      </x:c>
      <x:c r="Q6" s="4" t="str">
        <x:v>PLANNED</x:v>
      </x:c>
      <x:c r="R6" s="4" t="str">
        <x:v>TO_BE_CREATED</x:v>
      </x:c>
      <x:c r="S6" s="4" t="str">
        <x:v>UNASSIGNED</x:v>
      </x:c>
      <x:c r="T6" s="17" t="str">
        <x:v>路径为执行初始契约；阶段M*-000冻结后方可编码</x:v>
      </x:c>
    </x:row>
    <x:row r="7" ht="23" customHeight="1">
      <x:c r="A7" s="4" t="str">
        <x:v>API-006</x:v>
      </x:c>
      <x:c r="B7" s="4" t="str">
        <x:v>M1</x:v>
      </x:c>
      <x:c r="C7" s="4" t="str">
        <x:v>supplier-auth</x:v>
      </x:c>
      <x:c r="D7" s="4" t="str">
        <x:v>POST</x:v>
      </x:c>
      <x:c r="E7" s="17" t="str">
        <x:v>/v1/supplier-auth/login</x:v>
      </x:c>
      <x:c r="F7" s="17" t="str">
        <x:v>SUPPLIER_USER</x:v>
      </x:c>
      <x:c r="G7" s="17" t="str">
        <x:v>SupplierLoginRequest</x:v>
      </x:c>
      <x:c r="H7" s="17" t="str">
        <x:v>WorkspaceChoiceResponse</x:v>
      </x:c>
      <x:c r="I7" s="17" t="str">
        <x:v>{success,data,error:{code,message,details?},requestId}</x:v>
      </x:c>
      <x:c r="J7" s="17" t="str">
        <x:v>AUTH_INVALID|SUPPLIER_NOT_ACTIVE</x:v>
      </x:c>
      <x:c r="K7" s="4" t="str">
        <x:v>requestId</x:v>
      </x:c>
      <x:c r="L7" s="17" t="str">
        <x:v>NEVER_RETURN; DTO白名单；对象归属校验先于查询结果返回</x:v>
      </x:c>
      <x:c r="M7" s="17" t="str">
        <x:v>N/A</x:v>
      </x:c>
      <x:c r="N7" s="17" t="str">
        <x:v>P0-069</x:v>
      </x:c>
      <x:c r="O7" s="4" t="str">
        <x:v>PLANNED</x:v>
      </x:c>
      <x:c r="P7" s="4" t="str">
        <x:v>PLANNED</x:v>
      </x:c>
      <x:c r="Q7" s="4" t="str">
        <x:v>PLANNED</x:v>
      </x:c>
      <x:c r="R7" s="4" t="str">
        <x:v>TO_BE_CREATED</x:v>
      </x:c>
      <x:c r="S7" s="4" t="str">
        <x:v>UNASSIGNED</x:v>
      </x:c>
      <x:c r="T7" s="17" t="str">
        <x:v>路径为执行初始契约；阶段M*-000冻结后方可编码</x:v>
      </x:c>
    </x:row>
    <x:row r="8" ht="23" customHeight="1">
      <x:c r="A8" s="4" t="str">
        <x:v>API-007</x:v>
      </x:c>
      <x:c r="B8" s="4" t="str">
        <x:v>M1</x:v>
      </x:c>
      <x:c r="C8" s="4" t="str">
        <x:v>supplier-auth</x:v>
      </x:c>
      <x:c r="D8" s="4" t="str">
        <x:v>POST</x:v>
      </x:c>
      <x:c r="E8" s="17" t="str">
        <x:v>/v1/supplier-auth/workspaces/{accountId}/select</x:v>
      </x:c>
      <x:c r="F8" s="17" t="str">
        <x:v>SUPPLIER_USER</x:v>
      </x:c>
      <x:c r="G8" s="17" t="str">
        <x:v>SelectWorkspaceRequest</x:v>
      </x:c>
      <x:c r="H8" s="17" t="str">
        <x:v>SessionResponse</x:v>
      </x:c>
      <x:c r="I8" s="17" t="str">
        <x:v>{success,data,error:{code,message,details?},requestId}</x:v>
      </x:c>
      <x:c r="J8" s="17" t="str">
        <x:v>WORKSPACE_FORBIDDEN</x:v>
      </x:c>
      <x:c r="K8" s="4" t="str">
        <x:v>selectionNonce</x:v>
      </x:c>
      <x:c r="L8" s="17" t="str">
        <x:v>NEVER_RETURN; DTO白名单；对象归属校验先于查询结果返回</x:v>
      </x:c>
      <x:c r="M8" s="17" t="str">
        <x:v>N/A</x:v>
      </x:c>
      <x:c r="N8" s="17" t="str">
        <x:v>P0-069,P0-070</x:v>
      </x:c>
      <x:c r="O8" s="4" t="str">
        <x:v>PLANNED</x:v>
      </x:c>
      <x:c r="P8" s="4" t="str">
        <x:v>PLANNED</x:v>
      </x:c>
      <x:c r="Q8" s="4" t="str">
        <x:v>PLANNED</x:v>
      </x:c>
      <x:c r="R8" s="4" t="str">
        <x:v>TO_BE_CREATED</x:v>
      </x:c>
      <x:c r="S8" s="4" t="str">
        <x:v>UNASSIGNED</x:v>
      </x:c>
      <x:c r="T8" s="17" t="str">
        <x:v>路径为执行初始契约；阶段M*-000冻结后方可编码</x:v>
      </x:c>
    </x:row>
    <x:row r="9" ht="23" customHeight="1">
      <x:c r="A9" s="4" t="str">
        <x:v>API-008</x:v>
      </x:c>
      <x:c r="B9" s="4" t="str">
        <x:v>M1</x:v>
      </x:c>
      <x:c r="C9" s="4" t="str">
        <x:v>supplier</x:v>
      </x:c>
      <x:c r="D9" s="4" t="str">
        <x:v>GET</x:v>
      </x:c>
      <x:c r="E9" s="17" t="str">
        <x:v>/v1/supplier/me</x:v>
      </x:c>
      <x:c r="F9" s="17" t="str">
        <x:v>SUPPLIER_ACCOUNT_ADMIN</x:v>
      </x:c>
      <x:c r="G9" s="17" t="str">
        <x:v>None</x:v>
      </x:c>
      <x:c r="H9" s="17" t="str">
        <x:v>SupplierProfileResponse</x:v>
      </x:c>
      <x:c r="I9" s="17" t="str">
        <x:v>{success,data,error:{code,message,details?},requestId}</x:v>
      </x:c>
      <x:c r="J9" s="17" t="str">
        <x:v>SUPPLIER_SCOPE_FORBIDDEN</x:v>
      </x:c>
      <x:c r="K9" s="4" t="str">
        <x:v>NONE</x:v>
      </x:c>
      <x:c r="L9" s="17" t="str">
        <x:v>NEVER_RETURN; DTO白名单；对象归属校验先于查询结果返回</x:v>
      </x:c>
      <x:c r="M9" s="17" t="str">
        <x:v>N/A</x:v>
      </x:c>
      <x:c r="N9" s="17" t="str">
        <x:v>P0-004,P0-005</x:v>
      </x:c>
      <x:c r="O9" s="4" t="str">
        <x:v>PLANNED</x:v>
      </x:c>
      <x:c r="P9" s="4" t="str">
        <x:v>PLANNED</x:v>
      </x:c>
      <x:c r="Q9" s="4" t="str">
        <x:v>PLANNED</x:v>
      </x:c>
      <x:c r="R9" s="4" t="str">
        <x:v>TO_BE_CREATED</x:v>
      </x:c>
      <x:c r="S9" s="4" t="str">
        <x:v>UNASSIGNED</x:v>
      </x:c>
      <x:c r="T9" s="17" t="str">
        <x:v>路径为执行初始契约；阶段M*-000冻结后方可编码</x:v>
      </x:c>
    </x:row>
    <x:row r="10" ht="23" customHeight="1">
      <x:c r="A10" s="4" t="str">
        <x:v>API-009</x:v>
      </x:c>
      <x:c r="B10" s="4" t="str">
        <x:v>M1</x:v>
      </x:c>
      <x:c r="C10" s="4" t="str">
        <x:v>supplier</x:v>
      </x:c>
      <x:c r="D10" s="4" t="str">
        <x:v>PATCH</x:v>
      </x:c>
      <x:c r="E10" s="17" t="str">
        <x:v>/v1/supplier/me</x:v>
      </x:c>
      <x:c r="F10" s="17" t="str">
        <x:v>SUPPLIER_ACCOUNT_ADMIN</x:v>
      </x:c>
      <x:c r="G10" s="17" t="str">
        <x:v>SupplierProfilePatchRequest</x:v>
      </x:c>
      <x:c r="H10" s="17" t="str">
        <x:v>SupplierProfileResponse</x:v>
      </x:c>
      <x:c r="I10" s="17" t="str">
        <x:v>{success,data,error:{code,message,details?},requestId}</x:v>
      </x:c>
      <x:c r="J10" s="17" t="str">
        <x:v>VERSION_CONFLICT|SECOND_VERIFICATION_REQUIRED</x:v>
      </x:c>
      <x:c r="K10" s="4" t="str">
        <x:v>Idempotency-Key</x:v>
      </x:c>
      <x:c r="L10" s="17" t="str">
        <x:v>NEVER_RETURN; DTO白名单；对象归属校验先于查询结果返回</x:v>
      </x:c>
      <x:c r="M10" s="17" t="str">
        <x:v>N/A</x:v>
      </x:c>
      <x:c r="N10" s="17" t="str">
        <x:v>P0-003,P0-005</x:v>
      </x:c>
      <x:c r="O10" s="4" t="str">
        <x:v>PLANNED</x:v>
      </x:c>
      <x:c r="P10" s="4" t="str">
        <x:v>PLANNED</x:v>
      </x:c>
      <x:c r="Q10" s="4" t="str">
        <x:v>PLANNED</x:v>
      </x:c>
      <x:c r="R10" s="4" t="str">
        <x:v>TO_BE_CREATED</x:v>
      </x:c>
      <x:c r="S10" s="4" t="str">
        <x:v>UNASSIGNED</x:v>
      </x:c>
      <x:c r="T10" s="17" t="str">
        <x:v>路径为执行初始契约；阶段M*-000冻结后方可编码</x:v>
      </x:c>
    </x:row>
    <x:row r="11" ht="23" customHeight="1">
      <x:c r="A11" s="4" t="str">
        <x:v>API-010</x:v>
      </x:c>
      <x:c r="B11" s="4" t="str">
        <x:v>M1</x:v>
      </x:c>
      <x:c r="C11" s="4" t="str">
        <x:v>supplier</x:v>
      </x:c>
      <x:c r="D11" s="4" t="str">
        <x:v>POST</x:v>
      </x:c>
      <x:c r="E11" s="17" t="str">
        <x:v>/v1/supplier/me/submit-review</x:v>
      </x:c>
      <x:c r="F11" s="17" t="str">
        <x:v>SUPPLIER_ACCOUNT_ADMIN</x:v>
      </x:c>
      <x:c r="G11" s="17" t="str">
        <x:v>SubmitReviewRequest</x:v>
      </x:c>
      <x:c r="H11" s="17" t="str">
        <x:v>ApprovalTaskResponse</x:v>
      </x:c>
      <x:c r="I11" s="17" t="str">
        <x:v>{success,data,error:{code,message,details?},requestId}</x:v>
      </x:c>
      <x:c r="J11" s="17" t="str">
        <x:v>STATE_TRANSITION_INVALID</x:v>
      </x:c>
      <x:c r="K11" s="4" t="str">
        <x:v>Idempotency-Key</x:v>
      </x:c>
      <x:c r="L11" s="17" t="str">
        <x:v>NEVER_RETURN; DTO白名单；对象归属校验先于查询结果返回</x:v>
      </x:c>
      <x:c r="M11" s="17" t="str">
        <x:v>N/A</x:v>
      </x:c>
      <x:c r="N11" s="17" t="str">
        <x:v>P0-003</x:v>
      </x:c>
      <x:c r="O11" s="4" t="str">
        <x:v>PLANNED</x:v>
      </x:c>
      <x:c r="P11" s="4" t="str">
        <x:v>PLANNED</x:v>
      </x:c>
      <x:c r="Q11" s="4" t="str">
        <x:v>PLANNED</x:v>
      </x:c>
      <x:c r="R11" s="4" t="str">
        <x:v>TO_BE_CREATED</x:v>
      </x:c>
      <x:c r="S11" s="4" t="str">
        <x:v>UNASSIGNED</x:v>
      </x:c>
      <x:c r="T11" s="17" t="str">
        <x:v>路径为执行初始契约；阶段M*-000冻结后方可编码</x:v>
      </x:c>
    </x:row>
    <x:row r="12" ht="23" customHeight="1">
      <x:c r="A12" s="4" t="str">
        <x:v>API-011</x:v>
      </x:c>
      <x:c r="B12" s="4" t="str">
        <x:v>M1</x:v>
      </x:c>
      <x:c r="C12" s="4" t="str">
        <x:v>company-supplier</x:v>
      </x:c>
      <x:c r="D12" s="4" t="str">
        <x:v>GET</x:v>
      </x:c>
      <x:c r="E12" s="17" t="str">
        <x:v>/v1/company/suppliers</x:v>
      </x:c>
      <x:c r="F12" s="17" t="str">
        <x:v>COMPANY_SUPPLIER_OPS</x:v>
      </x:c>
      <x:c r="G12" s="17" t="str">
        <x:v>SupplierQuery</x:v>
      </x:c>
      <x:c r="H12" s="17" t="str">
        <x:v>SupplierPageResponse</x:v>
      </x:c>
      <x:c r="I12" s="17" t="str">
        <x:v>{success,data,error:{code,message,details?},requestId}</x:v>
      </x:c>
      <x:c r="J12" s="17" t="str">
        <x:v>FIELD_FORBIDDEN</x:v>
      </x:c>
      <x:c r="K12" s="4" t="str">
        <x:v>NONE</x:v>
      </x:c>
      <x:c r="L12" s="17" t="str">
        <x:v>NEVER_RETURN; DTO白名单；对象归属校验先于查询结果返回</x:v>
      </x:c>
      <x:c r="M12" s="17" t="str">
        <x:v>N/A</x:v>
      </x:c>
      <x:c r="N12" s="17" t="str">
        <x:v>P0-003,P0-004</x:v>
      </x:c>
      <x:c r="O12" s="4" t="str">
        <x:v>PLANNED</x:v>
      </x:c>
      <x:c r="P12" s="4" t="str">
        <x:v>PLANNED</x:v>
      </x:c>
      <x:c r="Q12" s="4" t="str">
        <x:v>PLANNED</x:v>
      </x:c>
      <x:c r="R12" s="4" t="str">
        <x:v>TO_BE_CREATED</x:v>
      </x:c>
      <x:c r="S12" s="4" t="str">
        <x:v>UNASSIGNED</x:v>
      </x:c>
      <x:c r="T12" s="17" t="str">
        <x:v>路径为执行初始契约；阶段M*-000冻结后方可编码</x:v>
      </x:c>
    </x:row>
    <x:row r="13" ht="23" customHeight="1">
      <x:c r="A13" s="4" t="str">
        <x:v>API-012</x:v>
      </x:c>
      <x:c r="B13" s="4" t="str">
        <x:v>M1</x:v>
      </x:c>
      <x:c r="C13" s="4" t="str">
        <x:v>company-supplier</x:v>
      </x:c>
      <x:c r="D13" s="4" t="str">
        <x:v>POST</x:v>
      </x:c>
      <x:c r="E13" s="17" t="str">
        <x:v>/v1/company/suppliers/{supplierId}/review</x:v>
      </x:c>
      <x:c r="F13" s="17" t="str">
        <x:v>COMPANY_SUPPLIER_OPS</x:v>
      </x:c>
      <x:c r="G13" s="17" t="str">
        <x:v>SupplierReviewRequest</x:v>
      </x:c>
      <x:c r="H13" s="17" t="str">
        <x:v>SupplierResponse</x:v>
      </x:c>
      <x:c r="I13" s="17" t="str">
        <x:v>{success,data,error:{code,message,details?},requestId}</x:v>
      </x:c>
      <x:c r="J13" s="17" t="str">
        <x:v>APPROVAL_VERSION_CONFLICT</x:v>
      </x:c>
      <x:c r="K13" s="4" t="str">
        <x:v>Idempotency-Key</x:v>
      </x:c>
      <x:c r="L13" s="17" t="str">
        <x:v>NEVER_RETURN; DTO白名单；对象归属校验先于查询结果返回</x:v>
      </x:c>
      <x:c r="M13" s="17" t="str">
        <x:v>N/A</x:v>
      </x:c>
      <x:c r="N13" s="17" t="str">
        <x:v>P0-003</x:v>
      </x:c>
      <x:c r="O13" s="4" t="str">
        <x:v>PLANNED</x:v>
      </x:c>
      <x:c r="P13" s="4" t="str">
        <x:v>PLANNED</x:v>
      </x:c>
      <x:c r="Q13" s="4" t="str">
        <x:v>PLANNED</x:v>
      </x:c>
      <x:c r="R13" s="4" t="str">
        <x:v>TO_BE_CREATED</x:v>
      </x:c>
      <x:c r="S13" s="4" t="str">
        <x:v>UNASSIGNED</x:v>
      </x:c>
      <x:c r="T13" s="17" t="str">
        <x:v>路径为执行初始契约；阶段M*-000冻结后方可编码</x:v>
      </x:c>
    </x:row>
    <x:row r="14" ht="23" customHeight="1">
      <x:c r="A14" s="4" t="str">
        <x:v>API-013</x:v>
      </x:c>
      <x:c r="B14" s="4" t="str">
        <x:v>M1</x:v>
      </x:c>
      <x:c r="C14" s="4" t="str">
        <x:v>functional-accounts</x:v>
      </x:c>
      <x:c r="D14" s="4" t="str">
        <x:v>GET</x:v>
      </x:c>
      <x:c r="E14" s="17" t="str">
        <x:v>/v1/{ownerType}/functional-accounts</x:v>
      </x:c>
      <x:c r="F14" s="17" t="str">
        <x:v>OWNER_ACCOUNT_ADMIN</x:v>
      </x:c>
      <x:c r="G14" s="17" t="str">
        <x:v>AccountQuery</x:v>
      </x:c>
      <x:c r="H14" s="17" t="str">
        <x:v>FunctionalAccountPageResponse</x:v>
      </x:c>
      <x:c r="I14" s="17" t="str">
        <x:v>{success,data,error:{code,message,details?},requestId}</x:v>
      </x:c>
      <x:c r="J14" s="17" t="str">
        <x:v>DATA_SCOPE_FORBIDDEN</x:v>
      </x:c>
      <x:c r="K14" s="4" t="str">
        <x:v>NONE</x:v>
      </x:c>
      <x:c r="L14" s="17" t="str">
        <x:v>NEVER_RETURN; DTO白名单；对象归属校验先于查询结果返回</x:v>
      </x:c>
      <x:c r="M14" s="17" t="str">
        <x:v>N/A</x:v>
      </x:c>
      <x:c r="N14" s="17" t="str">
        <x:v>P0-005,P0-067,P0-070</x:v>
      </x:c>
      <x:c r="O14" s="4" t="str">
        <x:v>PLANNED</x:v>
      </x:c>
      <x:c r="P14" s="4" t="str">
        <x:v>PLANNED</x:v>
      </x:c>
      <x:c r="Q14" s="4" t="str">
        <x:v>PLANNED</x:v>
      </x:c>
      <x:c r="R14" s="4" t="str">
        <x:v>TO_BE_CREATED</x:v>
      </x:c>
      <x:c r="S14" s="4" t="str">
        <x:v>UNASSIGNED</x:v>
      </x:c>
      <x:c r="T14" s="17" t="str">
        <x:v>路径为执行初始契约；阶段M*-000冻结后方可编码</x:v>
      </x:c>
    </x:row>
    <x:row r="15" ht="23" customHeight="1">
      <x:c r="A15" s="4" t="str">
        <x:v>API-014</x:v>
      </x:c>
      <x:c r="B15" s="4" t="str">
        <x:v>M1</x:v>
      </x:c>
      <x:c r="C15" s="4" t="str">
        <x:v>functional-accounts</x:v>
      </x:c>
      <x:c r="D15" s="4" t="str">
        <x:v>POST</x:v>
      </x:c>
      <x:c r="E15" s="17" t="str">
        <x:v>/v1/{ownerType}/functional-accounts</x:v>
      </x:c>
      <x:c r="F15" s="17" t="str">
        <x:v>OWNER_ACCOUNT_ADMIN</x:v>
      </x:c>
      <x:c r="G15" s="17" t="str">
        <x:v>CreateFunctionalAccountRequest</x:v>
      </x:c>
      <x:c r="H15" s="17" t="str">
        <x:v>FunctionalAccountResponse</x:v>
      </x:c>
      <x:c r="I15" s="17" t="str">
        <x:v>{success,data,error:{code,message,details?},requestId}</x:v>
      </x:c>
      <x:c r="J15" s="17" t="str">
        <x:v>ACCOUNT_TYPE_INVALID|SECOND_VERIFICATION_REQUIRED</x:v>
      </x:c>
      <x:c r="K15" s="4" t="str">
        <x:v>Idempotency-Key</x:v>
      </x:c>
      <x:c r="L15" s="17" t="str">
        <x:v>NEVER_RETURN; DTO白名单；对象归属校验先于查询结果返回</x:v>
      </x:c>
      <x:c r="M15" s="17" t="str">
        <x:v>N/A</x:v>
      </x:c>
      <x:c r="N15" s="17" t="str">
        <x:v>P0-005,P0-067,P0-070</x:v>
      </x:c>
      <x:c r="O15" s="4" t="str">
        <x:v>PLANNED</x:v>
      </x:c>
      <x:c r="P15" s="4" t="str">
        <x:v>PLANNED</x:v>
      </x:c>
      <x:c r="Q15" s="4" t="str">
        <x:v>PLANNED</x:v>
      </x:c>
      <x:c r="R15" s="4" t="str">
        <x:v>TO_BE_CREATED</x:v>
      </x:c>
      <x:c r="S15" s="4" t="str">
        <x:v>UNASSIGNED</x:v>
      </x:c>
      <x:c r="T15" s="17" t="str">
        <x:v>路径为执行初始契约；阶段M*-000冻结后方可编码</x:v>
      </x:c>
    </x:row>
    <x:row r="16" ht="23" customHeight="1">
      <x:c r="A16" s="4" t="str">
        <x:v>API-015</x:v>
      </x:c>
      <x:c r="B16" s="4" t="str">
        <x:v>M1</x:v>
      </x:c>
      <x:c r="C16" s="4" t="str">
        <x:v>audit</x:v>
      </x:c>
      <x:c r="D16" s="4" t="str">
        <x:v>GET</x:v>
      </x:c>
      <x:c r="E16" s="17" t="str">
        <x:v>/v1/audit/events</x:v>
      </x:c>
      <x:c r="F16" s="17" t="str">
        <x:v>AUTHORIZED_AUDITOR</x:v>
      </x:c>
      <x:c r="G16" s="17" t="str">
        <x:v>AuditQuery</x:v>
      </x:c>
      <x:c r="H16" s="17" t="str">
        <x:v>AuditEventPageResponse</x:v>
      </x:c>
      <x:c r="I16" s="17" t="str">
        <x:v>{success,data,error:{code,message,details?},requestId}</x:v>
      </x:c>
      <x:c r="J16" s="17" t="str">
        <x:v>FIELD_FORBIDDEN|EXPORT_APPROVAL_REQUIRED</x:v>
      </x:c>
      <x:c r="K16" s="4" t="str">
        <x:v>NONE</x:v>
      </x:c>
      <x:c r="L16" s="17" t="str">
        <x:v>NEVER_RETURN; DTO白名单；对象归属校验先于查询结果返回</x:v>
      </x:c>
      <x:c r="M16" s="17" t="str">
        <x:v>N/A</x:v>
      </x:c>
      <x:c r="N16" s="17" t="str">
        <x:v>P0-045,P0-072</x:v>
      </x:c>
      <x:c r="O16" s="4" t="str">
        <x:v>PLANNED</x:v>
      </x:c>
      <x:c r="P16" s="4" t="str">
        <x:v>PLANNED</x:v>
      </x:c>
      <x:c r="Q16" s="4" t="str">
        <x:v>PLANNED</x:v>
      </x:c>
      <x:c r="R16" s="4" t="str">
        <x:v>TO_BE_CREATED</x:v>
      </x:c>
      <x:c r="S16" s="4" t="str">
        <x:v>UNASSIGNED</x:v>
      </x:c>
      <x:c r="T16" s="17" t="str">
        <x:v>路径为执行初始契约；阶段M*-000冻结后方可编码</x:v>
      </x:c>
    </x:row>
    <x:row r="17" ht="23" customHeight="1">
      <x:c r="A17" s="4" t="str">
        <x:v>API-016</x:v>
      </x:c>
      <x:c r="B17" s="4" t="str">
        <x:v>M2</x:v>
      </x:c>
      <x:c r="C17" s="4" t="str">
        <x:v>categories</x:v>
      </x:c>
      <x:c r="D17" s="4"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4" t="str">
        <x:v>NONE</x:v>
      </x:c>
      <x:c r="L17" s="17" t="str">
        <x:v>NEVER_RETURN; DTO白名单；对象归属校验先于查询结果返回</x:v>
      </x:c>
      <x:c r="M17" s="17" t="str">
        <x:v>金额字段整数分；服务端重算；禁止客户端提交供应价或结算快照</x:v>
      </x:c>
      <x:c r="N17" s="17" t="str">
        <x:v>P0-011</x:v>
      </x:c>
      <x:c r="O17" s="4" t="str">
        <x:v>PLANNED</x:v>
      </x:c>
      <x:c r="P17" s="4" t="str">
        <x:v>PLANNED</x:v>
      </x:c>
      <x:c r="Q17" s="4" t="str">
        <x:v>PLANNED</x:v>
      </x:c>
      <x:c r="R17" s="4" t="str">
        <x:v>TO_BE_CREATED</x:v>
      </x:c>
      <x:c r="S17" s="4" t="str">
        <x:v>UNASSIGNED</x:v>
      </x:c>
      <x:c r="T17" s="17" t="str">
        <x:v>路径为执行初始契约；阶段M*-000冻结后方可编码</x:v>
      </x:c>
    </x:row>
    <x:row r="18" ht="23" customHeight="1">
      <x:c r="A18" s="4" t="str">
        <x:v>API-017</x:v>
      </x:c>
      <x:c r="B18" s="4" t="str">
        <x:v>M2</x:v>
      </x:c>
      <x:c r="C18" s="4" t="str">
        <x:v>categories</x:v>
      </x:c>
      <x:c r="D18" s="4"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4" t="str">
        <x:v>Idempotency-Key</x:v>
      </x:c>
      <x:c r="L18" s="17" t="str">
        <x:v>NEVER_RETURN; DTO白名单；对象归属校验先于查询结果返回</x:v>
      </x:c>
      <x:c r="M18" s="17" t="str">
        <x:v>金额字段整数分；服务端重算；禁止客户端提交供应价或结算快照</x:v>
      </x:c>
      <x:c r="N18" s="17" t="str">
        <x:v>P0-011</x:v>
      </x:c>
      <x:c r="O18" s="4" t="str">
        <x:v>PLANNED</x:v>
      </x:c>
      <x:c r="P18" s="4" t="str">
        <x:v>PLANNED</x:v>
      </x:c>
      <x:c r="Q18" s="4" t="str">
        <x:v>PLANNED</x:v>
      </x:c>
      <x:c r="R18" s="4" t="str">
        <x:v>TO_BE_CREATED</x:v>
      </x:c>
      <x:c r="S18" s="4" t="str">
        <x:v>UNASSIGNED</x:v>
      </x:c>
      <x:c r="T18" s="17" t="str">
        <x:v>路径为执行初始契约；阶段M*-000冻结后方可编码</x:v>
      </x:c>
    </x:row>
    <x:row r="19" ht="23" customHeight="1">
      <x:c r="A19" s="4" t="str">
        <x:v>API-018</x:v>
      </x:c>
      <x:c r="B19" s="4" t="str">
        <x:v>M2</x:v>
      </x:c>
      <x:c r="C19" s="4" t="str">
        <x:v>category-templates</x:v>
      </x:c>
      <x:c r="D19" s="4"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4" t="str">
        <x:v>Idempotency-Key</x:v>
      </x:c>
      <x:c r="L19" s="17" t="str">
        <x:v>NEVER_RETURN; DTO白名单；对象归属校验先于查询结果返回</x:v>
      </x:c>
      <x:c r="M19" s="17" t="str">
        <x:v>金额字段整数分；服务端重算；禁止客户端提交供应价或结算快照</x:v>
      </x:c>
      <x:c r="N19" s="17" t="str">
        <x:v>P0-012,P0-018</x:v>
      </x:c>
      <x:c r="O19" s="4" t="str">
        <x:v>PLANNED</x:v>
      </x:c>
      <x:c r="P19" s="4" t="str">
        <x:v>PLANNED</x:v>
      </x:c>
      <x:c r="Q19" s="4" t="str">
        <x:v>PLANNED</x:v>
      </x:c>
      <x:c r="R19" s="4" t="str">
        <x:v>TO_BE_CREATED</x:v>
      </x:c>
      <x:c r="S19" s="4" t="str">
        <x:v>UNASSIGNED</x:v>
      </x:c>
      <x:c r="T19" s="17" t="str">
        <x:v>路径为执行初始契约；阶段M*-000冻结后方可编码</x:v>
      </x:c>
    </x:row>
    <x:row r="20" ht="23" customHeight="1">
      <x:c r="A20" s="4" t="str">
        <x:v>API-019</x:v>
      </x:c>
      <x:c r="B20" s="4" t="str">
        <x:v>M2</x:v>
      </x:c>
      <x:c r="C20" s="4" t="str">
        <x:v>supplier-products</x:v>
      </x:c>
      <x:c r="D20" s="4"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4" t="str">
        <x:v>Idempotency-Key</x:v>
      </x:c>
      <x:c r="L20" s="17" t="str">
        <x:v>NEVER_RETURN; DTO白名单；对象归属校验先于查询结果返回</x:v>
      </x:c>
      <x:c r="M20" s="17" t="str">
        <x:v>金额字段整数分；服务端重算；禁止客户端提交供应价或结算快照</x:v>
      </x:c>
      <x:c r="N20" s="17" t="str">
        <x:v>P0-006,P0-008,P0-061</x:v>
      </x:c>
      <x:c r="O20" s="4" t="str">
        <x:v>PLANNED</x:v>
      </x:c>
      <x:c r="P20" s="4" t="str">
        <x:v>PLANNED</x:v>
      </x:c>
      <x:c r="Q20" s="4" t="str">
        <x:v>PLANNED</x:v>
      </x:c>
      <x:c r="R20" s="4" t="str">
        <x:v>TO_BE_CREATED</x:v>
      </x:c>
      <x:c r="S20" s="4" t="str">
        <x:v>UNASSIGNED</x:v>
      </x:c>
      <x:c r="T20" s="17" t="str">
        <x:v>路径为执行初始契约；阶段M*-000冻结后方可编码</x:v>
      </x:c>
    </x:row>
    <x:row r="21" ht="23" customHeight="1">
      <x:c r="A21" s="4" t="str">
        <x:v>API-020</x:v>
      </x:c>
      <x:c r="B21" s="4" t="str">
        <x:v>M2</x:v>
      </x:c>
      <x:c r="C21" s="4" t="str">
        <x:v>supplier-products</x:v>
      </x:c>
      <x:c r="D21" s="4"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4" t="str">
        <x:v>Idempotency-Key</x:v>
      </x:c>
      <x:c r="L21" s="17" t="str">
        <x:v>NEVER_RETURN; DTO白名单；对象归属校验先于查询结果返回</x:v>
      </x:c>
      <x:c r="M21" s="17" t="str">
        <x:v>金额字段整数分；服务端重算；禁止客户端提交供应价或结算快照</x:v>
      </x:c>
      <x:c r="N21" s="17" t="str">
        <x:v>P0-006,P0-008</x:v>
      </x:c>
      <x:c r="O21" s="4" t="str">
        <x:v>PLANNED</x:v>
      </x:c>
      <x:c r="P21" s="4" t="str">
        <x:v>PLANNED</x:v>
      </x:c>
      <x:c r="Q21" s="4" t="str">
        <x:v>PLANNED</x:v>
      </x:c>
      <x:c r="R21" s="4" t="str">
        <x:v>TO_BE_CREATED</x:v>
      </x:c>
      <x:c r="S21" s="4" t="str">
        <x:v>UNASSIGNED</x:v>
      </x:c>
      <x:c r="T21" s="17" t="str">
        <x:v>路径为执行初始契约；阶段M*-000冻结后方可编码</x:v>
      </x:c>
    </x:row>
    <x:row r="22" ht="23" customHeight="1">
      <x:c r="A22" s="4" t="str">
        <x:v>API-021</x:v>
      </x:c>
      <x:c r="B22" s="4" t="str">
        <x:v>M2</x:v>
      </x:c>
      <x:c r="C22" s="4" t="str">
        <x:v>supplier-products</x:v>
      </x:c>
      <x:c r="D22" s="4"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4" t="str">
        <x:v>Idempotency-Key</x:v>
      </x:c>
      <x:c r="L22" s="17" t="str">
        <x:v>NEVER_RETURN; DTO白名单；对象归属校验先于查询结果返回</x:v>
      </x:c>
      <x:c r="M22" s="17" t="str">
        <x:v>金额字段整数分；服务端重算；禁止客户端提交供应价或结算快照</x:v>
      </x:c>
      <x:c r="N22" s="17" t="str">
        <x:v>P0-006,P0-007</x:v>
      </x:c>
      <x:c r="O22" s="4" t="str">
        <x:v>PLANNED</x:v>
      </x:c>
      <x:c r="P22" s="4" t="str">
        <x:v>PLANNED</x:v>
      </x:c>
      <x:c r="Q22" s="4" t="str">
        <x:v>PLANNED</x:v>
      </x:c>
      <x:c r="R22" s="4" t="str">
        <x:v>TO_BE_CREATED</x:v>
      </x:c>
      <x:c r="S22" s="4" t="str">
        <x:v>UNASSIGNED</x:v>
      </x:c>
      <x:c r="T22" s="17" t="str">
        <x:v>路径为执行初始契约；阶段M*-000冻结后方可编码</x:v>
      </x:c>
    </x:row>
    <x:row r="23" ht="23" customHeight="1">
      <x:c r="A23" s="4" t="str">
        <x:v>API-022</x:v>
      </x:c>
      <x:c r="B23" s="4" t="str">
        <x:v>M2</x:v>
      </x:c>
      <x:c r="C23" s="4" t="str">
        <x:v>supplier-pricing</x:v>
      </x:c>
      <x:c r="D23" s="4"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4"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4" t="str">
        <x:v>PLANNED</x:v>
      </x:c>
      <x:c r="P23" s="4" t="str">
        <x:v>PLANNED</x:v>
      </x:c>
      <x:c r="Q23" s="4" t="str">
        <x:v>PLANNED</x:v>
      </x:c>
      <x:c r="R23" s="4" t="str">
        <x:v>TO_BE_CREATED</x:v>
      </x:c>
      <x:c r="S23" s="4" t="str">
        <x:v>UNASSIGNED</x:v>
      </x:c>
      <x:c r="T23" s="17" t="str">
        <x:v>路径为执行初始契约；阶段M*-000冻结后方可编码</x:v>
      </x:c>
    </x:row>
    <x:row r="24" ht="23" customHeight="1">
      <x:c r="A24" s="4" t="str">
        <x:v>API-023</x:v>
      </x:c>
      <x:c r="B24" s="4" t="str">
        <x:v>M2</x:v>
      </x:c>
      <x:c r="C24" s="4" t="str">
        <x:v>supplier-pricing</x:v>
      </x:c>
      <x:c r="D24" s="4"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4"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4" t="str">
        <x:v>PLANNED</x:v>
      </x:c>
      <x:c r="P24" s="4" t="str">
        <x:v>PLANNED</x:v>
      </x:c>
      <x:c r="Q24" s="4" t="str">
        <x:v>PLANNED</x:v>
      </x:c>
      <x:c r="R24" s="4" t="str">
        <x:v>TO_BE_CREATED</x:v>
      </x:c>
      <x:c r="S24" s="4" t="str">
        <x:v>UNASSIGNED</x:v>
      </x:c>
      <x:c r="T24" s="17" t="str">
        <x:v>路径为执行初始契约；阶段M*-000冻结后方可编码</x:v>
      </x:c>
    </x:row>
    <x:row r="25" ht="23" customHeight="1">
      <x:c r="A25" s="4" t="str">
        <x:v>API-024</x:v>
      </x:c>
      <x:c r="B25" s="4" t="str">
        <x:v>M2</x:v>
      </x:c>
      <x:c r="C25" s="4" t="str">
        <x:v>supplier-pricing</x:v>
      </x:c>
      <x:c r="D25" s="4"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4"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4" t="str">
        <x:v>PLANNED</x:v>
      </x:c>
      <x:c r="P25" s="4" t="str">
        <x:v>PLANNED</x:v>
      </x:c>
      <x:c r="Q25" s="4" t="str">
        <x:v>PLANNED</x:v>
      </x:c>
      <x:c r="R25" s="4" t="str">
        <x:v>TO_BE_CREATED</x:v>
      </x:c>
      <x:c r="S25" s="4" t="str">
        <x:v>UNASSIGNED</x:v>
      </x:c>
      <x:c r="T25" s="17" t="str">
        <x:v>路径为执行初始契约；阶段M*-000冻结后方可编码</x:v>
      </x:c>
    </x:row>
    <x:row r="26" ht="23" customHeight="1">
      <x:c r="A26" s="4" t="str">
        <x:v>API-025</x:v>
      </x:c>
      <x:c r="B26" s="4" t="str">
        <x:v>M2</x:v>
      </x:c>
      <x:c r="C26" s="4" t="str">
        <x:v>company-product-review</x:v>
      </x:c>
      <x:c r="D26" s="4"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4" t="str">
        <x:v>Idempotency-Key</x:v>
      </x:c>
      <x:c r="L26" s="17" t="str">
        <x:v>NEVER_RETURN; DTO白名单；对象归属校验先于查询结果返回</x:v>
      </x:c>
      <x:c r="M26" s="17" t="str">
        <x:v>金额字段整数分；服务端重算；禁止客户端提交供应价或结算快照</x:v>
      </x:c>
      <x:c r="N26" s="17" t="str">
        <x:v>P0-007</x:v>
      </x:c>
      <x:c r="O26" s="4" t="str">
        <x:v>PLANNED</x:v>
      </x:c>
      <x:c r="P26" s="4" t="str">
        <x:v>PLANNED</x:v>
      </x:c>
      <x:c r="Q26" s="4" t="str">
        <x:v>PLANNED</x:v>
      </x:c>
      <x:c r="R26" s="4" t="str">
        <x:v>TO_BE_CREATED</x:v>
      </x:c>
      <x:c r="S26" s="4" t="str">
        <x:v>UNASSIGNED</x:v>
      </x:c>
      <x:c r="T26" s="17" t="str">
        <x:v>路径为执行初始契约；阶段M*-000冻结后方可编码</x:v>
      </x:c>
    </x:row>
    <x:row r="27" ht="23" customHeight="1">
      <x:c r="A27" s="4" t="str">
        <x:v>API-026</x:v>
      </x:c>
      <x:c r="B27" s="4" t="str">
        <x:v>M2</x:v>
      </x:c>
      <x:c r="C27" s="4" t="str">
        <x:v>company-price-review</x:v>
      </x:c>
      <x:c r="D27" s="4"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4"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4" t="str">
        <x:v>PLANNED</x:v>
      </x:c>
      <x:c r="P27" s="4" t="str">
        <x:v>PLANNED</x:v>
      </x:c>
      <x:c r="Q27" s="4" t="str">
        <x:v>PLANNED</x:v>
      </x:c>
      <x:c r="R27" s="4" t="str">
        <x:v>TO_BE_CREATED</x:v>
      </x:c>
      <x:c r="S27" s="4" t="str">
        <x:v>UNASSIGNED</x:v>
      </x:c>
      <x:c r="T27" s="17" t="str">
        <x:v>路径为执行初始契约；阶段M*-000冻结后方可编码</x:v>
      </x:c>
    </x:row>
    <x:row r="28" ht="23" customHeight="1">
      <x:c r="A28" s="4" t="str">
        <x:v>API-027</x:v>
      </x:c>
      <x:c r="B28" s="4" t="str">
        <x:v>M2</x:v>
      </x:c>
      <x:c r="C28" s="4" t="str">
        <x:v>inventory</x:v>
      </x:c>
      <x:c r="D28" s="4"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4" t="str">
        <x:v>NONE</x:v>
      </x:c>
      <x:c r="L28" s="17" t="str">
        <x:v>NEVER_RETURN; DTO白名单；对象归属校验先于查询结果返回</x:v>
      </x:c>
      <x:c r="M28" s="17" t="str">
        <x:v>金额字段整数分；服务端重算；禁止客户端提交供应价或结算快照</x:v>
      </x:c>
      <x:c r="N28" s="17" t="str">
        <x:v>P0-023,P0-063</x:v>
      </x:c>
      <x:c r="O28" s="4" t="str">
        <x:v>PLANNED</x:v>
      </x:c>
      <x:c r="P28" s="4" t="str">
        <x:v>PLANNED</x:v>
      </x:c>
      <x:c r="Q28" s="4" t="str">
        <x:v>PLANNED</x:v>
      </x:c>
      <x:c r="R28" s="4" t="str">
        <x:v>TO_BE_CREATED</x:v>
      </x:c>
      <x:c r="S28" s="4" t="str">
        <x:v>UNASSIGNED</x:v>
      </x:c>
      <x:c r="T28" s="17" t="str">
        <x:v>路径为执行初始契约；阶段M*-000冻结后方可编码</x:v>
      </x:c>
    </x:row>
    <x:row r="29" ht="23" customHeight="1">
      <x:c r="A29" s="4" t="str">
        <x:v>API-028</x:v>
      </x:c>
      <x:c r="B29" s="4" t="str">
        <x:v>M2</x:v>
      </x:c>
      <x:c r="C29" s="4" t="str">
        <x:v>inventory</x:v>
      </x:c>
      <x:c r="D29" s="4"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4" t="str">
        <x:v>Idempotency-Key</x:v>
      </x:c>
      <x:c r="L29" s="17" t="str">
        <x:v>NEVER_RETURN; DTO白名单；对象归属校验先于查询结果返回</x:v>
      </x:c>
      <x:c r="M29" s="17" t="str">
        <x:v>金额字段整数分；服务端重算；禁止客户端提交供应价或结算快照</x:v>
      </x:c>
      <x:c r="N29" s="17" t="str">
        <x:v>P0-023,P0-063</x:v>
      </x:c>
      <x:c r="O29" s="4" t="str">
        <x:v>PLANNED</x:v>
      </x:c>
      <x:c r="P29" s="4" t="str">
        <x:v>PLANNED</x:v>
      </x:c>
      <x:c r="Q29" s="4" t="str">
        <x:v>PLANNED</x:v>
      </x:c>
      <x:c r="R29" s="4" t="str">
        <x:v>TO_BE_CREATED</x:v>
      </x:c>
      <x:c r="S29" s="4" t="str">
        <x:v>UNASSIGNED</x:v>
      </x:c>
      <x:c r="T29" s="17" t="str">
        <x:v>路径为执行初始契约；阶段M*-000冻结后方可编码</x:v>
      </x:c>
    </x:row>
    <x:row r="30" ht="23" customHeight="1">
      <x:c r="A30" s="4" t="str">
        <x:v>API-029</x:v>
      </x:c>
      <x:c r="B30" s="4" t="str">
        <x:v>M3</x:v>
      </x:c>
      <x:c r="C30" s="4" t="str">
        <x:v>catalog</x:v>
      </x:c>
      <x:c r="D30" s="4"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4" t="str">
        <x:v>NONE</x:v>
      </x:c>
      <x:c r="L30" s="17" t="str">
        <x:v>NEVER_RETURN; DTO白名单；对象归属校验先于查询结果返回</x:v>
      </x:c>
      <x:c r="M30" s="17" t="str">
        <x:v>金额字段整数分；服务端重算；禁止客户端提交供应价或结算快照</x:v>
      </x:c>
      <x:c r="N30" s="17" t="str">
        <x:v>P0-020,P0-078,P0-087</x:v>
      </x:c>
      <x:c r="O30" s="4" t="str">
        <x:v>PLANNED</x:v>
      </x:c>
      <x:c r="P30" s="4" t="str">
        <x:v>PLANNED</x:v>
      </x:c>
      <x:c r="Q30" s="4" t="str">
        <x:v>PLANNED</x:v>
      </x:c>
      <x:c r="R30" s="4" t="str">
        <x:v>TO_BE_CREATED</x:v>
      </x:c>
      <x:c r="S30" s="4" t="str">
        <x:v>UNASSIGNED</x:v>
      </x:c>
      <x:c r="T30" s="17" t="str">
        <x:v>路径为执行初始契约；阶段M*-000冻结后方可编码</x:v>
      </x:c>
    </x:row>
    <x:row r="31" ht="23" customHeight="1">
      <x:c r="A31" s="4" t="str">
        <x:v>API-030</x:v>
      </x:c>
      <x:c r="B31" s="4" t="str">
        <x:v>M3</x:v>
      </x:c>
      <x:c r="C31" s="4" t="str">
        <x:v>catalog</x:v>
      </x:c>
      <x:c r="D31" s="4"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4" t="str">
        <x:v>NONE</x:v>
      </x:c>
      <x:c r="L31" s="17" t="str">
        <x:v>NEVER_RETURN; DTO白名单；对象归属校验先于查询结果返回</x:v>
      </x:c>
      <x:c r="M31" s="17" t="str">
        <x:v>金额字段整数分；服务端重算；禁止客户端提交供应价或结算快照</x:v>
      </x:c>
      <x:c r="N31" s="17" t="str">
        <x:v>P0-021,P0-088</x:v>
      </x:c>
      <x:c r="O31" s="4" t="str">
        <x:v>PLANNED</x:v>
      </x:c>
      <x:c r="P31" s="4" t="str">
        <x:v>PLANNED</x:v>
      </x:c>
      <x:c r="Q31" s="4" t="str">
        <x:v>PLANNED</x:v>
      </x:c>
      <x:c r="R31" s="4" t="str">
        <x:v>TO_BE_CREATED</x:v>
      </x:c>
      <x:c r="S31" s="4" t="str">
        <x:v>UNASSIGNED</x:v>
      </x:c>
      <x:c r="T31" s="17" t="str">
        <x:v>路径为执行初始契约；阶段M*-000冻结后方可编码</x:v>
      </x:c>
    </x:row>
    <x:row r="32" ht="23" customHeight="1">
      <x:c r="A32" s="4" t="str">
        <x:v>API-031</x:v>
      </x:c>
      <x:c r="B32" s="4" t="str">
        <x:v>M3</x:v>
      </x:c>
      <x:c r="C32" s="4" t="str">
        <x:v>catalog</x:v>
      </x:c>
      <x:c r="D32" s="4"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4" t="str">
        <x:v>NONE</x:v>
      </x:c>
      <x:c r="L32" s="17" t="str">
        <x:v>NEVER_RETURN; DTO白名单；对象归属校验先于查询结果返回</x:v>
      </x:c>
      <x:c r="M32" s="17" t="str">
        <x:v>金额字段整数分；服务端重算；禁止客户端提交供应价或结算快照</x:v>
      </x:c>
      <x:c r="N32" s="17" t="str">
        <x:v>P0-010,P0-089</x:v>
      </x:c>
      <x:c r="O32" s="4" t="str">
        <x:v>PLANNED</x:v>
      </x:c>
      <x:c r="P32" s="4" t="str">
        <x:v>PLANNED</x:v>
      </x:c>
      <x:c r="Q32" s="4" t="str">
        <x:v>PLANNED</x:v>
      </x:c>
      <x:c r="R32" s="4" t="str">
        <x:v>TO_BE_CREATED</x:v>
      </x:c>
      <x:c r="S32" s="4" t="str">
        <x:v>UNASSIGNED</x:v>
      </x:c>
      <x:c r="T32" s="17" t="str">
        <x:v>路径为执行初始契约；阶段M*-000冻结后方可编码</x:v>
      </x:c>
    </x:row>
    <x:row r="33" ht="23" customHeight="1">
      <x:c r="A33" s="4" t="str">
        <x:v>API-032</x:v>
      </x:c>
      <x:c r="B33" s="4" t="str">
        <x:v>M3</x:v>
      </x:c>
      <x:c r="C33" s="4" t="str">
        <x:v>consumer-auth</x:v>
      </x:c>
      <x:c r="D33" s="4"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4" t="str">
        <x:v>loginNonce</x:v>
      </x:c>
      <x:c r="L33" s="17" t="str">
        <x:v>NEVER_RETURN; DTO白名单；对象归属校验先于查询结果返回</x:v>
      </x:c>
      <x:c r="M33" s="17" t="str">
        <x:v>金额字段整数分；服务端重算；禁止客户端提交供应价或结算快照</x:v>
      </x:c>
      <x:c r="N33" s="17" t="str">
        <x:v>P0-085</x:v>
      </x:c>
      <x:c r="O33" s="4" t="str">
        <x:v>PLANNED</x:v>
      </x:c>
      <x:c r="P33" s="4" t="str">
        <x:v>PLANNED</x:v>
      </x:c>
      <x:c r="Q33" s="4" t="str">
        <x:v>PLANNED</x:v>
      </x:c>
      <x:c r="R33" s="4" t="str">
        <x:v>TO_BE_CREATED</x:v>
      </x:c>
      <x:c r="S33" s="4" t="str">
        <x:v>UNASSIGNED</x:v>
      </x:c>
      <x:c r="T33" s="17" t="str">
        <x:v>路径为执行初始契约；阶段M*-000冻结后方可编码</x:v>
      </x:c>
    </x:row>
    <x:row r="34" ht="23" customHeight="1">
      <x:c r="A34" s="4" t="str">
        <x:v>API-033</x:v>
      </x:c>
      <x:c r="B34" s="4" t="str">
        <x:v>M3</x:v>
      </x:c>
      <x:c r="C34" s="4" t="str">
        <x:v>cart</x:v>
      </x:c>
      <x:c r="D34" s="4"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4" t="str">
        <x:v>NONE</x:v>
      </x:c>
      <x:c r="L34" s="17" t="str">
        <x:v>NEVER_RETURN; DTO白名单；对象归属校验先于查询结果返回</x:v>
      </x:c>
      <x:c r="M34" s="17" t="str">
        <x:v>金额字段整数分；服务端重算；禁止客户端提交供应价或结算快照</x:v>
      </x:c>
      <x:c r="N34" s="17" t="str">
        <x:v>P0-022,P0-090</x:v>
      </x:c>
      <x:c r="O34" s="4" t="str">
        <x:v>PLANNED</x:v>
      </x:c>
      <x:c r="P34" s="4" t="str">
        <x:v>PLANNED</x:v>
      </x:c>
      <x:c r="Q34" s="4" t="str">
        <x:v>PLANNED</x:v>
      </x:c>
      <x:c r="R34" s="4" t="str">
        <x:v>TO_BE_CREATED</x:v>
      </x:c>
      <x:c r="S34" s="4" t="str">
        <x:v>UNASSIGNED</x:v>
      </x:c>
      <x:c r="T34" s="17" t="str">
        <x:v>路径为执行初始契约；阶段M*-000冻结后方可编码</x:v>
      </x:c>
    </x:row>
    <x:row r="35" ht="23" customHeight="1">
      <x:c r="A35" s="4" t="str">
        <x:v>API-034</x:v>
      </x:c>
      <x:c r="B35" s="4" t="str">
        <x:v>M3</x:v>
      </x:c>
      <x:c r="C35" s="4" t="str">
        <x:v>cart</x:v>
      </x:c>
      <x:c r="D35" s="4"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4" t="str">
        <x:v>Idempotency-Key</x:v>
      </x:c>
      <x:c r="L35" s="17" t="str">
        <x:v>NEVER_RETURN; DTO白名单；对象归属校验先于查询结果返回</x:v>
      </x:c>
      <x:c r="M35" s="17" t="str">
        <x:v>金额字段整数分；服务端重算；禁止客户端提交供应价或结算快照</x:v>
      </x:c>
      <x:c r="N35" s="17" t="str">
        <x:v>P0-022,P0-090</x:v>
      </x:c>
      <x:c r="O35" s="4" t="str">
        <x:v>PLANNED</x:v>
      </x:c>
      <x:c r="P35" s="4" t="str">
        <x:v>PLANNED</x:v>
      </x:c>
      <x:c r="Q35" s="4" t="str">
        <x:v>PLANNED</x:v>
      </x:c>
      <x:c r="R35" s="4" t="str">
        <x:v>TO_BE_CREATED</x:v>
      </x:c>
      <x:c r="S35" s="4" t="str">
        <x:v>UNASSIGNED</x:v>
      </x:c>
      <x:c r="T35" s="17" t="str">
        <x:v>路径为执行初始契约；阶段M*-000冻结后方可编码</x:v>
      </x:c>
    </x:row>
    <x:row r="36" ht="23" customHeight="1">
      <x:c r="A36" s="4" t="str">
        <x:v>API-035</x:v>
      </x:c>
      <x:c r="B36" s="4" t="str">
        <x:v>M3</x:v>
      </x:c>
      <x:c r="C36" s="4" t="str">
        <x:v>checkout</x:v>
      </x:c>
      <x:c r="D36" s="4"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4" t="str">
        <x:v>previewKey</x:v>
      </x:c>
      <x:c r="L36" s="17" t="str">
        <x:v>NEVER_RETURN; DTO白名单；对象归属校验先于查询结果返回</x:v>
      </x:c>
      <x:c r="M36" s="17" t="str">
        <x:v>金额字段整数分；服务端重算；禁止客户端提交供应价或结算快照</x:v>
      </x:c>
      <x:c r="N36" s="17" t="str">
        <x:v>P0-022,P0-053,P0-091,P0-092</x:v>
      </x:c>
      <x:c r="O36" s="4" t="str">
        <x:v>PLANNED</x:v>
      </x:c>
      <x:c r="P36" s="4" t="str">
        <x:v>PLANNED</x:v>
      </x:c>
      <x:c r="Q36" s="4" t="str">
        <x:v>PLANNED</x:v>
      </x:c>
      <x:c r="R36" s="4" t="str">
        <x:v>TO_BE_CREATED</x:v>
      </x:c>
      <x:c r="S36" s="4" t="str">
        <x:v>UNASSIGNED</x:v>
      </x:c>
      <x:c r="T36" s="17" t="str">
        <x:v>路径为执行初始契约；阶段M*-000冻结后方可编码</x:v>
      </x:c>
    </x:row>
    <x:row r="37" ht="23" customHeight="1">
      <x:c r="A37" s="4" t="str">
        <x:v>API-036</x:v>
      </x:c>
      <x:c r="B37" s="4" t="str">
        <x:v>M3</x:v>
      </x:c>
      <x:c r="C37" s="4" t="str">
        <x:v>orders</x:v>
      </x:c>
      <x:c r="D37" s="4"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4"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4" t="str">
        <x:v>PLANNED</x:v>
      </x:c>
      <x:c r="P37" s="4" t="str">
        <x:v>PLANNED</x:v>
      </x:c>
      <x:c r="Q37" s="4" t="str">
        <x:v>PLANNED</x:v>
      </x:c>
      <x:c r="R37" s="4" t="str">
        <x:v>TO_BE_CREATED</x:v>
      </x:c>
      <x:c r="S37" s="4" t="str">
        <x:v>UNASSIGNED</x:v>
      </x:c>
      <x:c r="T37" s="17" t="str">
        <x:v>路径为执行初始契约；阶段M*-000冻结后方可编码</x:v>
      </x:c>
    </x:row>
    <x:row r="38" ht="23" customHeight="1">
      <x:c r="A38" s="4" t="str">
        <x:v>API-037</x:v>
      </x:c>
      <x:c r="B38" s="4" t="str">
        <x:v>M3</x:v>
      </x:c>
      <x:c r="C38" s="4" t="str">
        <x:v>orders</x:v>
      </x:c>
      <x:c r="D38" s="4"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4" t="str">
        <x:v>NONE</x:v>
      </x:c>
      <x:c r="L38" s="17" t="str">
        <x:v>NEVER_RETURN; DTO白名单；对象归属校验先于查询结果返回</x:v>
      </x:c>
      <x:c r="M38" s="17" t="str">
        <x:v>金额字段整数分；服务端重算；禁止客户端提交供应价或结算快照</x:v>
      </x:c>
      <x:c r="N38" s="17" t="str">
        <x:v>P0-094,P0-095</x:v>
      </x:c>
      <x:c r="O38" s="4" t="str">
        <x:v>PLANNED</x:v>
      </x:c>
      <x:c r="P38" s="4" t="str">
        <x:v>PLANNED</x:v>
      </x:c>
      <x:c r="Q38" s="4" t="str">
        <x:v>PLANNED</x:v>
      </x:c>
      <x:c r="R38" s="4" t="str">
        <x:v>TO_BE_CREATED</x:v>
      </x:c>
      <x:c r="S38" s="4" t="str">
        <x:v>UNASSIGNED</x:v>
      </x:c>
      <x:c r="T38" s="17" t="str">
        <x:v>路径为执行初始契约；阶段M*-000冻结后方可编码</x:v>
      </x:c>
    </x:row>
    <x:row r="39" ht="23" customHeight="1">
      <x:c r="A39" s="4" t="str">
        <x:v>API-038</x:v>
      </x:c>
      <x:c r="B39" s="4" t="str">
        <x:v>M3</x:v>
      </x:c>
      <x:c r="C39" s="4" t="str">
        <x:v>welfare-card</x:v>
      </x:c>
      <x:c r="D39" s="4"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4" t="str">
        <x:v>Idempotency-Key</x:v>
      </x:c>
      <x:c r="L39" s="17" t="str">
        <x:v>NEVER_RETURN; DTO白名单；对象归属校验先于查询结果返回</x:v>
      </x:c>
      <x:c r="M39" s="17" t="str">
        <x:v>金额字段整数分；服务端重算；禁止客户端提交供应价或结算快照</x:v>
      </x:c>
      <x:c r="N39" s="17" t="str">
        <x:v>P0-052</x:v>
      </x:c>
      <x:c r="O39" s="4" t="str">
        <x:v>PLANNED</x:v>
      </x:c>
      <x:c r="P39" s="4" t="str">
        <x:v>PLANNED</x:v>
      </x:c>
      <x:c r="Q39" s="4" t="str">
        <x:v>PLANNED</x:v>
      </x:c>
      <x:c r="R39" s="4" t="str">
        <x:v>TO_BE_CREATED</x:v>
      </x:c>
      <x:c r="S39" s="4" t="str">
        <x:v>UNASSIGNED</x:v>
      </x:c>
      <x:c r="T39" s="17" t="str">
        <x:v>路径为执行初始契约；阶段M*-000冻结后方可编码</x:v>
      </x:c>
    </x:row>
    <x:row r="40" ht="23" customHeight="1">
      <x:c r="A40" s="4" t="str">
        <x:v>API-039</x:v>
      </x:c>
      <x:c r="B40" s="4" t="str">
        <x:v>M3</x:v>
      </x:c>
      <x:c r="C40" s="4" t="str">
        <x:v>welfare-card</x:v>
      </x:c>
      <x:c r="D40" s="4"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4" t="str">
        <x:v>NONE</x:v>
      </x:c>
      <x:c r="L40" s="17" t="str">
        <x:v>NEVER_RETURN; DTO白名单；对象归属校验先于查询结果返回</x:v>
      </x:c>
      <x:c r="M40" s="17" t="str">
        <x:v>金额字段整数分；服务端重算；禁止客户端提交供应价或结算快照</x:v>
      </x:c>
      <x:c r="N40" s="17" t="str">
        <x:v>P0-053,P0-054,P0-092</x:v>
      </x:c>
      <x:c r="O40" s="4" t="str">
        <x:v>PLANNED</x:v>
      </x:c>
      <x:c r="P40" s="4" t="str">
        <x:v>PLANNED</x:v>
      </x:c>
      <x:c r="Q40" s="4" t="str">
        <x:v>PLANNED</x:v>
      </x:c>
      <x:c r="R40" s="4" t="str">
        <x:v>TO_BE_CREATED</x:v>
      </x:c>
      <x:c r="S40" s="4" t="str">
        <x:v>UNASSIGNED</x:v>
      </x:c>
      <x:c r="T40" s="17" t="str">
        <x:v>路径为执行初始契约；阶段M*-000冻结后方可编码</x:v>
      </x:c>
    </x:row>
    <x:row r="41" ht="23" customHeight="1">
      <x:c r="A41" s="4" t="str">
        <x:v>API-040</x:v>
      </x:c>
      <x:c r="B41" s="4" t="str">
        <x:v>M3</x:v>
      </x:c>
      <x:c r="C41" s="4" t="str">
        <x:v>welfare-card</x:v>
      </x:c>
      <x:c r="D41" s="4"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4" t="str">
        <x:v>NONE</x:v>
      </x:c>
      <x:c r="L41" s="17" t="str">
        <x:v>NEVER_RETURN; DTO白名单；对象归属校验先于查询结果返回</x:v>
      </x:c>
      <x:c r="M41" s="17" t="str">
        <x:v>金额字段整数分；服务端重算；禁止客户端提交供应价或结算快照</x:v>
      </x:c>
      <x:c r="N41" s="17" t="str">
        <x:v>P0-059,P0-097</x:v>
      </x:c>
      <x:c r="O41" s="4" t="str">
        <x:v>PLANNED</x:v>
      </x:c>
      <x:c r="P41" s="4" t="str">
        <x:v>PLANNED</x:v>
      </x:c>
      <x:c r="Q41" s="4" t="str">
        <x:v>PLANNED</x:v>
      </x:c>
      <x:c r="R41" s="4" t="str">
        <x:v>TO_BE_CREATED</x:v>
      </x:c>
      <x:c r="S41" s="4" t="str">
        <x:v>UNASSIGNED</x:v>
      </x:c>
      <x:c r="T41" s="17" t="str">
        <x:v>路径为执行初始契约；阶段M*-000冻结后方可编码</x:v>
      </x:c>
    </x:row>
    <x:row r="42" ht="23" customHeight="1">
      <x:c r="A42" s="4" t="str">
        <x:v>API-041</x:v>
      </x:c>
      <x:c r="B42" s="4" t="str">
        <x:v>M3</x:v>
      </x:c>
      <x:c r="C42" s="4" t="str">
        <x:v>payments</x:v>
      </x:c>
      <x:c r="D42" s="4"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4" t="str">
        <x:v>Idempotency-Key</x:v>
      </x:c>
      <x:c r="L42" s="17" t="str">
        <x:v>NEVER_RETURN; DTO白名单；对象归属校验先于查询结果返回</x:v>
      </x:c>
      <x:c r="M42" s="17" t="str">
        <x:v>金额字段整数分；服务端重算；禁止客户端提交供应价或结算快照</x:v>
      </x:c>
      <x:c r="N42" s="17" t="str">
        <x:v>P0-024,P0-056,P0-093</x:v>
      </x:c>
      <x:c r="O42" s="4" t="str">
        <x:v>PLANNED</x:v>
      </x:c>
      <x:c r="P42" s="4" t="str">
        <x:v>PLANNED</x:v>
      </x:c>
      <x:c r="Q42" s="4" t="str">
        <x:v>PLANNED</x:v>
      </x:c>
      <x:c r="R42" s="4" t="str">
        <x:v>TO_BE_CREATED</x:v>
      </x:c>
      <x:c r="S42" s="4" t="str">
        <x:v>UNASSIGNED</x:v>
      </x:c>
      <x:c r="T42" s="17" t="str">
        <x:v>路径为执行初始契约；阶段M*-000冻结后方可编码</x:v>
      </x:c>
    </x:row>
    <x:row r="43" ht="23" customHeight="1">
      <x:c r="A43" s="4" t="str">
        <x:v>API-042</x:v>
      </x:c>
      <x:c r="B43" s="4" t="str">
        <x:v>M3</x:v>
      </x:c>
      <x:c r="C43" s="4" t="str">
        <x:v>payments</x:v>
      </x:c>
      <x:c r="D43" s="4"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4" t="str">
        <x:v>wechatTransactionId</x:v>
      </x:c>
      <x:c r="L43" s="17" t="str">
        <x:v>NEVER_RETURN; DTO白名单；对象归属校验先于查询结果返回</x:v>
      </x:c>
      <x:c r="M43" s="17" t="str">
        <x:v>金额字段整数分；服务端重算；禁止客户端提交供应价或结算快照</x:v>
      </x:c>
      <x:c r="N43" s="17" t="str">
        <x:v>P0-024,P0-056</x:v>
      </x:c>
      <x:c r="O43" s="4" t="str">
        <x:v>PLANNED</x:v>
      </x:c>
      <x:c r="P43" s="4" t="str">
        <x:v>PLANNED</x:v>
      </x:c>
      <x:c r="Q43" s="4" t="str">
        <x:v>PLANNED</x:v>
      </x:c>
      <x:c r="R43" s="4" t="str">
        <x:v>TO_BE_CREATED</x:v>
      </x:c>
      <x:c r="S43" s="4" t="str">
        <x:v>UNASSIGNED</x:v>
      </x:c>
      <x:c r="T43" s="17" t="str">
        <x:v>路径为执行初始契约；阶段M*-000冻结后方可编码</x:v>
      </x:c>
    </x:row>
    <x:row r="44" ht="23" customHeight="1">
      <x:c r="A44" s="4" t="str">
        <x:v>API-043</x:v>
      </x:c>
      <x:c r="B44" s="4" t="str">
        <x:v>M3</x:v>
      </x:c>
      <x:c r="C44" s="4" t="str">
        <x:v>refunds</x:v>
      </x:c>
      <x:c r="D44" s="4"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4" t="str">
        <x:v>Idempotency-Key</x:v>
      </x:c>
      <x:c r="L44" s="17" t="str">
        <x:v>NEVER_RETURN; DTO白名单；对象归属校验先于查询结果返回</x:v>
      </x:c>
      <x:c r="M44" s="17" t="str">
        <x:v>金额字段整数分；服务端重算；禁止客户端提交供应价或结算快照</x:v>
      </x:c>
      <x:c r="N44" s="17" t="str">
        <x:v>P0-026,P0-058,P0-096</x:v>
      </x:c>
      <x:c r="O44" s="4" t="str">
        <x:v>PLANNED</x:v>
      </x:c>
      <x:c r="P44" s="4" t="str">
        <x:v>PLANNED</x:v>
      </x:c>
      <x:c r="Q44" s="4" t="str">
        <x:v>PLANNED</x:v>
      </x:c>
      <x:c r="R44" s="4" t="str">
        <x:v>TO_BE_CREATED</x:v>
      </x:c>
      <x:c r="S44" s="4" t="str">
        <x:v>UNASSIGNED</x:v>
      </x:c>
      <x:c r="T44" s="17" t="str">
        <x:v>路径为执行初始契约；阶段M*-000冻结后方可编码</x:v>
      </x:c>
    </x:row>
    <x:row r="45" ht="23" customHeight="1">
      <x:c r="A45" s="4" t="str">
        <x:v>API-044</x:v>
      </x:c>
      <x:c r="B45" s="4" t="str">
        <x:v>M3</x:v>
      </x:c>
      <x:c r="C45" s="4" t="str">
        <x:v>enterprise-auth</x:v>
      </x:c>
      <x:c r="D45" s="4"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4" t="str">
        <x:v>Idempotency-Key</x:v>
      </x:c>
      <x:c r="L45" s="17" t="str">
        <x:v>NEVER_RETURN; DTO白名单；对象归属校验先于查询结果返回</x:v>
      </x:c>
      <x:c r="M45" s="17" t="str">
        <x:v>金额字段整数分；服务端重算；禁止客户端提交供应价或结算快照</x:v>
      </x:c>
      <x:c r="N45" s="17" t="str">
        <x:v>P0-028,P0-077</x:v>
      </x:c>
      <x:c r="O45" s="4" t="str">
        <x:v>PLANNED</x:v>
      </x:c>
      <x:c r="P45" s="4" t="str">
        <x:v>PLANNED</x:v>
      </x:c>
      <x:c r="Q45" s="4" t="str">
        <x:v>PLANNED</x:v>
      </x:c>
      <x:c r="R45" s="4" t="str">
        <x:v>TO_BE_CREATED</x:v>
      </x:c>
      <x:c r="S45" s="4" t="str">
        <x:v>UNASSIGNED</x:v>
      </x:c>
      <x:c r="T45" s="17" t="str">
        <x:v>路径为执行初始契约；阶段M*-000冻结后方可编码</x:v>
      </x:c>
    </x:row>
    <x:row r="46" ht="23" customHeight="1">
      <x:c r="A46" s="4" t="str">
        <x:v>API-045</x:v>
      </x:c>
      <x:c r="B46" s="4" t="str">
        <x:v>M3</x:v>
      </x:c>
      <x:c r="C46" s="4" t="str">
        <x:v>enterprise-auth</x:v>
      </x:c>
      <x:c r="D46" s="4"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4" t="str">
        <x:v>requestId</x:v>
      </x:c>
      <x:c r="L46" s="17" t="str">
        <x:v>NEVER_RETURN; DTO白名单；对象归属校验先于查询结果返回</x:v>
      </x:c>
      <x:c r="M46" s="17" t="str">
        <x:v>金额字段整数分；服务端重算；禁止客户端提交供应价或结算快照</x:v>
      </x:c>
      <x:c r="N46" s="17" t="str">
        <x:v>P0-077</x:v>
      </x:c>
      <x:c r="O46" s="4" t="str">
        <x:v>PLANNED</x:v>
      </x:c>
      <x:c r="P46" s="4" t="str">
        <x:v>PLANNED</x:v>
      </x:c>
      <x:c r="Q46" s="4" t="str">
        <x:v>PLANNED</x:v>
      </x:c>
      <x:c r="R46" s="4" t="str">
        <x:v>TO_BE_CREATED</x:v>
      </x:c>
      <x:c r="S46" s="4" t="str">
        <x:v>UNASSIGNED</x:v>
      </x:c>
      <x:c r="T46" s="17" t="str">
        <x:v>路径为执行初始契约；阶段M*-000冻结后方可编码</x:v>
      </x:c>
    </x:row>
    <x:row r="47" ht="23" customHeight="1">
      <x:c r="A47" s="4" t="str">
        <x:v>API-046</x:v>
      </x:c>
      <x:c r="B47" s="4" t="str">
        <x:v>M3</x:v>
      </x:c>
      <x:c r="C47" s="4" t="str">
        <x:v>company-enterprise-review</x:v>
      </x:c>
      <x:c r="D47" s="4"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4" t="str">
        <x:v>Idempotency-Key</x:v>
      </x:c>
      <x:c r="L47" s="17" t="str">
        <x:v>NEVER_RETURN; DTO白名单；对象归属校验先于查询结果返回</x:v>
      </x:c>
      <x:c r="M47" s="17" t="str">
        <x:v>金额字段整数分；服务端重算；禁止客户端提交供应价或结算快照</x:v>
      </x:c>
      <x:c r="N47" s="17" t="str">
        <x:v>P0-028,P0-077</x:v>
      </x:c>
      <x:c r="O47" s="4" t="str">
        <x:v>PLANNED</x:v>
      </x:c>
      <x:c r="P47" s="4" t="str">
        <x:v>PLANNED</x:v>
      </x:c>
      <x:c r="Q47" s="4" t="str">
        <x:v>PLANNED</x:v>
      </x:c>
      <x:c r="R47" s="4" t="str">
        <x:v>TO_BE_CREATED</x:v>
      </x:c>
      <x:c r="S47" s="4" t="str">
        <x:v>UNASSIGNED</x:v>
      </x:c>
      <x:c r="T47" s="17" t="str">
        <x:v>路径为执行初始契约；阶段M*-000冻结后方可编码</x:v>
      </x:c>
    </x:row>
    <x:row r="48" ht="23" customHeight="1">
      <x:c r="A48" s="4" t="str">
        <x:v>API-047</x:v>
      </x:c>
      <x:c r="B48" s="4" t="str">
        <x:v>M3</x:v>
      </x:c>
      <x:c r="C48" s="4" t="str">
        <x:v>enterprise-procurement</x:v>
      </x:c>
      <x:c r="D48" s="4"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4" t="str">
        <x:v>NONE</x:v>
      </x:c>
      <x:c r="L48" s="17" t="str">
        <x:v>NEVER_RETURN; DTO白名单；对象归属校验先于查询结果返回</x:v>
      </x:c>
      <x:c r="M48" s="17" t="str">
        <x:v>金额字段整数分；服务端重算；禁止客户端提交供应价或结算快照</x:v>
      </x:c>
      <x:c r="N48" s="17" t="str">
        <x:v>P0-029,P0-061,P0-078</x:v>
      </x:c>
      <x:c r="O48" s="4" t="str">
        <x:v>PLANNED</x:v>
      </x:c>
      <x:c r="P48" s="4" t="str">
        <x:v>PLANNED</x:v>
      </x:c>
      <x:c r="Q48" s="4" t="str">
        <x:v>PLANNED</x:v>
      </x:c>
      <x:c r="R48" s="4" t="str">
        <x:v>TO_BE_CREATED</x:v>
      </x:c>
      <x:c r="S48" s="4" t="str">
        <x:v>UNASSIGNED</x:v>
      </x:c>
      <x:c r="T48" s="17" t="str">
        <x:v>路径为执行初始契约；阶段M*-000冻结后方可编码</x:v>
      </x:c>
    </x:row>
    <x:row r="49" ht="23" customHeight="1">
      <x:c r="A49" s="4" t="str">
        <x:v>API-048</x:v>
      </x:c>
      <x:c r="B49" s="4" t="str">
        <x:v>M3</x:v>
      </x:c>
      <x:c r="C49" s="4" t="str">
        <x:v>enterprise-procurement</x:v>
      </x:c>
      <x:c r="D49" s="4"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4" t="str">
        <x:v>Idempotency-Key</x:v>
      </x:c>
      <x:c r="L49" s="17" t="str">
        <x:v>NEVER_RETURN; DTO白名单；对象归属校验先于查询结果返回</x:v>
      </x:c>
      <x:c r="M49" s="17" t="str">
        <x:v>金额字段整数分；服务端重算；禁止客户端提交供应价或结算快照</x:v>
      </x:c>
      <x:c r="N49" s="17" t="str">
        <x:v>P0-029,P0-062,P0-079</x:v>
      </x:c>
      <x:c r="O49" s="4" t="str">
        <x:v>PLANNED</x:v>
      </x:c>
      <x:c r="P49" s="4" t="str">
        <x:v>PLANNED</x:v>
      </x:c>
      <x:c r="Q49" s="4" t="str">
        <x:v>PLANNED</x:v>
      </x:c>
      <x:c r="R49" s="4" t="str">
        <x:v>TO_BE_CREATED</x:v>
      </x:c>
      <x:c r="S49" s="4" t="str">
        <x:v>UNASSIGNED</x:v>
      </x:c>
      <x:c r="T49" s="17" t="str">
        <x:v>路径为执行初始契约；阶段M*-000冻结后方可编码</x:v>
      </x:c>
    </x:row>
    <x:row r="50" ht="23" customHeight="1">
      <x:c r="A50" s="4" t="str">
        <x:v>API-049</x:v>
      </x:c>
      <x:c r="B50" s="4" t="str">
        <x:v>M3</x:v>
      </x:c>
      <x:c r="C50" s="4" t="str">
        <x:v>enterprise-procurement</x:v>
      </x:c>
      <x:c r="D50" s="4"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4" t="str">
        <x:v>NONE</x:v>
      </x:c>
      <x:c r="L50" s="17" t="str">
        <x:v>NEVER_RETURN; DTO白名单；对象归属校验先于查询结果返回</x:v>
      </x:c>
      <x:c r="M50" s="17" t="str">
        <x:v>金额字段整数分；服务端重算；禁止客户端提交供应价或结算快照</x:v>
      </x:c>
      <x:c r="N50" s="17" t="str">
        <x:v>P0-080,P0-117,P0-119</x:v>
      </x:c>
      <x:c r="O50" s="4" t="str">
        <x:v>PLANNED</x:v>
      </x:c>
      <x:c r="P50" s="4" t="str">
        <x:v>PLANNED</x:v>
      </x:c>
      <x:c r="Q50" s="4" t="str">
        <x:v>PLANNED</x:v>
      </x:c>
      <x:c r="R50" s="4" t="str">
        <x:v>TO_BE_CREATED</x:v>
      </x:c>
      <x:c r="S50" s="4" t="str">
        <x:v>UNASSIGNED</x:v>
      </x:c>
      <x:c r="T50" s="17" t="str">
        <x:v>路径为执行初始契约；阶段M*-000冻结后方可编码</x:v>
      </x:c>
    </x:row>
    <x:row r="51" ht="23" customHeight="1">
      <x:c r="A51" s="4" t="str">
        <x:v>API-050</x:v>
      </x:c>
      <x:c r="B51" s="4" t="str">
        <x:v>M3</x:v>
      </x:c>
      <x:c r="C51" s="4" t="str">
        <x:v>enterprise-remittance</x:v>
      </x:c>
      <x:c r="D51" s="4"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4" t="str">
        <x:v>Idempotency-Key</x:v>
      </x:c>
      <x:c r="L51" s="17" t="str">
        <x:v>NEVER_RETURN; DTO白名单；对象归属校验先于查询结果返回</x:v>
      </x:c>
      <x:c r="M51" s="17" t="str">
        <x:v>金额字段整数分；服务端重算；禁止客户端提交供应价或结算快照</x:v>
      </x:c>
      <x:c r="N51" s="17" t="str">
        <x:v>P0-025,P0-029,P0-079</x:v>
      </x:c>
      <x:c r="O51" s="4" t="str">
        <x:v>PLANNED</x:v>
      </x:c>
      <x:c r="P51" s="4" t="str">
        <x:v>PLANNED</x:v>
      </x:c>
      <x:c r="Q51" s="4" t="str">
        <x:v>PLANNED</x:v>
      </x:c>
      <x:c r="R51" s="4" t="str">
        <x:v>TO_BE_CREATED</x:v>
      </x:c>
      <x:c r="S51" s="4" t="str">
        <x:v>UNASSIGNED</x:v>
      </x:c>
      <x:c r="T51" s="17" t="str">
        <x:v>路径为执行初始契约；阶段M*-000冻结后方可编码</x:v>
      </x:c>
    </x:row>
    <x:row r="52" ht="23" customHeight="1">
      <x:c r="A52" s="4" t="str">
        <x:v>API-051</x:v>
      </x:c>
      <x:c r="B52" s="4" t="str">
        <x:v>M3</x:v>
      </x:c>
      <x:c r="C52" s="4" t="str">
        <x:v>enterprise-remittance</x:v>
      </x:c>
      <x:c r="D52" s="4"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4" t="str">
        <x:v>Idempotency-Key</x:v>
      </x:c>
      <x:c r="L52" s="17" t="str">
        <x:v>NEVER_RETURN; DTO白名单；对象归属校验先于查询结果返回</x:v>
      </x:c>
      <x:c r="M52" s="17" t="str">
        <x:v>金额字段整数分；服务端重算；禁止客户端提交供应价或结算快照</x:v>
      </x:c>
      <x:c r="N52" s="17" t="str">
        <x:v>P0-025,P0-029</x:v>
      </x:c>
      <x:c r="O52" s="4" t="str">
        <x:v>PLANNED</x:v>
      </x:c>
      <x:c r="P52" s="4" t="str">
        <x:v>PLANNED</x:v>
      </x:c>
      <x:c r="Q52" s="4" t="str">
        <x:v>PLANNED</x:v>
      </x:c>
      <x:c r="R52" s="4" t="str">
        <x:v>TO_BE_CREATED</x:v>
      </x:c>
      <x:c r="S52" s="4" t="str">
        <x:v>UNASSIGNED</x:v>
      </x:c>
      <x:c r="T52" s="17" t="str">
        <x:v>路径为执行初始契约；阶段M*-000冻结后方可编码</x:v>
      </x:c>
    </x:row>
    <x:row r="53" ht="23" customHeight="1">
      <x:c r="A53" s="4" t="str">
        <x:v>API-052</x:v>
      </x:c>
      <x:c r="B53" s="4" t="str">
        <x:v>M3</x:v>
      </x:c>
      <x:c r="C53" s="4" t="str">
        <x:v>supplier-fulfillment</x:v>
      </x:c>
      <x:c r="D53" s="4"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4" t="str">
        <x:v>NONE</x:v>
      </x:c>
      <x:c r="L53" s="17" t="str">
        <x:v>NEVER_RETURN; DTO白名单；对象归属校验先于查询结果返回</x:v>
      </x:c>
      <x:c r="M53" s="17" t="str">
        <x:v>金额字段整数分；服务端重算；禁止客户端提交供应价或结算快照</x:v>
      </x:c>
      <x:c r="N53" s="17" t="str">
        <x:v>P0-031</x:v>
      </x:c>
      <x:c r="O53" s="4" t="str">
        <x:v>PLANNED</x:v>
      </x:c>
      <x:c r="P53" s="4" t="str">
        <x:v>PLANNED</x:v>
      </x:c>
      <x:c r="Q53" s="4" t="str">
        <x:v>PLANNED</x:v>
      </x:c>
      <x:c r="R53" s="4" t="str">
        <x:v>TO_BE_CREATED</x:v>
      </x:c>
      <x:c r="S53" s="4" t="str">
        <x:v>UNASSIGNED</x:v>
      </x:c>
      <x:c r="T53" s="17" t="str">
        <x:v>路径为执行初始契约；阶段M*-000冻结后方可编码</x:v>
      </x:c>
    </x:row>
    <x:row r="54" ht="23" customHeight="1">
      <x:c r="A54" s="4" t="str">
        <x:v>API-053</x:v>
      </x:c>
      <x:c r="B54" s="4" t="str">
        <x:v>M3</x:v>
      </x:c>
      <x:c r="C54" s="4" t="str">
        <x:v>supplier-fulfillment</x:v>
      </x:c>
      <x:c r="D54" s="4"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4" t="str">
        <x:v>Idempotency-Key</x:v>
      </x:c>
      <x:c r="L54" s="17" t="str">
        <x:v>NEVER_RETURN; DTO白名单；对象归属校验先于查询结果返回</x:v>
      </x:c>
      <x:c r="M54" s="17" t="str">
        <x:v>金额字段整数分；服务端重算；禁止客户端提交供应价或结算快照</x:v>
      </x:c>
      <x:c r="N54" s="17" t="str">
        <x:v>P0-031</x:v>
      </x:c>
      <x:c r="O54" s="4" t="str">
        <x:v>PLANNED</x:v>
      </x:c>
      <x:c r="P54" s="4" t="str">
        <x:v>PLANNED</x:v>
      </x:c>
      <x:c r="Q54" s="4" t="str">
        <x:v>PLANNED</x:v>
      </x:c>
      <x:c r="R54" s="4" t="str">
        <x:v>TO_BE_CREATED</x:v>
      </x:c>
      <x:c r="S54" s="4" t="str">
        <x:v>UNASSIGNED</x:v>
      </x:c>
      <x:c r="T54" s="17" t="str">
        <x:v>路径为执行初始契约；阶段M*-000冻结后方可编码</x:v>
      </x:c>
    </x:row>
    <x:row r="55" ht="23" customHeight="1">
      <x:c r="A55" s="4" t="str">
        <x:v>API-054</x:v>
      </x:c>
      <x:c r="B55" s="4" t="str">
        <x:v>M4</x:v>
      </x:c>
      <x:c r="C55" s="4" t="str">
        <x:v>runner-auth</x:v>
      </x:c>
      <x:c r="D55" s="4"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4" t="str">
        <x:v>Idempotency-Key</x:v>
      </x:c>
      <x:c r="L55" s="17" t="str">
        <x:v>NEVER_RETURN; DTO白名单；对象归属校验先于查询结果返回</x:v>
      </x:c>
      <x:c r="M55" s="17" t="str">
        <x:v>N/A</x:v>
      </x:c>
      <x:c r="N55" s="17" t="str">
        <x:v>P0-100,P0-101</x:v>
      </x:c>
      <x:c r="O55" s="4" t="str">
        <x:v>PLANNED</x:v>
      </x:c>
      <x:c r="P55" s="4" t="str">
        <x:v>PLANNED</x:v>
      </x:c>
      <x:c r="Q55" s="4" t="str">
        <x:v>PLANNED</x:v>
      </x:c>
      <x:c r="R55" s="4" t="str">
        <x:v>TO_BE_CREATED</x:v>
      </x:c>
      <x:c r="S55" s="4" t="str">
        <x:v>UNASSIGNED</x:v>
      </x:c>
      <x:c r="T55" s="17" t="str">
        <x:v>路径为执行初始契约；阶段M*-000冻结后方可编码</x:v>
      </x:c>
    </x:row>
    <x:row r="56" ht="23" customHeight="1">
      <x:c r="A56" s="4" t="str">
        <x:v>API-055</x:v>
      </x:c>
      <x:c r="B56" s="4" t="str">
        <x:v>M4</x:v>
      </x:c>
      <x:c r="C56" s="4" t="str">
        <x:v>runner-auth</x:v>
      </x:c>
      <x:c r="D56" s="4"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4" t="str">
        <x:v>loginNonce</x:v>
      </x:c>
      <x:c r="L56" s="17" t="str">
        <x:v>NEVER_RETURN; DTO白名单；对象归属校验先于查询结果返回</x:v>
      </x:c>
      <x:c r="M56" s="17" t="str">
        <x:v>N/A</x:v>
      </x:c>
      <x:c r="N56" s="17" t="str">
        <x:v>P0-101</x:v>
      </x:c>
      <x:c r="O56" s="4" t="str">
        <x:v>PLANNED</x:v>
      </x:c>
      <x:c r="P56" s="4" t="str">
        <x:v>PLANNED</x:v>
      </x:c>
      <x:c r="Q56" s="4" t="str">
        <x:v>PLANNED</x:v>
      </x:c>
      <x:c r="R56" s="4" t="str">
        <x:v>TO_BE_CREATED</x:v>
      </x:c>
      <x:c r="S56" s="4" t="str">
        <x:v>UNASSIGNED</x:v>
      </x:c>
      <x:c r="T56" s="17" t="str">
        <x:v>路径为执行初始契约；阶段M*-000冻结后方可编码</x:v>
      </x:c>
    </x:row>
    <x:row r="57" ht="23" customHeight="1">
      <x:c r="A57" s="4" t="str">
        <x:v>API-056</x:v>
      </x:c>
      <x:c r="B57" s="4" t="str">
        <x:v>M4</x:v>
      </x:c>
      <x:c r="C57" s="4" t="str">
        <x:v>company-runner-review</x:v>
      </x:c>
      <x:c r="D57" s="4"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4" t="str">
        <x:v>Idempotency-Key</x:v>
      </x:c>
      <x:c r="L57" s="17" t="str">
        <x:v>NEVER_RETURN; DTO白名单；对象归属校验先于查询结果返回</x:v>
      </x:c>
      <x:c r="M57" s="17" t="str">
        <x:v>N/A</x:v>
      </x:c>
      <x:c r="N57" s="17" t="str">
        <x:v>P0-100</x:v>
      </x:c>
      <x:c r="O57" s="4" t="str">
        <x:v>PLANNED</x:v>
      </x:c>
      <x:c r="P57" s="4" t="str">
        <x:v>PLANNED</x:v>
      </x:c>
      <x:c r="Q57" s="4" t="str">
        <x:v>PLANNED</x:v>
      </x:c>
      <x:c r="R57" s="4" t="str">
        <x:v>TO_BE_CREATED</x:v>
      </x:c>
      <x:c r="S57" s="4" t="str">
        <x:v>UNASSIGNED</x:v>
      </x:c>
      <x:c r="T57" s="17" t="str">
        <x:v>路径为执行初始契约；阶段M*-000冻结后方可编码</x:v>
      </x:c>
    </x:row>
    <x:row r="58" ht="23" customHeight="1">
      <x:c r="A58" s="4" t="str">
        <x:v>API-057</x:v>
      </x:c>
      <x:c r="B58" s="4" t="str">
        <x:v>M4</x:v>
      </x:c>
      <x:c r="C58" s="4" t="str">
        <x:v>runner-tasks</x:v>
      </x:c>
      <x:c r="D58" s="4"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4" t="str">
        <x:v>NONE</x:v>
      </x:c>
      <x:c r="L58" s="17" t="str">
        <x:v>NEVER_RETURN; DTO白名单；对象归属校验先于查询结果返回</x:v>
      </x:c>
      <x:c r="M58" s="17" t="str">
        <x:v>N/A</x:v>
      </x:c>
      <x:c r="N58" s="17" t="str">
        <x:v>P0-103,P0-104</x:v>
      </x:c>
      <x:c r="O58" s="4" t="str">
        <x:v>PLANNED</x:v>
      </x:c>
      <x:c r="P58" s="4" t="str">
        <x:v>PLANNED</x:v>
      </x:c>
      <x:c r="Q58" s="4" t="str">
        <x:v>PLANNED</x:v>
      </x:c>
      <x:c r="R58" s="4" t="str">
        <x:v>TO_BE_CREATED</x:v>
      </x:c>
      <x:c r="S58" s="4" t="str">
        <x:v>UNASSIGNED</x:v>
      </x:c>
      <x:c r="T58" s="17" t="str">
        <x:v>路径为执行初始契约；阶段M*-000冻结后方可编码</x:v>
      </x:c>
    </x:row>
    <x:row r="59" ht="23" customHeight="1">
      <x:c r="A59" s="4" t="str">
        <x:v>API-058</x:v>
      </x:c>
      <x:c r="B59" s="4" t="str">
        <x:v>M4</x:v>
      </x:c>
      <x:c r="C59" s="4" t="str">
        <x:v>runner-tasks</x:v>
      </x:c>
      <x:c r="D59" s="4"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4" t="str">
        <x:v>Idempotency-Key</x:v>
      </x:c>
      <x:c r="L59" s="17" t="str">
        <x:v>NEVER_RETURN; DTO白名单；对象归属校验先于查询结果返回</x:v>
      </x:c>
      <x:c r="M59" s="17" t="str">
        <x:v>N/A</x:v>
      </x:c>
      <x:c r="N59" s="17" t="str">
        <x:v>P0-105</x:v>
      </x:c>
      <x:c r="O59" s="4" t="str">
        <x:v>PLANNED</x:v>
      </x:c>
      <x:c r="P59" s="4" t="str">
        <x:v>PLANNED</x:v>
      </x:c>
      <x:c r="Q59" s="4" t="str">
        <x:v>PLANNED</x:v>
      </x:c>
      <x:c r="R59" s="4" t="str">
        <x:v>TO_BE_CREATED</x:v>
      </x:c>
      <x:c r="S59" s="4" t="str">
        <x:v>UNASSIGNED</x:v>
      </x:c>
      <x:c r="T59" s="17" t="str">
        <x:v>路径为执行初始契约；阶段M*-000冻结后方可编码</x:v>
      </x:c>
    </x:row>
    <x:row r="60" ht="23" customHeight="1">
      <x:c r="A60" s="4" t="str">
        <x:v>API-059</x:v>
      </x:c>
      <x:c r="B60" s="4" t="str">
        <x:v>M4</x:v>
      </x:c>
      <x:c r="C60" s="4" t="str">
        <x:v>runner-tasks</x:v>
      </x:c>
      <x:c r="D60" s="4"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4" t="str">
        <x:v>NONE</x:v>
      </x:c>
      <x:c r="L60" s="17" t="str">
        <x:v>NEVER_RETURN; DTO白名单；对象归属校验先于查询结果返回</x:v>
      </x:c>
      <x:c r="M60" s="17" t="str">
        <x:v>N/A</x:v>
      </x:c>
      <x:c r="N60" s="17" t="str">
        <x:v>P0-106,P0-108,P0-111</x:v>
      </x:c>
      <x:c r="O60" s="4" t="str">
        <x:v>PLANNED</x:v>
      </x:c>
      <x:c r="P60" s="4" t="str">
        <x:v>PLANNED</x:v>
      </x:c>
      <x:c r="Q60" s="4" t="str">
        <x:v>PLANNED</x:v>
      </x:c>
      <x:c r="R60" s="4" t="str">
        <x:v>TO_BE_CREATED</x:v>
      </x:c>
      <x:c r="S60" s="4" t="str">
        <x:v>UNASSIGNED</x:v>
      </x:c>
      <x:c r="T60" s="17" t="str">
        <x:v>路径为执行初始契约；阶段M*-000冻结后方可编码</x:v>
      </x:c>
    </x:row>
    <x:row r="61" ht="23" customHeight="1">
      <x:c r="A61" s="4" t="str">
        <x:v>API-060</x:v>
      </x:c>
      <x:c r="B61" s="4" t="str">
        <x:v>M4</x:v>
      </x:c>
      <x:c r="C61" s="4" t="str">
        <x:v>runner-tasks</x:v>
      </x:c>
      <x:c r="D61" s="4"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4" t="str">
        <x:v>Idempotency-Key</x:v>
      </x:c>
      <x:c r="L61" s="17" t="str">
        <x:v>NEVER_RETURN; DTO白名单；对象归属校验先于查询结果返回</x:v>
      </x:c>
      <x:c r="M61" s="17" t="str">
        <x:v>N/A</x:v>
      </x:c>
      <x:c r="N61" s="17" t="str">
        <x:v>P0-107</x:v>
      </x:c>
      <x:c r="O61" s="4" t="str">
        <x:v>PLANNED</x:v>
      </x:c>
      <x:c r="P61" s="4" t="str">
        <x:v>PLANNED</x:v>
      </x:c>
      <x:c r="Q61" s="4" t="str">
        <x:v>PLANNED</x:v>
      </x:c>
      <x:c r="R61" s="4" t="str">
        <x:v>TO_BE_CREATED</x:v>
      </x:c>
      <x:c r="S61" s="4" t="str">
        <x:v>UNASSIGNED</x:v>
      </x:c>
      <x:c r="T61" s="17" t="str">
        <x:v>路径为执行初始契约；阶段M*-000冻结后方可编码</x:v>
      </x:c>
    </x:row>
    <x:row r="62" ht="23" customHeight="1">
      <x:c r="A62" s="4" t="str">
        <x:v>API-061</x:v>
      </x:c>
      <x:c r="B62" s="4" t="str">
        <x:v>M4</x:v>
      </x:c>
      <x:c r="C62" s="4" t="str">
        <x:v>runner-tasks</x:v>
      </x:c>
      <x:c r="D62" s="4"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4" t="str">
        <x:v>Idempotency-Key</x:v>
      </x:c>
      <x:c r="L62" s="17" t="str">
        <x:v>NEVER_RETURN; DTO白名单；对象归属校验先于查询结果返回</x:v>
      </x:c>
      <x:c r="M62" s="17" t="str">
        <x:v>N/A</x:v>
      </x:c>
      <x:c r="N62" s="17" t="str">
        <x:v>P0-109</x:v>
      </x:c>
      <x:c r="O62" s="4" t="str">
        <x:v>PLANNED</x:v>
      </x:c>
      <x:c r="P62" s="4" t="str">
        <x:v>PLANNED</x:v>
      </x:c>
      <x:c r="Q62" s="4" t="str">
        <x:v>PLANNED</x:v>
      </x:c>
      <x:c r="R62" s="4" t="str">
        <x:v>TO_BE_CREATED</x:v>
      </x:c>
      <x:c r="S62" s="4" t="str">
        <x:v>UNASSIGNED</x:v>
      </x:c>
      <x:c r="T62" s="17" t="str">
        <x:v>路径为执行初始契约；阶段M*-000冻结后方可编码</x:v>
      </x:c>
    </x:row>
    <x:row r="63" ht="23" customHeight="1">
      <x:c r="A63" s="4" t="str">
        <x:v>API-062</x:v>
      </x:c>
      <x:c r="B63" s="4" t="str">
        <x:v>M4</x:v>
      </x:c>
      <x:c r="C63" s="4" t="str">
        <x:v>runner-tasks</x:v>
      </x:c>
      <x:c r="D63" s="4"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4" t="str">
        <x:v>Idempotency-Key</x:v>
      </x:c>
      <x:c r="L63" s="17" t="str">
        <x:v>NEVER_RETURN; DTO白名单；对象归属校验先于查询结果返回</x:v>
      </x:c>
      <x:c r="M63" s="17" t="str">
        <x:v>N/A</x:v>
      </x:c>
      <x:c r="N63" s="17" t="str">
        <x:v>P0-108</x:v>
      </x:c>
      <x:c r="O63" s="4" t="str">
        <x:v>PLANNED</x:v>
      </x:c>
      <x:c r="P63" s="4" t="str">
        <x:v>PLANNED</x:v>
      </x:c>
      <x:c r="Q63" s="4" t="str">
        <x:v>PLANNED</x:v>
      </x:c>
      <x:c r="R63" s="4" t="str">
        <x:v>TO_BE_CREATED</x:v>
      </x:c>
      <x:c r="S63" s="4" t="str">
        <x:v>UNASSIGNED</x:v>
      </x:c>
      <x:c r="T63" s="17" t="str">
        <x:v>路径为执行初始契约；阶段M*-000冻结后方可编码</x:v>
      </x:c>
    </x:row>
    <x:row r="64" ht="23" customHeight="1">
      <x:c r="A64" s="4" t="str">
        <x:v>API-063</x:v>
      </x:c>
      <x:c r="B64" s="4" t="str">
        <x:v>M4</x:v>
      </x:c>
      <x:c r="C64" s="4" t="str">
        <x:v>company-logistics</x:v>
      </x:c>
      <x:c r="D64" s="4"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4" t="str">
        <x:v>Idempotency-Key</x:v>
      </x:c>
      <x:c r="L64" s="17" t="str">
        <x:v>NEVER_RETURN; DTO白名单；对象归属校验先于查询结果返回</x:v>
      </x:c>
      <x:c r="M64" s="17" t="str">
        <x:v>N/A</x:v>
      </x:c>
      <x:c r="N64" s="17" t="str">
        <x:v>P0-102,P0-103</x:v>
      </x:c>
      <x:c r="O64" s="4" t="str">
        <x:v>PLANNED</x:v>
      </x:c>
      <x:c r="P64" s="4" t="str">
        <x:v>PLANNED</x:v>
      </x:c>
      <x:c r="Q64" s="4" t="str">
        <x:v>PLANNED</x:v>
      </x:c>
      <x:c r="R64" s="4" t="str">
        <x:v>TO_BE_CREATED</x:v>
      </x:c>
      <x:c r="S64" s="4" t="str">
        <x:v>UNASSIGNED</x:v>
      </x:c>
      <x:c r="T64" s="17" t="str">
        <x:v>路径为执行初始契约；阶段M*-000冻结后方可编码</x:v>
      </x:c>
    </x:row>
    <x:row r="65" ht="23" customHeight="1">
      <x:c r="A65" s="4" t="str">
        <x:v>API-064</x:v>
      </x:c>
      <x:c r="B65" s="4" t="str">
        <x:v>M4</x:v>
      </x:c>
      <x:c r="C65" s="4" t="str">
        <x:v>company-logistics</x:v>
      </x:c>
      <x:c r="D65" s="4"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4" t="str">
        <x:v>Idempotency-Key</x:v>
      </x:c>
      <x:c r="L65" s="17" t="str">
        <x:v>NEVER_RETURN; DTO白名单；对象归属校验先于查询结果返回</x:v>
      </x:c>
      <x:c r="M65" s="17" t="str">
        <x:v>N/A</x:v>
      </x:c>
      <x:c r="N65" s="17" t="str">
        <x:v>P0-110</x:v>
      </x:c>
      <x:c r="O65" s="4" t="str">
        <x:v>PLANNED</x:v>
      </x:c>
      <x:c r="P65" s="4" t="str">
        <x:v>PLANNED</x:v>
      </x:c>
      <x:c r="Q65" s="4" t="str">
        <x:v>PLANNED</x:v>
      </x:c>
      <x:c r="R65" s="4" t="str">
        <x:v>TO_BE_CREATED</x:v>
      </x:c>
      <x:c r="S65" s="4" t="str">
        <x:v>UNASSIGNED</x:v>
      </x:c>
      <x:c r="T65" s="17" t="str">
        <x:v>路径为执行初始契约；阶段M*-000冻结后方可编码</x:v>
      </x:c>
    </x:row>
    <x:row r="66" ht="23" customHeight="1">
      <x:c r="A66" s="4" t="str">
        <x:v>API-065</x:v>
      </x:c>
      <x:c r="B66" s="4" t="str">
        <x:v>M4</x:v>
      </x:c>
      <x:c r="C66" s="4" t="str">
        <x:v>enterprise-logistics</x:v>
      </x:c>
      <x:c r="D66" s="4"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4" t="str">
        <x:v>Idempotency-Key</x:v>
      </x:c>
      <x:c r="L66" s="17" t="str">
        <x:v>NEVER_RETURN; DTO白名单；对象归属校验先于查询结果返回</x:v>
      </x:c>
      <x:c r="M66" s="17" t="str">
        <x:v>N/A</x:v>
      </x:c>
      <x:c r="N66" s="17" t="str">
        <x:v>P0-064,P0-115,P0-116</x:v>
      </x:c>
      <x:c r="O66" s="4" t="str">
        <x:v>PLANNED</x:v>
      </x:c>
      <x:c r="P66" s="4" t="str">
        <x:v>PLANNED</x:v>
      </x:c>
      <x:c r="Q66" s="4" t="str">
        <x:v>PLANNED</x:v>
      </x:c>
      <x:c r="R66" s="4" t="str">
        <x:v>TO_BE_CREATED</x:v>
      </x:c>
      <x:c r="S66" s="4" t="str">
        <x:v>UNASSIGNED</x:v>
      </x:c>
      <x:c r="T66" s="17" t="str">
        <x:v>路径为执行初始契约；阶段M*-000冻结后方可编码</x:v>
      </x:c>
    </x:row>
    <x:row r="67" ht="23" customHeight="1">
      <x:c r="A67" s="4" t="str">
        <x:v>API-066</x:v>
      </x:c>
      <x:c r="B67" s="4" t="str">
        <x:v>M4</x:v>
      </x:c>
      <x:c r="C67" s="4" t="str">
        <x:v>enterprise-logistics</x:v>
      </x:c>
      <x:c r="D67" s="4"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4" t="str">
        <x:v>Idempotency-Key</x:v>
      </x:c>
      <x:c r="L67" s="17" t="str">
        <x:v>NEVER_RETURN; DTO白名单；对象归属校验先于查询结果返回</x:v>
      </x:c>
      <x:c r="M67" s="17" t="str">
        <x:v>N/A</x:v>
      </x:c>
      <x:c r="N67" s="17" t="str">
        <x:v>P0-118</x:v>
      </x:c>
      <x:c r="O67" s="4" t="str">
        <x:v>PLANNED</x:v>
      </x:c>
      <x:c r="P67" s="4" t="str">
        <x:v>PLANNED</x:v>
      </x:c>
      <x:c r="Q67" s="4" t="str">
        <x:v>PLANNED</x:v>
      </x:c>
      <x:c r="R67" s="4" t="str">
        <x:v>TO_BE_CREATED</x:v>
      </x:c>
      <x:c r="S67" s="4" t="str">
        <x:v>UNASSIGNED</x:v>
      </x:c>
      <x:c r="T67" s="17" t="str">
        <x:v>路径为执行初始契约；阶段M*-000冻结后方可编码</x:v>
      </x:c>
    </x:row>
    <x:row r="68" ht="23" customHeight="1">
      <x:c r="A68" s="4" t="str">
        <x:v>API-067</x:v>
      </x:c>
      <x:c r="B68" s="4" t="str">
        <x:v>M4</x:v>
      </x:c>
      <x:c r="C68" s="4" t="str">
        <x:v>enterprise-logistics</x:v>
      </x:c>
      <x:c r="D68" s="4"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4" t="str">
        <x:v>Idempotency-Key</x:v>
      </x:c>
      <x:c r="L68" s="17" t="str">
        <x:v>NEVER_RETURN; DTO白名单；对象归属校验先于查询结果返回</x:v>
      </x:c>
      <x:c r="M68" s="17" t="str">
        <x:v>N/A</x:v>
      </x:c>
      <x:c r="N68" s="17" t="str">
        <x:v>P0-118,P0-119</x:v>
      </x:c>
      <x:c r="O68" s="4" t="str">
        <x:v>PLANNED</x:v>
      </x:c>
      <x:c r="P68" s="4" t="str">
        <x:v>PLANNED</x:v>
      </x:c>
      <x:c r="Q68" s="4" t="str">
        <x:v>PLANNED</x:v>
      </x:c>
      <x:c r="R68" s="4" t="str">
        <x:v>TO_BE_CREATED</x:v>
      </x:c>
      <x:c r="S68" s="4" t="str">
        <x:v>UNASSIGNED</x:v>
      </x:c>
      <x:c r="T68" s="17" t="str">
        <x:v>路径为执行初始契约；阶段M*-000冻结后方可编码</x:v>
      </x:c>
    </x:row>
    <x:row r="69" ht="23" customHeight="1">
      <x:c r="A69" s="4" t="str">
        <x:v>API-068</x:v>
      </x:c>
      <x:c r="B69" s="4" t="str">
        <x:v>M4</x:v>
      </x:c>
      <x:c r="C69" s="4" t="str">
        <x:v>enterprise-logistics</x:v>
      </x:c>
      <x:c r="D69" s="4"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4" t="str">
        <x:v>Idempotency-Key</x:v>
      </x:c>
      <x:c r="L69" s="17" t="str">
        <x:v>NEVER_RETURN; DTO白名单；对象归属校验先于查询结果返回</x:v>
      </x:c>
      <x:c r="M69" s="17" t="str">
        <x:v>N/A</x:v>
      </x:c>
      <x:c r="N69" s="17" t="str">
        <x:v>P0-117,P0-119</x:v>
      </x:c>
      <x:c r="O69" s="4" t="str">
        <x:v>PLANNED</x:v>
      </x:c>
      <x:c r="P69" s="4" t="str">
        <x:v>PLANNED</x:v>
      </x:c>
      <x:c r="Q69" s="4" t="str">
        <x:v>PLANNED</x:v>
      </x:c>
      <x:c r="R69" s="4" t="str">
        <x:v>TO_BE_CREATED</x:v>
      </x:c>
      <x:c r="S69" s="4" t="str">
        <x:v>UNASSIGNED</x:v>
      </x:c>
      <x:c r="T69" s="17" t="str">
        <x:v>路径为执行初始契约；阶段M*-000冻结后方可编码</x:v>
      </x:c>
    </x:row>
    <x:row r="70" ht="23" customHeight="1">
      <x:c r="A70" s="4" t="str">
        <x:v>API-069</x:v>
      </x:c>
      <x:c r="B70" s="4" t="str">
        <x:v>M5</x:v>
      </x:c>
      <x:c r="C70" s="4" t="str">
        <x:v>aftersales</x:v>
      </x:c>
      <x:c r="D70" s="4"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4" t="str">
        <x:v>Idempotency-Key</x:v>
      </x:c>
      <x:c r="L70" s="17" t="str">
        <x:v>NEVER_RETURN; DTO白名单；对象归属校验先于查询结果返回</x:v>
      </x:c>
      <x:c r="M70" s="17" t="str">
        <x:v>金额字段整数分；服务端重算；禁止客户端提交供应价或结算快照</x:v>
      </x:c>
      <x:c r="N70" s="17" t="str">
        <x:v>P0-038,P0-096</x:v>
      </x:c>
      <x:c r="O70" s="4" t="str">
        <x:v>PLANNED</x:v>
      </x:c>
      <x:c r="P70" s="4" t="str">
        <x:v>PLANNED</x:v>
      </x:c>
      <x:c r="Q70" s="4" t="str">
        <x:v>PLANNED</x:v>
      </x:c>
      <x:c r="R70" s="4" t="str">
        <x:v>TO_BE_CREATED</x:v>
      </x:c>
      <x:c r="S70" s="4" t="str">
        <x:v>UNASSIGNED</x:v>
      </x:c>
      <x:c r="T70" s="17" t="str">
        <x:v>路径为执行初始契约；阶段M*-000冻结后方可编码</x:v>
      </x:c>
    </x:row>
    <x:row r="71" ht="23" customHeight="1">
      <x:c r="A71" s="4" t="str">
        <x:v>API-070</x:v>
      </x:c>
      <x:c r="B71" s="4" t="str">
        <x:v>M5</x:v>
      </x:c>
      <x:c r="C71" s="4" t="str">
        <x:v>aftersales</x:v>
      </x:c>
      <x:c r="D71" s="4"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4" t="str">
        <x:v>Idempotency-Key</x:v>
      </x:c>
      <x:c r="L71" s="17" t="str">
        <x:v>NEVER_RETURN; DTO白名单；对象归属校验先于查询结果返回</x:v>
      </x:c>
      <x:c r="M71" s="17" t="str">
        <x:v>金额字段整数分；服务端重算；禁止客户端提交供应价或结算快照</x:v>
      </x:c>
      <x:c r="N71" s="17" t="str">
        <x:v>P0-039</x:v>
      </x:c>
      <x:c r="O71" s="4" t="str">
        <x:v>PLANNED</x:v>
      </x:c>
      <x:c r="P71" s="4" t="str">
        <x:v>PLANNED</x:v>
      </x:c>
      <x:c r="Q71" s="4" t="str">
        <x:v>PLANNED</x:v>
      </x:c>
      <x:c r="R71" s="4" t="str">
        <x:v>TO_BE_CREATED</x:v>
      </x:c>
      <x:c r="S71" s="4" t="str">
        <x:v>UNASSIGNED</x:v>
      </x:c>
      <x:c r="T71" s="17" t="str">
        <x:v>路径为执行初始契约；阶段M*-000冻结后方可编码</x:v>
      </x:c>
    </x:row>
    <x:row r="72" ht="23" customHeight="1">
      <x:c r="A72" s="4" t="str">
        <x:v>API-071</x:v>
      </x:c>
      <x:c r="B72" s="4" t="str">
        <x:v>M5</x:v>
      </x:c>
      <x:c r="C72" s="4" t="str">
        <x:v>statements</x:v>
      </x:c>
      <x:c r="D72" s="4"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4"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4" t="str">
        <x:v>PLANNED</x:v>
      </x:c>
      <x:c r="P72" s="4" t="str">
        <x:v>PLANNED</x:v>
      </x:c>
      <x:c r="Q72" s="4" t="str">
        <x:v>PLANNED</x:v>
      </x:c>
      <x:c r="R72" s="4" t="str">
        <x:v>TO_BE_CREATED</x:v>
      </x:c>
      <x:c r="S72" s="4" t="str">
        <x:v>UNASSIGNED</x:v>
      </x:c>
      <x:c r="T72" s="17" t="str">
        <x:v>路径为执行初始契约；阶段M*-000冻结后方可编码</x:v>
      </x:c>
    </x:row>
    <x:row r="73" ht="23" customHeight="1">
      <x:c r="A73" s="4" t="str">
        <x:v>API-072</x:v>
      </x:c>
      <x:c r="B73" s="4" t="str">
        <x:v>M5</x:v>
      </x:c>
      <x:c r="C73" s="4" t="str">
        <x:v>statements</x:v>
      </x:c>
      <x:c r="D73" s="4"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4"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4" t="str">
        <x:v>PLANNED</x:v>
      </x:c>
      <x:c r="P73" s="4" t="str">
        <x:v>PLANNED</x:v>
      </x:c>
      <x:c r="Q73" s="4" t="str">
        <x:v>PLANNED</x:v>
      </x:c>
      <x:c r="R73" s="4" t="str">
        <x:v>TO_BE_CREATED</x:v>
      </x:c>
      <x:c r="S73" s="4" t="str">
        <x:v>UNASSIGNED</x:v>
      </x:c>
      <x:c r="T73" s="17" t="str">
        <x:v>路径为执行初始契约；阶段M*-000冻结后方可编码</x:v>
      </x:c>
    </x:row>
    <x:row r="74" ht="23" customHeight="1">
      <x:c r="A74" s="4" t="str">
        <x:v>API-073</x:v>
      </x:c>
      <x:c r="B74" s="4" t="str">
        <x:v>M5</x:v>
      </x:c>
      <x:c r="C74" s="4" t="str">
        <x:v>statements</x:v>
      </x:c>
      <x:c r="D74" s="4"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4"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4" t="str">
        <x:v>PLANNED</x:v>
      </x:c>
      <x:c r="P74" s="4" t="str">
        <x:v>PLANNED</x:v>
      </x:c>
      <x:c r="Q74" s="4" t="str">
        <x:v>PLANNED</x:v>
      </x:c>
      <x:c r="R74" s="4" t="str">
        <x:v>TO_BE_CREATED</x:v>
      </x:c>
      <x:c r="S74" s="4" t="str">
        <x:v>UNASSIGNED</x:v>
      </x:c>
      <x:c r="T74" s="17" t="str">
        <x:v>路径为执行初始契约；阶段M*-000冻结后方可编码</x:v>
      </x:c>
    </x:row>
    <x:row r="75" ht="23" customHeight="1">
      <x:c r="A75" s="4" t="str">
        <x:v>API-074</x:v>
      </x:c>
      <x:c r="B75" s="4" t="str">
        <x:v>M5</x:v>
      </x:c>
      <x:c r="C75" s="4" t="str">
        <x:v>statements</x:v>
      </x:c>
      <x:c r="D75" s="4"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4"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4" t="str">
        <x:v>PLANNED</x:v>
      </x:c>
      <x:c r="P75" s="4" t="str">
        <x:v>PLANNED</x:v>
      </x:c>
      <x:c r="Q75" s="4" t="str">
        <x:v>PLANNED</x:v>
      </x:c>
      <x:c r="R75" s="4" t="str">
        <x:v>TO_BE_CREATED</x:v>
      </x:c>
      <x:c r="S75" s="4" t="str">
        <x:v>UNASSIGNED</x:v>
      </x:c>
      <x:c r="T75" s="17" t="str">
        <x:v>路径为执行初始契约；阶段M*-000冻结后方可编码</x:v>
      </x:c>
    </x:row>
    <x:row r="76" ht="23" customHeight="1">
      <x:c r="A76" s="4" t="str">
        <x:v>API-075</x:v>
      </x:c>
      <x:c r="B76" s="4" t="str">
        <x:v>M5</x:v>
      </x:c>
      <x:c r="C76" s="4" t="str">
        <x:v>portal</x:v>
      </x:c>
      <x:c r="D76" s="4"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4" t="str">
        <x:v>NONE</x:v>
      </x:c>
      <x:c r="L76" s="17" t="str">
        <x:v>NEVER_RETURN; DTO白名单；对象归属校验先于查询结果返回</x:v>
      </x:c>
      <x:c r="M76" s="17" t="str">
        <x:v>金额字段整数分；服务端重算；禁止客户端提交供应价或结算快照</x:v>
      </x:c>
      <x:c r="N76" s="17" t="str">
        <x:v>P0-027,P0-073,P0-075,P0-076,P0-082</x:v>
      </x:c>
      <x:c r="O76" s="4" t="str">
        <x:v>PLANNED</x:v>
      </x:c>
      <x:c r="P76" s="4" t="str">
        <x:v>PLANNED</x:v>
      </x:c>
      <x:c r="Q76" s="4" t="str">
        <x:v>PLANNED</x:v>
      </x:c>
      <x:c r="R76" s="4" t="str">
        <x:v>TO_BE_CREATED</x:v>
      </x:c>
      <x:c r="S76" s="4" t="str">
        <x:v>UNASSIGNED</x:v>
      </x:c>
      <x:c r="T76" s="17" t="str">
        <x:v>Next.js公开SSG/ISR数据源；仅返回PUBLISHED不可变revision；响应支持slug级失效且绝不含内部/供应价字段</x:v>
      </x:c>
    </x:row>
    <x:row r="77" ht="23" customHeight="1">
      <x:c r="A77" s="4" t="str">
        <x:v>API-076</x:v>
      </x:c>
      <x:c r="B77" s="4" t="str">
        <x:v>M5</x:v>
      </x:c>
      <x:c r="C77" s="4" t="str">
        <x:v>portal</x:v>
      </x:c>
      <x:c r="D77" s="4"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4" t="str">
        <x:v>Idempotency-Key</x:v>
      </x:c>
      <x:c r="L77" s="17" t="str">
        <x:v>NEVER_RETURN; DTO白名单；对象归属校验先于查询结果返回</x:v>
      </x:c>
      <x:c r="M77" s="17" t="str">
        <x:v>金额字段整数分；服务端重算；禁止客户端提交供应价或结算快照</x:v>
      </x:c>
      <x:c r="N77" s="17" t="str">
        <x:v>P0-074,P0-076,P0-082</x:v>
      </x:c>
      <x:c r="O77" s="4" t="str">
        <x:v>PLANNED</x:v>
      </x:c>
      <x:c r="P77" s="4" t="str">
        <x:v>PLANNED</x:v>
      </x:c>
      <x:c r="Q77" s="4" t="str">
        <x:v>PLANNED</x:v>
      </x:c>
      <x:c r="R77" s="4" t="str">
        <x:v>TO_BE_CREATED</x:v>
      </x:c>
      <x:c r="S77" s="4" t="str">
        <x:v>UNASSIGNED</x:v>
      </x:c>
      <x:c r="T77" s="17" t="str">
        <x:v>路径为执行初始契约；阶段M*-000冻结后方可编码</x:v>
      </x:c>
    </x:row>
    <x:row r="78" ht="23" customHeight="1">
      <x:c r="A78" s="4" t="str">
        <x:v>API-077</x:v>
      </x:c>
      <x:c r="B78" s="4" t="str">
        <x:v>M5</x:v>
      </x:c>
      <x:c r="C78" s="4" t="str">
        <x:v>portal-content</x:v>
      </x:c>
      <x:c r="D78" s="4"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4" t="str">
        <x:v>Idempotency-Key</x:v>
      </x:c>
      <x:c r="L78" s="17" t="str">
        <x:v>NEVER_RETURN; DTO白名单；对象归属校验先于查询结果返回</x:v>
      </x:c>
      <x:c r="M78" s="17" t="str">
        <x:v>金额字段整数分；服务端重算；禁止客户端提交供应价或结算快照</x:v>
      </x:c>
      <x:c r="N78" s="17" t="str">
        <x:v>P0-073,P0-082</x:v>
      </x:c>
      <x:c r="O78" s="4" t="str">
        <x:v>PLANNED</x:v>
      </x:c>
      <x:c r="P78" s="4" t="str">
        <x:v>PLANNED</x:v>
      </x:c>
      <x:c r="Q78" s="4" t="str">
        <x:v>PLANNED</x:v>
      </x:c>
      <x:c r="R78" s="4" t="str">
        <x:v>TO_BE_CREATED</x:v>
      </x:c>
      <x:c r="S78" s="4" t="str">
        <x:v>UNASSIGNED</x:v>
      </x:c>
      <x:c r="T78" s="17" t="str">
        <x:v>保存草稿不触发公开缓存；路径和DTO由生成契约类型约束</x:v>
      </x:c>
    </x:row>
    <x:row r="79" ht="23" customHeight="1">
      <x:c r="A79" s="4" t="str">
        <x:v>API-078</x:v>
      </x:c>
      <x:c r="B79" s="4" t="str">
        <x:v>M5</x:v>
      </x:c>
      <x:c r="C79" s="4" t="str">
        <x:v>portal-content</x:v>
      </x:c>
      <x:c r="D79" s="4"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4" t="str">
        <x:v>Idempotency-Key</x:v>
      </x:c>
      <x:c r="L79" s="17" t="str">
        <x:v>NEVER_RETURN; DTO白名单；对象归属校验先于查询结果返回</x:v>
      </x:c>
      <x:c r="M79" s="17" t="str">
        <x:v>金额字段整数分；服务端重算；禁止客户端提交供应价或结算快照</x:v>
      </x:c>
      <x:c r="N79" s="17" t="str">
        <x:v>P0-073,P0-082</x:v>
      </x:c>
      <x:c r="O79" s="4" t="str">
        <x:v>PLANNED</x:v>
      </x:c>
      <x:c r="P79" s="4" t="str">
        <x:v>PLANNED</x:v>
      </x:c>
      <x:c r="Q79" s="4" t="str">
        <x:v>PLANNED</x:v>
      </x:c>
      <x:c r="R79" s="4" t="str">
        <x:v>TO_BE_CREATED</x:v>
      </x:c>
      <x:c r="S79" s="4" t="str">
        <x:v>UNASSIGNED</x:v>
      </x:c>
      <x:c r="T79" s="17" t="str">
        <x:v>发布/下线成功后发出受鉴权slug失效事件；失败可重试且不覆盖已发布revision；同一自然人双审规则按配置执行</x:v>
      </x:c>
    </x:row>
    <x:row r="80" ht="23" customHeight="1">
      <x:c r="A80" s="4" t="str">
        <x:v>API-079</x:v>
      </x:c>
      <x:c r="B80" s="4" t="str">
        <x:v>M5</x:v>
      </x:c>
      <x:c r="C80" s="4" t="str">
        <x:v>exports</x:v>
      </x:c>
      <x:c r="D80" s="4"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4" t="str">
        <x:v>Idempotency-Key</x:v>
      </x:c>
      <x:c r="L80" s="17" t="str">
        <x:v>NEVER_RETURN; DTO白名单；对象归属校验先于查询结果返回</x:v>
      </x:c>
      <x:c r="M80" s="17" t="str">
        <x:v>金额字段整数分；服务端重算；禁止客户端提交供应价或结算快照</x:v>
      </x:c>
      <x:c r="N80" s="17" t="str">
        <x:v>P0-045,P0-046,P0-072</x:v>
      </x:c>
      <x:c r="O80" s="4" t="str">
        <x:v>PLANNED</x:v>
      </x:c>
      <x:c r="P80" s="4" t="str">
        <x:v>PLANNED</x:v>
      </x:c>
      <x:c r="Q80" s="4" t="str">
        <x:v>PLANNED</x:v>
      </x:c>
      <x:c r="R80" s="4" t="str">
        <x:v>TO_BE_CREATED</x:v>
      </x:c>
      <x:c r="S80" s="4" t="str">
        <x:v>UNASSIGNED</x:v>
      </x:c>
      <x:c r="T80" s="17" t="str">
        <x:v>路径为执行初始契约；阶段M*-000冻结后方可编码</x:v>
      </x:c>
    </x:row>
    <x:row r="81" ht="23" customHeight="1">
      <x:c r="A81" s="5" t="str">
        <x:v>API-080</x:v>
      </x:c>
      <x:c r="B81" s="5" t="str">
        <x:v>M5</x:v>
      </x:c>
      <x:c r="C81" s="5" t="str">
        <x:v>exports</x:v>
      </x:c>
      <x:c r="D81" s="5"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5" t="str">
        <x:v>NONE</x:v>
      </x:c>
      <x:c r="L81" s="18" t="str">
        <x:v>NEVER_RETURN; DTO白名单；对象归属校验先于查询结果返回</x:v>
      </x:c>
      <x:c r="M81" s="18" t="str">
        <x:v>金额字段整数分；服务端重算；禁止客户端提交供应价或结算快照</x:v>
      </x:c>
      <x:c r="N81" s="18" t="str">
        <x:v>P0-045,P0-046</x:v>
      </x:c>
      <x:c r="O81" s="5" t="str">
        <x:v>PLANNED</x:v>
      </x:c>
      <x:c r="P81" s="5" t="str">
        <x:v>PLANNED</x:v>
      </x:c>
      <x:c r="Q81" s="5" t="str">
        <x:v>PLANNED</x:v>
      </x:c>
      <x:c r="R81" s="5" t="str">
        <x:v>TO_BE_CREATED</x:v>
      </x:c>
      <x:c r="S81" s="5" t="str">
        <x:v>UNASSIGNED</x:v>
      </x:c>
      <x:c r="T81" s="18" t="str">
        <x:v>路径为执行初始契约；阶段M*-000冻结后方可编码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5211c3e35964ed0"/>
  </x:tableParts>
</x:worksheet>
</file>