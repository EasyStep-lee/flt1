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d249484f2784960" /></Relationships>
</file>

<file path=xl/workbook.xml><?xml version="1.0" encoding="utf-8"?>
<x:workbook xmlns:x="http://schemas.openxmlformats.org/spreadsheetml/2006/main">
  <x:sheets>
    <x:sheet xmlns:r="http://schemas.openxmlformats.org/officeDocument/2006/relationships" name="总控看板" sheetId="1" r:id="Rd21392d3e0cd4424"/>
    <x:sheet xmlns:r="http://schemas.openxmlformats.org/officeDocument/2006/relationships" name="阶段门禁" sheetId="2" r:id="R9147c0b25f814ab4"/>
    <x:sheet xmlns:r="http://schemas.openxmlformats.org/officeDocument/2006/relationships" name="任务台账" sheetId="3" r:id="R9f59869cacc44976"/>
    <x:sheet xmlns:r="http://schemas.openxmlformats.org/officeDocument/2006/relationships" name="P0验收矩阵" sheetId="4" r:id="R2964c5e9a8d4436c"/>
    <x:sheet xmlns:r="http://schemas.openxmlformats.org/officeDocument/2006/relationships" name="字段字典" sheetId="5" r:id="R0987b83e82e44a9c"/>
    <x:sheet xmlns:r="http://schemas.openxmlformats.org/officeDocument/2006/relationships" name="状态机" sheetId="6" r:id="Rc28d409dcb684dd8"/>
    <x:sheet xmlns:r="http://schemas.openxmlformats.org/officeDocument/2006/relationships" name="权限矩阵" sheetId="7" r:id="R2e89fa247f9b4a08"/>
    <x:sheet xmlns:r="http://schemas.openxmlformats.org/officeDocument/2006/relationships" name="页面映射" sheetId="8" r:id="R3444ce4b819642f3"/>
    <x:sheet xmlns:r="http://schemas.openxmlformats.org/officeDocument/2006/relationships" name="外部依赖" sheetId="9" r:id="R882ca928bbb7483c"/>
    <x:sheet xmlns:r="http://schemas.openxmlformats.org/officeDocument/2006/relationships" name="测试证据" sheetId="10" r:id="R7e1a07314cc942b0"/>
    <x:sheet xmlns:r="http://schemas.openxmlformats.org/officeDocument/2006/relationships" name="迁移台账" sheetId="11" r:id="R60ff1af6d816495f"/>
    <x:sheet xmlns:r="http://schemas.openxmlformats.org/officeDocument/2006/relationships" name="API台账" sheetId="12" r:id="R63e59b1c988e400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3244ad28feb49db" /><Relationship Type="http://schemas.openxmlformats.org/officeDocument/2006/relationships/theme" Target="/xl/theme/theme1.xml" Id="R4d547135b40b4937" /><Relationship Type="http://schemas.openxmlformats.org/officeDocument/2006/relationships/sharedStrings" Target="/xl/sharedStrings.xml" Id="R93ad0da8bbf244e9" /><Relationship Type="http://schemas.openxmlformats.org/officeDocument/2006/relationships/worksheet" Target="/xl/worksheets/sheet1.xml" Id="Rd21392d3e0cd4424" /><Relationship Type="http://schemas.openxmlformats.org/officeDocument/2006/relationships/worksheet" Target="/xl/worksheets/sheet2.xml" Id="R9147c0b25f814ab4" /><Relationship Type="http://schemas.openxmlformats.org/officeDocument/2006/relationships/worksheet" Target="/xl/worksheets/sheet3.xml" Id="R9f59869cacc44976" /><Relationship Type="http://schemas.openxmlformats.org/officeDocument/2006/relationships/worksheet" Target="/xl/worksheets/sheet4.xml" Id="R2964c5e9a8d4436c" /><Relationship Type="http://schemas.openxmlformats.org/officeDocument/2006/relationships/worksheet" Target="/xl/worksheets/sheet5.xml" Id="R0987b83e82e44a9c" /><Relationship Type="http://schemas.openxmlformats.org/officeDocument/2006/relationships/worksheet" Target="/xl/worksheets/sheet6.xml" Id="Rc28d409dcb684dd8" /><Relationship Type="http://schemas.openxmlformats.org/officeDocument/2006/relationships/worksheet" Target="/xl/worksheets/sheet7.xml" Id="R2e89fa247f9b4a08" /><Relationship Type="http://schemas.openxmlformats.org/officeDocument/2006/relationships/worksheet" Target="/xl/worksheets/sheet8.xml" Id="R3444ce4b819642f3" /><Relationship Type="http://schemas.openxmlformats.org/officeDocument/2006/relationships/worksheet" Target="/xl/worksheets/sheet9.xml" Id="R882ca928bbb7483c" /><Relationship Type="http://schemas.openxmlformats.org/officeDocument/2006/relationships/worksheet" Target="/xl/worksheets/sheet10.xml" Id="R7e1a07314cc942b0" /><Relationship Type="http://schemas.openxmlformats.org/officeDocument/2006/relationships/worksheet" Target="/xl/worksheets/sheet11.xml" Id="R60ff1af6d816495f" /><Relationship Type="http://schemas.openxmlformats.org/officeDocument/2006/relationships/worksheet" Target="/xl/worksheets/sheet12.xml" Id="R63e59b1c988e4004" /><Relationship Type="http://schemas.microsoft.com/office/2017/10/relationships/person" Target="/xl/persons/person.xml" Id="Ra79dcae428a34f0b"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0"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1"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2"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3"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48e1554fe4f9429e" /></Relationships>
</file>

<file path=xl/worksheets/_rels/sheet3.xml.rels>&#65279;<?xml version="1.0" encoding="utf-8"?><Relationships xmlns="http://schemas.openxmlformats.org/package/2006/relationships"><Relationship Type="http://schemas.openxmlformats.org/officeDocument/2006/relationships/table" Target="/xl/tables/table2.xml" Id="Rb3d6167c7df44b1d" /></Relationships>
</file>

<file path=xl/worksheets/_rels/sheet4.xml.rels>&#65279;<?xml version="1.0" encoding="utf-8"?><Relationships xmlns="http://schemas.openxmlformats.org/package/2006/relationships"><Relationship Type="http://schemas.openxmlformats.org/officeDocument/2006/relationships/table" Target="/xl/tables/table3.xml" Id="R12b3d717da54468a" /></Relationships>
</file>

<file path=xl/worksheets/_rels/sheet5.xml.rels>&#65279;<?xml version="1.0" encoding="utf-8"?><Relationships xmlns="http://schemas.openxmlformats.org/package/2006/relationships"><Relationship Type="http://schemas.openxmlformats.org/officeDocument/2006/relationships/table" Target="/xl/tables/table4.xml" Id="R28a6b2761fe34e14" /></Relationships>
</file>

<file path=xl/worksheets/_rels/sheet6.xml.rels>&#65279;<?xml version="1.0" encoding="utf-8"?><Relationships xmlns="http://schemas.openxmlformats.org/package/2006/relationships"><Relationship Type="http://schemas.openxmlformats.org/officeDocument/2006/relationships/table" Target="/xl/tables/table5.xml" Id="Ra56b26a85f9d4748" /></Relationships>
</file>

<file path=xl/worksheets/_rels/sheet7.xml.rels>&#65279;<?xml version="1.0" encoding="utf-8"?><Relationships xmlns="http://schemas.openxmlformats.org/package/2006/relationships"><Relationship Type="http://schemas.openxmlformats.org/officeDocument/2006/relationships/table" Target="/xl/tables/table6.xml" Id="Rb17723691af542a7" /></Relationships>
</file>

<file path=xl/worksheets/_rels/sheet8.xml.rels>&#65279;<?xml version="1.0" encoding="utf-8"?><Relationships xmlns="http://schemas.openxmlformats.org/package/2006/relationships"><Relationship Type="http://schemas.openxmlformats.org/officeDocument/2006/relationships/table" Target="/xl/tables/table7.xml" Id="R39ba53784de0459b" /></Relationships>
</file>

<file path=xl/worksheets/_rels/sheet9.xml.rels>&#65279;<?xml version="1.0" encoding="utf-8"?><Relationships xmlns="http://schemas.openxmlformats.org/package/2006/relationships"><Relationship Type="http://schemas.openxmlformats.org/officeDocument/2006/relationships/table" Target="/xl/tables/table8.xml" Id="R8c6dcc68e4824115" /></Relationships>
</file>

<file path=xl/worksheets/_rels/sheet10.xml.rels>&#65279;<?xml version="1.0" encoding="utf-8"?><Relationships xmlns="http://schemas.openxmlformats.org/package/2006/relationships"><Relationship Type="http://schemas.openxmlformats.org/officeDocument/2006/relationships/table" Target="/xl/tables/table9.xml" Id="Re831ebcf4c874a7f" /></Relationships>
</file>

<file path=xl/worksheets/_rels/sheet11.xml.rels>&#65279;<?xml version="1.0" encoding="utf-8"?><Relationships xmlns="http://schemas.openxmlformats.org/package/2006/relationships"><Relationship Type="http://schemas.openxmlformats.org/officeDocument/2006/relationships/table" Target="/xl/tables/table10.xml" Id="Ra79fa4aa91c542b9" /></Relationships>
</file>

<file path=xl/worksheets/_rels/sheet12.xml.rels>&#65279;<?xml version="1.0" encoding="utf-8"?><Relationships xmlns="http://schemas.openxmlformats.org/package/2006/relationships"><Relationship Type="http://schemas.openxmlformats.org/officeDocument/2006/relationships/table" Target="/xl/tables/table11.xml" Id="R31966bafa2af4b72"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main@56bd581 CI_PASS · M2-P017 merged-main CI_PASS（PR #60 / final head 59b020e / main run 31480997963）· M2-P018 LOCAL_PASS（Issue #61 / head b026a72）· pnpm verify 17/17 PASS · Draft PR与精确head CI待执行 · P019及以后锁定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f>COUNTIF('任务台账'!$M$2:$M$150,"DONE")</x:f>
        <x:v>42</x:v>
      </x:c>
      <x:c r="E6" s="83"/>
      <x:c r="F6" s="187"/>
      <x:c r="G6" s="109" t="n">
        <x:f>COUNTIF('P0验收矩阵'!$I$2:$I$120,"LOCAL_PASS")+COUNTIF('P0验收矩阵'!$I$2:$I$120,"CI_PASS")+COUNTIF('P0验收矩阵'!$I$2:$I$120,"STAGING_PASS")+COUNTIF('P0验收矩阵'!$I$2:$I$120,"DEVICE_PASS")+COUNTIF('P0验收矩阵'!$I$2:$I$120,"PRODUCTION_PASS")</x:f>
        <x:v>27</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f>COUNTIFS('任务台账'!$C$2:$C$150,A13,'任务台账'!$M$2:$M$150,"DONE")</x:f>
        <x:v>13</x:v>
      </x:c>
      <x:c r="E13" s="152" t="n">
        <x:f>COUNTIF('P0验收矩阵'!$C$2:$C$120,A13)</x:f>
        <x:v>18</x:v>
      </x:c>
      <x:c r="F13" s="152" t="n">
        <x:f>COUNTIFS('P0验收矩阵'!$C$2:$C$120,A13,'P0验收矩阵'!$I$2:$I$120,"LOCAL_PASS")+COUNTIFS('P0验收矩阵'!$C$2:$C$120,A13,'P0验收矩阵'!$I$2:$I$120,"CI_PASS")+COUNTIFS('P0验收矩阵'!$C$2:$C$120,A13,'P0验收矩阵'!$I$2:$I$120,"STAGING_PASS")+COUNTIFS('P0验收矩阵'!$C$2:$C$120,A13,'P0验收矩阵'!$I$2:$I$120,"DEVICE_PASS")+COUNTIFS('P0验收矩阵'!$C$2:$C$120,A13,'P0验收矩阵'!$I$2:$I$120,"PRODUCTION_PASS")</x:f>
        <x:v>13</x:v>
      </x:c>
      <x:c r="G13" s="152" t="str">
        <x:f>INDEX('阶段门禁'!$N$2:$N$8,MATCH(A13,'阶段门禁'!$A$2:$A$8,0))</x:f>
        <x:v>IN_PROGRESS</x:v>
      </x:c>
      <x:c r="H13" s="152" t="str">
        <x:f>INDEX('阶段门禁'!$O$2:$O$8,MATCH(A13,'阶段门禁'!$A$2:$A$8,0))</x:f>
        <x:v>CI_PASS</x:v>
      </x:c>
      <x:c r="I13" s="152" t="str">
        <x:f>IF(G13="GATE_PASSED","PASSED",IF(G13="IN_PROGRESS","PR门禁待完成","LOCKED"))</x:f>
        <x:v>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f>COUNTIF('P0验收矩阵'!$I$2:$I$120,A20)</x:f>
        <x:v>92</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f>COUNTIF('P0验收矩阵'!$I$2:$I$120,A21)</x:f>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f>COUNTIF('P0验收矩阵'!$I$2:$I$120,A22)</x:f>
        <x:v>26</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PASS；M2-P006至M2-P017均已合并且main CI PASS；M2-P018完成RED→GREEN、focused API/契约、P0 E2E、迁移演练及干净head b026a72完整pnpm verify 17/17；Draft PR与精确head CI仍待执行；EXT-007正式数据未提供；P019及以后保持锁定。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顺序</x:v>
      </x:c>
      <x:c r="C1" s="15" t="str">
        <x:v>名称</x:v>
      </x:c>
      <x:c r="D1" s="15" t="str">
        <x:v>目标</x:v>
      </x:c>
      <x:c r="E1" s="15" t="str">
        <x:v>非目标</x:v>
      </x:c>
      <x:c r="F1" s="15" t="str">
        <x:v>进入门禁</x:v>
      </x:c>
      <x:c r="G1" s="15" t="str">
        <x:v>退出门禁</x:v>
      </x:c>
      <x:c r="H1" s="15" t="str">
        <x:v>人工门槛</x:v>
      </x:c>
      <x:c r="I1" s="15" t="str">
        <x:v>依赖</x:v>
      </x:c>
      <x:c r="J1" s="15" t="str">
        <x:v>任务数</x:v>
      </x:c>
      <x:c r="K1" s="15" t="str">
        <x:v>P0数</x:v>
      </x:c>
      <x:c r="L1" s="15" t="str">
        <x:v>P0范围</x:v>
      </x:c>
      <x:c r="M1" s="15" t="str">
        <x:v>门禁任务</x:v>
      </x:c>
      <x:c r="N1" s="15" t="str">
        <x:v>状态</x:v>
      </x:c>
      <x:c r="O1" s="15" t="str">
        <x:v>证据状态</x:v>
      </x:c>
      <x:c r="P1" s="15" t="str">
        <x:v>批准人</x:v>
      </x:c>
      <x:c r="Q1" s="15" t="str">
        <x:v>批准时间</x:v>
      </x:c>
      <x:c r="R1" s="16" t="str">
        <x:v>备注</x:v>
      </x:c>
    </x:row>
    <x:row r="2" ht="23" customHeight="1">
      <x:c r="A2" s="17" t="str">
        <x:v>M0</x:v>
      </x:c>
      <x:c r="B2" s="17" t="n">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n">
        <x:v>12</x:v>
      </x:c>
      <x:c r="K2" s="17" t="n">
        <x:v>0</x:v>
      </x:c>
      <x:c r="L2" s="17"/>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n">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n">
        <x:v>15</x:v>
      </x:c>
      <x:c r="K3" s="17" t="n">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CI_PASS</x:v>
      </x:c>
      <x:c r="P4" s="17" t="str"/>
      <x:c r="Q4" s="17" t="str"/>
      <x:c r="R4" s="17" t="str">
        <x:v>M2-P006至M2-P017均已合并main且合并后CI_PASS；M2-P018干净head b026a72完整verify 17/17通过，当前为LOCAL_PASS且Draft PR/精确head CI待执行；EXT-007正式数据未提供，P019及以后保持锁定。</x:v>
      </x:c>
    </x:row>
    <x:row r="5" ht="23" customHeight="1">
      <x:c r="A5" s="17" t="str">
        <x:v>M3</x:v>
      </x:c>
      <x:c r="B5" s="17" t="n">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n">
        <x:v>46</x:v>
      </x:c>
      <x:c r="K5" s="17" t="n">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x:c r="Q5" s="17"/>
      <x:c r="R5" s="17"/>
    </x:row>
    <x:row r="6" ht="23" customHeight="1">
      <x:c r="A6" s="17" t="str">
        <x:v>M4</x:v>
      </x:c>
      <x:c r="B6" s="17" t="n">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n">
        <x:v>30</x:v>
      </x:c>
      <x:c r="K6" s="17" t="n">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x:c r="Q6" s="17"/>
      <x:c r="R6" s="17"/>
    </x:row>
    <x:row r="7" ht="23" customHeight="1">
      <x:c r="A7" s="17" t="str">
        <x:v>M5</x:v>
      </x:c>
      <x:c r="B7" s="17" t="n">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n">
        <x:v>11</x:v>
      </x:c>
      <x:c r="K7" s="17" t="n">
        <x:v>10</x:v>
      </x:c>
      <x:c r="L7" s="17" t="str">
        <x:v>P0-038,P0-039,P0-040,P0-041,P0-042,P0-043,P0-044,P0-060,P0-065,P0-082</x:v>
      </x:c>
      <x:c r="M7" s="17" t="str">
        <x:v>M5-GATE</x:v>
      </x:c>
      <x:c r="N7" s="17" t="str">
        <x:v>LOCKED</x:v>
      </x:c>
      <x:c r="O7" s="17" t="str">
        <x:v>NOT_EXECUTED</x:v>
      </x:c>
      <x:c r="P7" s="17"/>
      <x:c r="Q7" s="17"/>
      <x:c r="R7" s="17"/>
    </x:row>
    <x:row r="8" ht="23" customHeight="1">
      <x:c r="A8" s="18" t="str">
        <x:v>M6</x:v>
      </x:c>
      <x:c r="B8" s="18" t="n">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n">
        <x:v>9</x:v>
      </x:c>
      <x:c r="K8" s="18" t="n">
        <x:v>3</x:v>
      </x:c>
      <x:c r="L8" s="18" t="str">
        <x:v>P0-048,P0-049,P0-050</x:v>
      </x:c>
      <x:c r="M8" s="18" t="str">
        <x:v>M6-GATE</x:v>
      </x:c>
      <x:c r="N8" s="18" t="str">
        <x:v>LOCKED</x:v>
      </x:c>
      <x:c r="O8" s="18" t="str">
        <x:v>NOT_EXECUTED</x:v>
      </x:c>
      <x:c r="P8" s="18"/>
      <x:c r="Q8" s="18"/>
      <x:c r="R8" s="18"/>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48e1554fe4f9429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执行顺序</x:v>
      </x:c>
      <x:c r="C1" s="15" t="str">
        <x:v>阶段</x:v>
      </x:c>
      <x:c r="D1" s="15" t="str">
        <x:v>类型</x:v>
      </x:c>
      <x:c r="E1" s="15" t="str">
        <x:v>优先级</x:v>
      </x:c>
      <x:c r="F1" s="15" t="str">
        <x:v>标题</x:v>
      </x:c>
      <x:c r="G1" s="15" t="str">
        <x:v>方案来源</x:v>
      </x:c>
      <x:c r="H1" s="15" t="str">
        <x:v>P0编号</x:v>
      </x:c>
      <x:c r="I1" s="15" t="str">
        <x:v>任务依赖</x:v>
      </x:c>
      <x:c r="J1" s="15" t="str">
        <x:v>交付物</x:v>
      </x:c>
      <x:c r="K1" s="15" t="str">
        <x:v>完成定义</x:v>
      </x:c>
      <x:c r="L1" s="15" t="str">
        <x:v>测试类型</x:v>
      </x:c>
      <x:c r="M1" s="15" t="str">
        <x:v>状态</x:v>
      </x:c>
      <x:c r="N1" s="15" t="str">
        <x:v>证据状态</x:v>
      </x:c>
      <x:c r="O1" s="15" t="str">
        <x:v>负责人</x:v>
      </x:c>
      <x:c r="P1" s="15" t="str">
        <x:v>GitHub Issue</x:v>
      </x:c>
      <x:c r="Q1" s="15" t="str">
        <x:v>建议分支</x:v>
      </x:c>
      <x:c r="R1" s="15" t="str">
        <x:v>实际分支</x:v>
      </x:c>
      <x:c r="S1" s="15" t="str">
        <x:v>提交SHA</x:v>
      </x:c>
      <x:c r="T1" s="15" t="str">
        <x:v>Pull Request</x:v>
      </x:c>
      <x:c r="U1" s="15" t="str">
        <x:v>CI</x:v>
      </x:c>
      <x:c r="V1" s="15" t="str">
        <x:v>人工门槛</x:v>
      </x:c>
      <x:c r="W1" s="15" t="str">
        <x:v>回滚</x:v>
      </x:c>
      <x:c r="X1" s="15" t="str">
        <x:v>更新时间</x:v>
      </x:c>
      <x:c r="Y1" s="16" t="str">
        <x:v>备注</x:v>
      </x:c>
    </x:row>
    <x:row r="2" ht="23" customHeight="1">
      <x:c r="A2" s="17" t="str">
        <x:v>M0-001</x:v>
      </x:c>
      <x:c r="B2" s="17" t="n">
        <x:v>1</x:v>
      </x:c>
      <x:c r="C2" s="17" t="str">
        <x:v>M0</x:v>
      </x:c>
      <x:c r="D2" s="17" t="str">
        <x:v>FOUNDATION</x:v>
      </x:c>
      <x:c r="E2" s="17" t="str">
        <x:v>P0</x:v>
      </x:c>
      <x:c r="F2" s="17" t="str">
        <x:v>冻结产品基线与变更规则</x:v>
      </x:c>
      <x:c r="G2" s="17" t="str">
        <x:v>§15工程化要求、提示词包AGENTS.md</x:v>
      </x:c>
      <x:c r="H2" s="17"/>
      <x:c r="I2" s="17"/>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x:c r="Q2" s="17" t="str">
        <x:v>codex/m0-m0-001</x:v>
      </x:c>
      <x:c r="R2" s="17" t="str">
        <x:v>codex/m0-m0-001</x:v>
      </x:c>
      <x:c r="S2" s="17" t="str">
        <x:v>958ce3952ea2395216fbadc3af244c5de6dbd8a1</x:v>
      </x:c>
      <x:c r="T2" s="17"/>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n">
        <x:v>2</x:v>
      </x:c>
      <x:c r="C3" s="17" t="str">
        <x:v>M0</x:v>
      </x:c>
      <x:c r="D3" s="17" t="str">
        <x:v>FOUNDATION</x:v>
      </x:c>
      <x:c r="E3" s="17" t="str">
        <x:v>P0</x:v>
      </x:c>
      <x:c r="F3" s="17" t="str">
        <x:v>只读盘点本机与仓库环境</x:v>
      </x:c>
      <x:c r="G3" s="17" t="str">
        <x:v>§15工程化要求、提示词包AGENTS.md</x:v>
      </x:c>
      <x:c r="H3" s="17"/>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x:c r="Q3" s="17" t="str">
        <x:v>codex/m0-m0-002</x:v>
      </x:c>
      <x:c r="R3" s="17" t="str">
        <x:v>codex/m0-m0-002</x:v>
      </x:c>
      <x:c r="S3" s="17" t="str">
        <x:v>96346b15c23debfff03cf8c328da51e26bc3669c</x:v>
      </x:c>
      <x:c r="T3" s="17"/>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n">
        <x:v>3</x:v>
      </x:c>
      <x:c r="C4" s="17" t="str">
        <x:v>M0</x:v>
      </x:c>
      <x:c r="D4" s="17" t="str">
        <x:v>FOUNDATION</x:v>
      </x:c>
      <x:c r="E4" s="17" t="str">
        <x:v>P0</x:v>
      </x:c>
      <x:c r="F4" s="17" t="str">
        <x:v>确认GitHub目标与协作边界</x:v>
      </x:c>
      <x:c r="G4" s="17" t="str">
        <x:v>§15工程化要求、提示词包AGENTS.md</x:v>
      </x:c>
      <x:c r="H4" s="17"/>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x:c r="Q4" s="17" t="str">
        <x:v>codex/m0-github</x:v>
      </x:c>
      <x:c r="R4" s="17" t="str">
        <x:v>codex/m0-github</x:v>
      </x:c>
      <x:c r="S4" s="17" t="str">
        <x:v>00346170e48733ebd1a46807a738deca0704848e</x:v>
      </x:c>
      <x:c r="T4" s="17"/>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n">
        <x:v>4</x:v>
      </x:c>
      <x:c r="C5" s="17" t="str">
        <x:v>M0</x:v>
      </x:c>
      <x:c r="D5" s="17" t="str">
        <x:v>FOUNDATION</x:v>
      </x:c>
      <x:c r="E5" s="17" t="str">
        <x:v>P0</x:v>
      </x:c>
      <x:c r="F5" s="17" t="str">
        <x:v>初始化pnpm workspace与Turborepo</x:v>
      </x:c>
      <x:c r="G5" s="17" t="str">
        <x:v>§15工程化要求、提示词包AGENTS.md</x:v>
      </x:c>
      <x:c r="H5" s="17"/>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x:c r="Q5" s="17" t="str">
        <x:v>codex/m0-pnpm-workspace-turborepo</x:v>
      </x:c>
      <x:c r="R5" s="17" t="str">
        <x:v>codex/m0-pnpm-workspace-turborepo</x:v>
      </x:c>
      <x:c r="S5" s="17" t="str">
        <x:v>9067c36c87949693bc53432a57b149314b592cc2</x:v>
      </x:c>
      <x:c r="T5" s="17"/>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n">
        <x:v>5</x:v>
      </x:c>
      <x:c r="C6" s="17" t="str">
        <x:v>M0</x:v>
      </x:c>
      <x:c r="D6" s="17" t="str">
        <x:v>FOUNDATION</x:v>
      </x:c>
      <x:c r="E6" s="17" t="str">
        <x:v>P0</x:v>
      </x:c>
      <x:c r="F6" s="17" t="str">
        <x:v>初始化NestJS/Prisma/MySQL/Redis/BullMQ底座</x:v>
      </x:c>
      <x:c r="G6" s="17" t="str">
        <x:v>§15工程化要求、提示词包AGENTS.md</x:v>
      </x:c>
      <x:c r="H6" s="17"/>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x:c r="Q6" s="17" t="str">
        <x:v>codex/m0-nestjs-prisma-mysql-redis-bullmq</x:v>
      </x:c>
      <x:c r="R6" s="17" t="str">
        <x:v>codex/m0-nestjs-prisma-mysql-redis-bullmq</x:v>
      </x:c>
      <x:c r="S6" s="17" t="str">
        <x:v>5c8764c16ec2064ea146e51898b0716e0b43bd36</x:v>
      </x:c>
      <x:c r="T6" s="17"/>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n">
        <x:v>6</x:v>
      </x:c>
      <x:c r="C7" s="17" t="str">
        <x:v>M0</x:v>
      </x:c>
      <x:c r="D7" s="17" t="str">
        <x:v>FOUNDATION</x:v>
      </x:c>
      <x:c r="E7" s="17" t="str">
        <x:v>P0</x:v>
      </x:c>
      <x:c r="F7" s="17" t="str">
        <x:v>初始化五端应用壳</x:v>
      </x:c>
      <x:c r="G7" s="17" t="str">
        <x:v>§15工程化要求、提示词包AGENTS.md</x:v>
      </x:c>
      <x:c r="H7" s="17"/>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x:c r="Q7" s="17" t="str">
        <x:v>codex/m0-m0-006</x:v>
      </x:c>
      <x:c r="R7" s="17" t="str">
        <x:v>codex/m0-m0-006</x:v>
      </x:c>
      <x:c r="S7" s="17" t="str">
        <x:v>a542c56b8e375c6331cc093d8f102d2bf837f5ea</x:v>
      </x:c>
      <x:c r="T7" s="17"/>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n">
        <x:v>7</x:v>
      </x:c>
      <x:c r="C8" s="17" t="str">
        <x:v>M0</x:v>
      </x:c>
      <x:c r="D8" s="17" t="str">
        <x:v>FOUNDATION</x:v>
      </x:c>
      <x:c r="E8" s="17" t="str">
        <x:v>P0</x:v>
      </x:c>
      <x:c r="F8" s="17" t="str">
        <x:v>建立配置Schema与秘密扫描</x:v>
      </x:c>
      <x:c r="G8" s="17" t="str">
        <x:v>§15工程化要求、提示词包AGENTS.md</x:v>
      </x:c>
      <x:c r="H8" s="17"/>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x:c r="Q8" s="17" t="str">
        <x:v>codex/m0-schema</x:v>
      </x:c>
      <x:c r="R8" s="17" t="str">
        <x:v>codex/m0-schema</x:v>
      </x:c>
      <x:c r="S8" s="17" t="str">
        <x:v>4d46293f668dcbd0dc5465ed65803e4fda9a3618</x:v>
      </x:c>
      <x:c r="T8" s="17"/>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n">
        <x:v>8</x:v>
      </x:c>
      <x:c r="C9" s="17" t="str">
        <x:v>M0</x:v>
      </x:c>
      <x:c r="D9" s="17" t="str">
        <x:v>FOUNDATION</x:v>
      </x:c>
      <x:c r="E9" s="17" t="str">
        <x:v>P0</x:v>
      </x:c>
      <x:c r="F9" s="17" t="str">
        <x:v>建立确定性OpenAPI、统一类型与传输适配</x:v>
      </x:c>
      <x:c r="G9" s="17" t="str">
        <x:v>§15.5 OpenAPI契约、§15.6门户渲染</x:v>
      </x:c>
      <x:c r="H9" s="17"/>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x:c r="Q9" s="17" t="str">
        <x:v>codex/m0-openapi-dto</x:v>
      </x:c>
      <x:c r="R9" s="17" t="str">
        <x:v>codex/m0-openapi-dto</x:v>
      </x:c>
      <x:c r="S9" s="17" t="str">
        <x:v>743142676f96530289259ec426c8689a30c0d315</x:v>
      </x:c>
      <x:c r="T9" s="17"/>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n">
        <x:v>9</x:v>
      </x:c>
      <x:c r="C10" s="17" t="str">
        <x:v>M0</x:v>
      </x:c>
      <x:c r="D10" s="17" t="str">
        <x:v>FOUNDATION</x:v>
      </x:c>
      <x:c r="E10" s="17" t="str">
        <x:v>P0</x:v>
      </x:c>
      <x:c r="F10" s="17" t="str">
        <x:v>建立测试金字塔与失败测试模板</x:v>
      </x:c>
      <x:c r="G10" s="17" t="str">
        <x:v>§15工程化要求、提示词包AGENTS.md</x:v>
      </x:c>
      <x:c r="H10" s="17"/>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x:c r="Q10" s="17" t="str">
        <x:v>codex/m0-m0-009</x:v>
      </x:c>
      <x:c r="R10" s="17" t="str">
        <x:v>codex/m0-m0-009</x:v>
      </x:c>
      <x:c r="S10" s="17" t="str">
        <x:v>4b93d52423b19eaabe65f01b56ec21b944d28d39</x:v>
      </x:c>
      <x:c r="T10" s="17"/>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n">
        <x:v>10</x:v>
      </x:c>
      <x:c r="C11" s="17" t="str">
        <x:v>M0</x:v>
      </x:c>
      <x:c r="D11" s="17" t="str">
        <x:v>FOUNDATION</x:v>
      </x:c>
      <x:c r="E11" s="17" t="str">
        <x:v>P0</x:v>
      </x:c>
      <x:c r="F11" s="17" t="str">
        <x:v>建立Prisma迁移与回滚演练</x:v>
      </x:c>
      <x:c r="G11" s="17" t="str">
        <x:v>§15工程化要求、提示词包AGENTS.md</x:v>
      </x:c>
      <x:c r="H11" s="17"/>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x:c r="Q11" s="17" t="str">
        <x:v>codex/m0-prisma</x:v>
      </x:c>
      <x:c r="R11" s="17" t="str">
        <x:v>codex/m0-prisma</x:v>
      </x:c>
      <x:c r="S11" s="17" t="str">
        <x:v>62ead13dfb9c6680a4c173fa09377ce6cf8e23b9</x:v>
      </x:c>
      <x:c r="T11" s="17"/>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n">
        <x:v>11</x:v>
      </x:c>
      <x:c r="C12" s="17" t="str">
        <x:v>M0</x:v>
      </x:c>
      <x:c r="D12" s="17" t="str">
        <x:v>FOUNDATION</x:v>
      </x:c>
      <x:c r="E12" s="17" t="str">
        <x:v>P0</x:v>
      </x:c>
      <x:c r="F12" s="17" t="str">
        <x:v>建立pnpm verify与GitHub CI门禁</x:v>
      </x:c>
      <x:c r="G12" s="17" t="str">
        <x:v>§15工程化要求、提示词包AGENTS.md</x:v>
      </x:c>
      <x:c r="H12" s="17"/>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x:c r="Q12" s="17" t="str">
        <x:v>codex/m0-pnpm-verify-github-ci</x:v>
      </x:c>
      <x:c r="R12" s="17" t="str">
        <x:v>codex/m0-pnpm-verify-github-ci</x:v>
      </x:c>
      <x:c r="S12" s="17" t="str">
        <x:v>6033fa14d52ab8ef847bfcb275747ec94d0c904a</x:v>
      </x:c>
      <x:c r="T12" s="17"/>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n">
        <x:v>12</x:v>
      </x:c>
      <x:c r="C13" s="17" t="str">
        <x:v>M0</x:v>
      </x:c>
      <x:c r="D13" s="17" t="str">
        <x:v>FOUNDATION</x:v>
      </x:c>
      <x:c r="E13" s="17" t="str">
        <x:v>P0</x:v>
      </x:c>
      <x:c r="F13" s="17" t="str">
        <x:v>形成M0交接证据包</x:v>
      </x:c>
      <x:c r="G13" s="17" t="str">
        <x:v>§15工程化要求、提示词包AGENTS.md</x:v>
      </x:c>
      <x:c r="H13" s="17"/>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x:c r="Q13" s="17" t="str">
        <x:v>codex/m0-m0</x:v>
      </x:c>
      <x:c r="R13" s="17" t="str">
        <x:v>codex/m0-m0-handoff</x:v>
      </x:c>
      <x:c r="S13" s="17" t="str">
        <x:v>a98c6edcbb356cd8b3209cf2695b44f36655bc93</x:v>
      </x:c>
      <x:c r="T13" s="17"/>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n">
        <x:v>13</x:v>
      </x:c>
      <x:c r="C14" s="17" t="str">
        <x:v>M0</x:v>
      </x:c>
      <x:c r="D14" s="17" t="str">
        <x:v>STAGE_GATE</x:v>
      </x:c>
      <x:c r="E14" s="17" t="str">
        <x:v>P0</x:v>
      </x:c>
      <x:c r="F14" s="17" t="str">
        <x:v>M0阶段门禁验收</x:v>
      </x:c>
      <x:c r="G14" s="17" t="str">
        <x:v>执行包§02</x:v>
      </x:c>
      <x:c r="H14" s="17"/>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n">
        <x:v>14</x:v>
      </x:c>
      <x:c r="C15" s="17" t="str">
        <x:v>M1</x:v>
      </x:c>
      <x:c r="D15" s="17" t="str">
        <x:v>CONTRACT_SLICE_PLAN</x:v>
      </x:c>
      <x:c r="E15" s="17" t="str">
        <x:v>P0</x:v>
      </x:c>
      <x:c r="F15" s="17" t="str">
        <x:v>冻结M1字段、状态机、权限与契约切片</x:v>
      </x:c>
      <x:c r="G15" s="17" t="str">
        <x:v>执行包字段/状态机/权限/API台账</x:v>
      </x:c>
      <x:c r="H15" s="17"/>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n">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n">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n">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n">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n">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n">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n">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n">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n">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n">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n">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n">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n">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n">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n">
        <x:v>29</x:v>
      </x:c>
      <x:c r="C30" s="17" t="str">
        <x:v>M1</x:v>
      </x:c>
      <x:c r="D30" s="17" t="str">
        <x:v>STAGE_GATE</x:v>
      </x:c>
      <x:c r="E30" s="17" t="str">
        <x:v>P0</x:v>
      </x:c>
      <x:c r="F30" s="17" t="str">
        <x:v>M1阶段门禁验收</x:v>
      </x:c>
      <x:c r="G30" s="17" t="str">
        <x:v>执行包§02</x:v>
      </x:c>
      <x:c r="H30" s="17"/>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n">
        <x:v>30</x:v>
      </x:c>
      <x:c r="C31" s="17" t="str">
        <x:v>M2</x:v>
      </x:c>
      <x:c r="D31" s="17" t="str">
        <x:v>CONTRACT_SLICE_PLAN</x:v>
      </x:c>
      <x:c r="E31" s="17" t="str">
        <x:v>P0</x:v>
      </x:c>
      <x:c r="F31" s="17" t="str">
        <x:v>冻结M2字段、状态机、权限与契约切片</x:v>
      </x:c>
      <x:c r="G31" s="17" t="str">
        <x:v>执行包字段/状态机/权限/API台账</x:v>
      </x:c>
      <x:c r="H31" s="17"/>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n">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n">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n">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n">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n">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46244.71050226852</x:v>
      </x:c>
      <x:c r="Y38" s="17" t="str">
        <x:v>PR #50精确head 4faae843 CI通过并按人工授权合并为main@9a85a641；合并后main CI run 31398383884通过。staging与production未执行。</x:v>
      </x:c>
    </x:row>
    <x:row r="39" ht="23" customHeight="1">
      <x:c r="A39" s="17" t="str">
        <x:v>M2-P013</x:v>
      </x:c>
      <x:c r="B39" s="17" t="n">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按原子提交回退；迁移仅向前修复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n">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按原子提交回退；迁移仅向前修复</x:v>
      </x:c>
      <x:c r="X40" s="17" t="n">
        <x:v>46245.12520833333</x:v>
      </x:c>
      <x:c r="Y40" s="17" t="str">
        <x:v>PR #54精确head 9bbaa92e的CI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IN_PROGRESS</x:v>
      </x:c>
      <x:c r="N44" s="17" t="str">
        <x:v>LOCAL_PASS</x:v>
      </x:c>
      <x:c r="O44" s="17" t="str">
        <x:v>CODEX</x:v>
      </x:c>
      <x:c r="P44" s="17" t="str">
        <x:v>https://github.com/EasyStep-lee/flt1/issues/61</x:v>
      </x:c>
      <x:c r="Q44" s="17" t="str">
        <x:v>codex/m2-m2-p018</x:v>
      </x:c>
      <x:c r="R44" s="17" t="str">
        <x:v>codex/m2-regulated-default-deny</x:v>
      </x:c>
      <x:c r="S44" s="17" t="str">
        <x:v>b026a720e74df968c0ccf1e7a38975fe2bd2c281</x:v>
      </x:c>
      <x:c r="T44" s="17" t="str"/>
      <x:c r="U44" s="17" t="str">
        <x:v>NOT_EXECUTED</x:v>
      </x:c>
      <x:c r="V44" s="17" t="str">
        <x:v>NO</x:v>
      </x:c>
      <x:c r="W44" s="17" t="str">
        <x:v>按原子提交回退；迁移仅向前修复</x:v>
      </x:c>
      <x:c r="X44" s="17" t="n">
        <x:v>46245.50976851852</x:v>
      </x:c>
      <x:c r="Y44" s="17" t="str">
        <x:v>RED 3/3因缺少强监管模式失败；GREEN覆盖默认关闭、资质有效期、模板、二次验证、幂等、只追加历史及审计脱敏；干净head b026a72完整pnpm verify 17/17、P0 E2E 44/44、迁移演练和706个tracked文件秘密扫描通过；Draft PR与精确head CI待执行，P019锁定。</x:v>
      </x:c>
    </x:row>
    <x:row r="45" ht="23" customHeight="1">
      <x:c r="A45" s="17" t="str">
        <x:v>M2-P019</x:v>
      </x:c>
      <x:c r="B45" s="17" t="n">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NOT_STARTED</x:v>
      </x:c>
      <x:c r="N45" s="17" t="str">
        <x:v>NOT_EXECUTED</x:v>
      </x:c>
      <x:c r="O45" s="17" t="str">
        <x:v>UNASSIGNED</x:v>
      </x:c>
      <x:c r="P45" s="17"/>
      <x:c r="Q45" s="17" t="str">
        <x:v>codex/m2-m2-p019</x:v>
      </x:c>
      <x:c r="R45" s="17"/>
      <x:c r="S45" s="17"/>
      <x:c r="T45" s="17"/>
      <x:c r="U45" s="17"/>
      <x:c r="V45" s="17" t="str">
        <x:v>NO</x:v>
      </x:c>
      <x:c r="W45" s="17" t="str">
        <x:v>按原子提交回退；迁移仅向前修复</x:v>
      </x:c>
      <x:c r="X45" s="17"/>
      <x:c r="Y45" s="17"/>
    </x:row>
    <x:row r="46" ht="23" customHeight="1">
      <x:c r="A46" s="17" t="str">
        <x:v>M2-P021</x:v>
      </x:c>
      <x:c r="B46" s="17" t="n">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NOT_STARTED</x:v>
      </x:c>
      <x:c r="N46" s="17" t="str">
        <x:v>NOT_EXECUTED</x:v>
      </x:c>
      <x:c r="O46" s="17" t="str">
        <x:v>UNASSIGNED</x:v>
      </x:c>
      <x:c r="P46" s="17"/>
      <x:c r="Q46" s="17" t="str">
        <x:v>codex/m2-m2-p021</x:v>
      </x:c>
      <x:c r="R46" s="17"/>
      <x:c r="S46" s="17"/>
      <x:c r="T46" s="17"/>
      <x:c r="U46" s="17"/>
      <x:c r="V46" s="17" t="str">
        <x:v>NO</x:v>
      </x:c>
      <x:c r="W46" s="17" t="str">
        <x:v>按原子提交回退；迁移仅向前修复</x:v>
      </x:c>
      <x:c r="X46" s="17"/>
      <x:c r="Y46" s="17"/>
    </x:row>
    <x:row r="47" ht="23" customHeight="1">
      <x:c r="A47" s="17" t="str">
        <x:v>M2-P061</x:v>
      </x:c>
      <x:c r="B47" s="17" t="n">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x:c r="Q47" s="17" t="str">
        <x:v>codex/m2-m2-p061</x:v>
      </x:c>
      <x:c r="R47" s="17"/>
      <x:c r="S47" s="17"/>
      <x:c r="T47" s="17"/>
      <x:c r="U47" s="17"/>
      <x:c r="V47" s="17" t="str">
        <x:v>NO</x:v>
      </x:c>
      <x:c r="W47" s="17" t="str">
        <x:v>按原子提交回退；迁移仅向前修复</x:v>
      </x:c>
      <x:c r="X47" s="17"/>
      <x:c r="Y47" s="17"/>
    </x:row>
    <x:row r="48" ht="23" customHeight="1">
      <x:c r="A48" s="17" t="str">
        <x:v>M2-P063</x:v>
      </x:c>
      <x:c r="B48" s="17" t="n">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x:c r="Q48" s="17" t="str">
        <x:v>codex/m2-m2-p063</x:v>
      </x:c>
      <x:c r="R48" s="17"/>
      <x:c r="S48" s="17"/>
      <x:c r="T48" s="17"/>
      <x:c r="U48" s="17"/>
      <x:c r="V48" s="17" t="str">
        <x:v>NO</x:v>
      </x:c>
      <x:c r="W48" s="17" t="str">
        <x:v>按原子提交回退；迁移仅向前修复</x:v>
      </x:c>
      <x:c r="X48" s="17"/>
      <x:c r="Y48" s="17"/>
    </x:row>
    <x:row r="49" ht="23" customHeight="1">
      <x:c r="A49" s="17" t="str">
        <x:v>M2-P071</x:v>
      </x:c>
      <x:c r="B49" s="17" t="n">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x:c r="Q49" s="17" t="str">
        <x:v>codex/m2-m2-p071</x:v>
      </x:c>
      <x:c r="R49" s="17"/>
      <x:c r="S49" s="17"/>
      <x:c r="T49" s="17"/>
      <x:c r="U49" s="17"/>
      <x:c r="V49" s="17" t="str">
        <x:v>NO</x:v>
      </x:c>
      <x:c r="W49" s="17" t="str">
        <x:v>按原子提交回退；迁移仅向前修复</x:v>
      </x:c>
      <x:c r="X49" s="17"/>
      <x:c r="Y49" s="17"/>
    </x:row>
    <x:row r="50" ht="23" customHeight="1">
      <x:c r="A50" s="17" t="str">
        <x:v>M2-GATE</x:v>
      </x:c>
      <x:c r="B50" s="17" t="n">
        <x:v>49</x:v>
      </x:c>
      <x:c r="C50" s="17" t="str">
        <x:v>M2</x:v>
      </x:c>
      <x:c r="D50" s="17" t="str">
        <x:v>STAGE_GATE</x:v>
      </x:c>
      <x:c r="E50" s="17" t="str">
        <x:v>P0</x:v>
      </x:c>
      <x:c r="F50" s="17" t="str">
        <x:v>M2阶段门禁验收</x:v>
      </x:c>
      <x:c r="G50" s="17" t="str">
        <x:v>执行包§02</x:v>
      </x:c>
      <x:c r="H50" s="17"/>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x:c r="Q50" s="17" t="str">
        <x:v>codex/m2-m2</x:v>
      </x:c>
      <x:c r="R50" s="17"/>
      <x:c r="S50" s="17"/>
      <x:c r="T50" s="17"/>
      <x:c r="U50" s="17"/>
      <x:c r="V50" s="17" t="str">
        <x:v>YES</x:v>
      </x:c>
      <x:c r="W50" s="17" t="str">
        <x:v>按原子提交回退；迁移仅向前修复</x:v>
      </x:c>
      <x:c r="X50" s="17"/>
      <x:c r="Y50" s="17"/>
    </x:row>
    <x:row r="51" ht="23" customHeight="1">
      <x:c r="A51" s="17" t="str">
        <x:v>M3-000</x:v>
      </x:c>
      <x:c r="B51" s="17" t="n">
        <x:v>50</x:v>
      </x:c>
      <x:c r="C51" s="17" t="str">
        <x:v>M3</x:v>
      </x:c>
      <x:c r="D51" s="17" t="str">
        <x:v>CONTRACT_SLICE_PLAN</x:v>
      </x:c>
      <x:c r="E51" s="17" t="str">
        <x:v>P0</x:v>
      </x:c>
      <x:c r="F51" s="17" t="str">
        <x:v>冻结M3字段、状态机、权限与契约切片</x:v>
      </x:c>
      <x:c r="G51" s="17" t="str">
        <x:v>执行包字段/状态机/权限/API台账</x:v>
      </x:c>
      <x:c r="H51" s="17"/>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x:c r="Q51" s="17" t="str">
        <x:v>codex/m3-m3</x:v>
      </x:c>
      <x:c r="R51" s="17"/>
      <x:c r="S51" s="17"/>
      <x:c r="T51" s="17"/>
      <x:c r="U51" s="17"/>
      <x:c r="V51" s="17" t="str">
        <x:v>NO</x:v>
      </x:c>
      <x:c r="W51" s="17" t="str">
        <x:v>按原子提交回退；迁移仅向前修复</x:v>
      </x:c>
      <x:c r="X51" s="17"/>
      <x:c r="Y51" s="17"/>
    </x:row>
    <x:row r="52" ht="23" customHeight="1">
      <x:c r="A52" s="17" t="str">
        <x:v>M3-P020</x:v>
      </x:c>
      <x:c r="B52" s="17" t="n">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x:c r="Q52" s="17" t="str">
        <x:v>codex/m3-m3-p020</x:v>
      </x:c>
      <x:c r="R52" s="17"/>
      <x:c r="S52" s="17"/>
      <x:c r="T52" s="17"/>
      <x:c r="U52" s="17"/>
      <x:c r="V52" s="17" t="str">
        <x:v>NO</x:v>
      </x:c>
      <x:c r="W52" s="17" t="str">
        <x:v>按原子提交回退；迁移仅向前修复</x:v>
      </x:c>
      <x:c r="X52" s="17"/>
      <x:c r="Y52" s="17"/>
    </x:row>
    <x:row r="53" ht="23" customHeight="1">
      <x:c r="A53" s="17" t="str">
        <x:v>M3-P022</x:v>
      </x:c>
      <x:c r="B53" s="17" t="n">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x:c r="Q53" s="17" t="str">
        <x:v>codex/m3-m3-p022</x:v>
      </x:c>
      <x:c r="R53" s="17"/>
      <x:c r="S53" s="17"/>
      <x:c r="T53" s="17"/>
      <x:c r="U53" s="17"/>
      <x:c r="V53" s="17" t="str">
        <x:v>NO</x:v>
      </x:c>
      <x:c r="W53" s="17" t="str">
        <x:v>按原子提交回退；迁移仅向前修复</x:v>
      </x:c>
      <x:c r="X53" s="17"/>
      <x:c r="Y53" s="17"/>
    </x:row>
    <x:row r="54" ht="23" customHeight="1">
      <x:c r="A54" s="17" t="str">
        <x:v>M3-P023</x:v>
      </x:c>
      <x:c r="B54" s="17" t="n">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x:c r="Q54" s="17" t="str">
        <x:v>codex/m3-m3-p023</x:v>
      </x:c>
      <x:c r="R54" s="17"/>
      <x:c r="S54" s="17"/>
      <x:c r="T54" s="17"/>
      <x:c r="U54" s="17"/>
      <x:c r="V54" s="17" t="str">
        <x:v>NO</x:v>
      </x:c>
      <x:c r="W54" s="17" t="str">
        <x:v>按原子提交回退；迁移仅向前修复</x:v>
      </x:c>
      <x:c r="X54" s="17"/>
      <x:c r="Y54" s="17"/>
    </x:row>
    <x:row r="55" ht="23" customHeight="1">
      <x:c r="A55" s="17" t="str">
        <x:v>M3-P024</x:v>
      </x:c>
      <x:c r="B55" s="17" t="n">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x:row>
    <x:row r="56" ht="23" customHeight="1">
      <x:c r="A56" s="17" t="str">
        <x:v>M3-P025</x:v>
      </x:c>
      <x:c r="B56" s="17" t="n">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x:c r="Q56" s="17" t="str">
        <x:v>codex/m3-m3-p025</x:v>
      </x:c>
      <x:c r="R56" s="17"/>
      <x:c r="S56" s="17"/>
      <x:c r="T56" s="17"/>
      <x:c r="U56" s="17"/>
      <x:c r="V56" s="17" t="str">
        <x:v>NO</x:v>
      </x:c>
      <x:c r="W56" s="17" t="str">
        <x:v>按原子提交回退；迁移仅向前修复</x:v>
      </x:c>
      <x:c r="X56" s="17"/>
      <x:c r="Y56" s="17"/>
    </x:row>
    <x:row r="57" ht="23" customHeight="1">
      <x:c r="A57" s="17" t="str">
        <x:v>M3-P026</x:v>
      </x:c>
      <x:c r="B57" s="17" t="n">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x:c r="Q57" s="17" t="str">
        <x:v>codex/m3-m3-p026</x:v>
      </x:c>
      <x:c r="R57" s="17"/>
      <x:c r="S57" s="17"/>
      <x:c r="T57" s="17"/>
      <x:c r="U57" s="17"/>
      <x:c r="V57" s="17" t="str">
        <x:v>YES</x:v>
      </x:c>
      <x:c r="W57" s="17" t="str">
        <x:v>按原子提交回退；迁移仅向前修复</x:v>
      </x:c>
      <x:c r="X57" s="17"/>
      <x:c r="Y57" s="17"/>
    </x:row>
    <x:row r="58" ht="23" customHeight="1">
      <x:c r="A58" s="17" t="str">
        <x:v>M3-P027</x:v>
      </x:c>
      <x:c r="B58" s="17" t="n">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x:c r="Q58" s="17" t="str">
        <x:v>codex/m3-m3-p027</x:v>
      </x:c>
      <x:c r="R58" s="17"/>
      <x:c r="S58" s="17"/>
      <x:c r="T58" s="17"/>
      <x:c r="U58" s="17"/>
      <x:c r="V58" s="17" t="str">
        <x:v>NO</x:v>
      </x:c>
      <x:c r="W58" s="17" t="str">
        <x:v>按原子提交回退；迁移仅向前修复</x:v>
      </x:c>
      <x:c r="X58" s="17"/>
      <x:c r="Y58" s="17"/>
    </x:row>
    <x:row r="59" ht="23" customHeight="1">
      <x:c r="A59" s="17" t="str">
        <x:v>M3-P028</x:v>
      </x:c>
      <x:c r="B59" s="17" t="n">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x:c r="Q59" s="17" t="str">
        <x:v>codex/m3-m3-p028</x:v>
      </x:c>
      <x:c r="R59" s="17"/>
      <x:c r="S59" s="17"/>
      <x:c r="T59" s="17"/>
      <x:c r="U59" s="17"/>
      <x:c r="V59" s="17" t="str">
        <x:v>YES</x:v>
      </x:c>
      <x:c r="W59" s="17" t="str">
        <x:v>按原子提交回退；迁移仅向前修复</x:v>
      </x:c>
      <x:c r="X59" s="17"/>
      <x:c r="Y59" s="17"/>
    </x:row>
    <x:row r="60" ht="23" customHeight="1">
      <x:c r="A60" s="17" t="str">
        <x:v>M3-P029</x:v>
      </x:c>
      <x:c r="B60" s="17" t="n">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x:c r="Q60" s="17" t="str">
        <x:v>codex/m3-m3-p029</x:v>
      </x:c>
      <x:c r="R60" s="17"/>
      <x:c r="S60" s="17"/>
      <x:c r="T60" s="17"/>
      <x:c r="U60" s="17"/>
      <x:c r="V60" s="17" t="str">
        <x:v>NO</x:v>
      </x:c>
      <x:c r="W60" s="17" t="str">
        <x:v>按原子提交回退；迁移仅向前修复</x:v>
      </x:c>
      <x:c r="X60" s="17"/>
      <x:c r="Y60" s="17"/>
    </x:row>
    <x:row r="61" ht="23" customHeight="1">
      <x:c r="A61" s="17" t="str">
        <x:v>M3-P030</x:v>
      </x:c>
      <x:c r="B61" s="17" t="n">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x:c r="Q61" s="17" t="str">
        <x:v>codex/m3-m3-p030</x:v>
      </x:c>
      <x:c r="R61" s="17"/>
      <x:c r="S61" s="17"/>
      <x:c r="T61" s="17"/>
      <x:c r="U61" s="17"/>
      <x:c r="V61" s="17" t="str">
        <x:v>NO</x:v>
      </x:c>
      <x:c r="W61" s="17" t="str">
        <x:v>按原子提交回退；迁移仅向前修复</x:v>
      </x:c>
      <x:c r="X61" s="17"/>
      <x:c r="Y61" s="17"/>
    </x:row>
    <x:row r="62" ht="23" customHeight="1">
      <x:c r="A62" s="17" t="str">
        <x:v>M3-P031</x:v>
      </x:c>
      <x:c r="B62" s="17" t="n">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x:c r="Q62" s="17" t="str">
        <x:v>codex/m3-m3-p031</x:v>
      </x:c>
      <x:c r="R62" s="17"/>
      <x:c r="S62" s="17"/>
      <x:c r="T62" s="17"/>
      <x:c r="U62" s="17"/>
      <x:c r="V62" s="17" t="str">
        <x:v>NO</x:v>
      </x:c>
      <x:c r="W62" s="17" t="str">
        <x:v>按原子提交回退；迁移仅向前修复</x:v>
      </x:c>
      <x:c r="X62" s="17"/>
      <x:c r="Y62" s="17"/>
    </x:row>
    <x:row r="63" ht="23" customHeight="1">
      <x:c r="A63" s="17" t="str">
        <x:v>M3-P051</x:v>
      </x:c>
      <x:c r="B63" s="17" t="n">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x:c r="Q63" s="17" t="str">
        <x:v>codex/m3-m3-p051</x:v>
      </x:c>
      <x:c r="R63" s="17"/>
      <x:c r="S63" s="17"/>
      <x:c r="T63" s="17"/>
      <x:c r="U63" s="17"/>
      <x:c r="V63" s="17" t="str">
        <x:v>YES</x:v>
      </x:c>
      <x:c r="W63" s="17" t="str">
        <x:v>按原子提交回退；迁移仅向前修复</x:v>
      </x:c>
      <x:c r="X63" s="17"/>
      <x:c r="Y63" s="17"/>
    </x:row>
    <x:row r="64" ht="23" customHeight="1">
      <x:c r="A64" s="17" t="str">
        <x:v>M3-P052</x:v>
      </x:c>
      <x:c r="B64" s="17" t="n">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x:c r="Q64" s="17" t="str">
        <x:v>codex/m3-m3-p052</x:v>
      </x:c>
      <x:c r="R64" s="17"/>
      <x:c r="S64" s="17"/>
      <x:c r="T64" s="17"/>
      <x:c r="U64" s="17"/>
      <x:c r="V64" s="17" t="str">
        <x:v>YES</x:v>
      </x:c>
      <x:c r="W64" s="17" t="str">
        <x:v>按原子提交回退；迁移仅向前修复</x:v>
      </x:c>
      <x:c r="X64" s="17"/>
      <x:c r="Y64" s="17"/>
    </x:row>
    <x:row r="65" ht="23" customHeight="1">
      <x:c r="A65" s="17" t="str">
        <x:v>M3-P053</x:v>
      </x:c>
      <x:c r="B65" s="17" t="n">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x:c r="Q65" s="17" t="str">
        <x:v>codex/m3-m3-p053</x:v>
      </x:c>
      <x:c r="R65" s="17"/>
      <x:c r="S65" s="17"/>
      <x:c r="T65" s="17"/>
      <x:c r="U65" s="17"/>
      <x:c r="V65" s="17" t="str">
        <x:v>YES</x:v>
      </x:c>
      <x:c r="W65" s="17" t="str">
        <x:v>按原子提交回退；迁移仅向前修复</x:v>
      </x:c>
      <x:c r="X65" s="17"/>
      <x:c r="Y65" s="17"/>
    </x:row>
    <x:row r="66" ht="23" customHeight="1">
      <x:c r="A66" s="17" t="str">
        <x:v>M3-P054</x:v>
      </x:c>
      <x:c r="B66" s="17" t="n">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x:c r="Q66" s="17" t="str">
        <x:v>codex/m3-m3-p054</x:v>
      </x:c>
      <x:c r="R66" s="17"/>
      <x:c r="S66" s="17"/>
      <x:c r="T66" s="17"/>
      <x:c r="U66" s="17"/>
      <x:c r="V66" s="17" t="str">
        <x:v>YES</x:v>
      </x:c>
      <x:c r="W66" s="17" t="str">
        <x:v>按原子提交回退；迁移仅向前修复</x:v>
      </x:c>
      <x:c r="X66" s="17"/>
      <x:c r="Y66" s="17"/>
    </x:row>
    <x:row r="67" ht="23" customHeight="1">
      <x:c r="A67" s="17" t="str">
        <x:v>M3-P055</x:v>
      </x:c>
      <x:c r="B67" s="17" t="n">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x:c r="Q67" s="17" t="str">
        <x:v>codex/m3-m3-p055</x:v>
      </x:c>
      <x:c r="R67" s="17"/>
      <x:c r="S67" s="17"/>
      <x:c r="T67" s="17"/>
      <x:c r="U67" s="17"/>
      <x:c r="V67" s="17" t="str">
        <x:v>YES</x:v>
      </x:c>
      <x:c r="W67" s="17" t="str">
        <x:v>按原子提交回退；迁移仅向前修复</x:v>
      </x:c>
      <x:c r="X67" s="17"/>
      <x:c r="Y67" s="17"/>
    </x:row>
    <x:row r="68" ht="23" customHeight="1">
      <x:c r="A68" s="17" t="str">
        <x:v>M3-P056</x:v>
      </x:c>
      <x:c r="B68" s="17" t="n">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x:c r="Q68" s="17" t="str">
        <x:v>codex/m3-m3-p056</x:v>
      </x:c>
      <x:c r="R68" s="17"/>
      <x:c r="S68" s="17"/>
      <x:c r="T68" s="17"/>
      <x:c r="U68" s="17"/>
      <x:c r="V68" s="17" t="str">
        <x:v>YES</x:v>
      </x:c>
      <x:c r="W68" s="17" t="str">
        <x:v>按原子提交回退；迁移仅向前修复</x:v>
      </x:c>
      <x:c r="X68" s="17"/>
      <x:c r="Y68" s="17"/>
    </x:row>
    <x:row r="69" ht="23" customHeight="1">
      <x:c r="A69" s="17" t="str">
        <x:v>M3-P057</x:v>
      </x:c>
      <x:c r="B69" s="17" t="n">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x:c r="Q69" s="17" t="str">
        <x:v>codex/m3-m3-p057</x:v>
      </x:c>
      <x:c r="R69" s="17"/>
      <x:c r="S69" s="17"/>
      <x:c r="T69" s="17"/>
      <x:c r="U69" s="17"/>
      <x:c r="V69" s="17" t="str">
        <x:v>YES</x:v>
      </x:c>
      <x:c r="W69" s="17" t="str">
        <x:v>按原子提交回退；迁移仅向前修复</x:v>
      </x:c>
      <x:c r="X69" s="17"/>
      <x:c r="Y69" s="17"/>
    </x:row>
    <x:row r="70" ht="23" customHeight="1">
      <x:c r="A70" s="17" t="str">
        <x:v>M3-P058</x:v>
      </x:c>
      <x:c r="B70" s="17" t="n">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x:c r="Q70" s="17" t="str">
        <x:v>codex/m3-m3-p058</x:v>
      </x:c>
      <x:c r="R70" s="17"/>
      <x:c r="S70" s="17"/>
      <x:c r="T70" s="17"/>
      <x:c r="U70" s="17"/>
      <x:c r="V70" s="17" t="str">
        <x:v>YES</x:v>
      </x:c>
      <x:c r="W70" s="17" t="str">
        <x:v>按原子提交回退；迁移仅向前修复</x:v>
      </x:c>
      <x:c r="X70" s="17"/>
      <x:c r="Y70" s="17"/>
    </x:row>
    <x:row r="71" ht="23" customHeight="1">
      <x:c r="A71" s="17" t="str">
        <x:v>M3-P059</x:v>
      </x:c>
      <x:c r="B71" s="17" t="n">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x:c r="Q71" s="17" t="str">
        <x:v>codex/m3-m3-p059</x:v>
      </x:c>
      <x:c r="R71" s="17"/>
      <x:c r="S71" s="17"/>
      <x:c r="T71" s="17"/>
      <x:c r="U71" s="17"/>
      <x:c r="V71" s="17" t="str">
        <x:v>NO</x:v>
      </x:c>
      <x:c r="W71" s="17" t="str">
        <x:v>按原子提交回退；迁移仅向前修复</x:v>
      </x:c>
      <x:c r="X71" s="17"/>
      <x:c r="Y71" s="17"/>
    </x:row>
    <x:row r="72" ht="23" customHeight="1">
      <x:c r="A72" s="17" t="str">
        <x:v>M3-P062</x:v>
      </x:c>
      <x:c r="B72" s="17" t="n">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x:c r="Q72" s="17" t="str">
        <x:v>codex/m3-m3-p062</x:v>
      </x:c>
      <x:c r="R72" s="17"/>
      <x:c r="S72" s="17"/>
      <x:c r="T72" s="17"/>
      <x:c r="U72" s="17"/>
      <x:c r="V72" s="17" t="str">
        <x:v>NO</x:v>
      </x:c>
      <x:c r="W72" s="17" t="str">
        <x:v>按原子提交回退；迁移仅向前修复</x:v>
      </x:c>
      <x:c r="X72" s="17"/>
      <x:c r="Y72" s="17"/>
    </x:row>
    <x:row r="73" ht="23" customHeight="1">
      <x:c r="A73" s="17" t="str">
        <x:v>M3-P073</x:v>
      </x:c>
      <x:c r="B73" s="17" t="n">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x:c r="Q73" s="17" t="str">
        <x:v>codex/m3-m3-p073</x:v>
      </x:c>
      <x:c r="R73" s="17"/>
      <x:c r="S73" s="17"/>
      <x:c r="T73" s="17"/>
      <x:c r="U73" s="17"/>
      <x:c r="V73" s="17" t="str">
        <x:v>NO</x:v>
      </x:c>
      <x:c r="W73" s="17" t="str">
        <x:v>按原子提交回退；迁移仅向前修复</x:v>
      </x:c>
      <x:c r="X73" s="17"/>
      <x:c r="Y73" s="17"/>
    </x:row>
    <x:row r="74" ht="23" customHeight="1">
      <x:c r="A74" s="17" t="str">
        <x:v>M3-P074</x:v>
      </x:c>
      <x:c r="B74" s="17" t="n">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x:c r="Q74" s="17" t="str">
        <x:v>codex/m3-m3-p074</x:v>
      </x:c>
      <x:c r="R74" s="17"/>
      <x:c r="S74" s="17"/>
      <x:c r="T74" s="17"/>
      <x:c r="U74" s="17"/>
      <x:c r="V74" s="17" t="str">
        <x:v>NO</x:v>
      </x:c>
      <x:c r="W74" s="17" t="str">
        <x:v>按原子提交回退；迁移仅向前修复</x:v>
      </x:c>
      <x:c r="X74" s="17"/>
      <x:c r="Y74" s="17"/>
    </x:row>
    <x:row r="75" ht="23" customHeight="1">
      <x:c r="A75" s="17" t="str">
        <x:v>M3-P075</x:v>
      </x:c>
      <x:c r="B75" s="17" t="n">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x:c r="Q75" s="17" t="str">
        <x:v>codex/m3-m3-p075</x:v>
      </x:c>
      <x:c r="R75" s="17"/>
      <x:c r="S75" s="17"/>
      <x:c r="T75" s="17"/>
      <x:c r="U75" s="17"/>
      <x:c r="V75" s="17" t="str">
        <x:v>NO</x:v>
      </x:c>
      <x:c r="W75" s="17" t="str">
        <x:v>按原子提交回退；迁移仅向前修复</x:v>
      </x:c>
      <x:c r="X75" s="17"/>
      <x:c r="Y75" s="17"/>
    </x:row>
    <x:row r="76" ht="23" customHeight="1">
      <x:c r="A76" s="17" t="str">
        <x:v>M3-P076</x:v>
      </x:c>
      <x:c r="B76" s="17" t="n">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x:c r="Q76" s="17" t="str">
        <x:v>codex/m3-m3-p076</x:v>
      </x:c>
      <x:c r="R76" s="17"/>
      <x:c r="S76" s="17"/>
      <x:c r="T76" s="17"/>
      <x:c r="U76" s="17"/>
      <x:c r="V76" s="17" t="str">
        <x:v>NO</x:v>
      </x:c>
      <x:c r="W76" s="17" t="str">
        <x:v>按原子提交回退；迁移仅向前修复</x:v>
      </x:c>
      <x:c r="X76" s="17"/>
      <x:c r="Y76" s="17"/>
    </x:row>
    <x:row r="77" ht="23" customHeight="1">
      <x:c r="A77" s="17" t="str">
        <x:v>M3-P077</x:v>
      </x:c>
      <x:c r="B77" s="17" t="n">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x:c r="Q77" s="17" t="str">
        <x:v>codex/m3-m3-p077</x:v>
      </x:c>
      <x:c r="R77" s="17"/>
      <x:c r="S77" s="17"/>
      <x:c r="T77" s="17"/>
      <x:c r="U77" s="17"/>
      <x:c r="V77" s="17" t="str">
        <x:v>YES</x:v>
      </x:c>
      <x:c r="W77" s="17" t="str">
        <x:v>按原子提交回退；迁移仅向前修复</x:v>
      </x:c>
      <x:c r="X77" s="17"/>
      <x:c r="Y77" s="17"/>
    </x:row>
    <x:row r="78" ht="23" customHeight="1">
      <x:c r="A78" s="17" t="str">
        <x:v>M3-P078</x:v>
      </x:c>
      <x:c r="B78" s="17" t="n">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x:c r="Q78" s="17" t="str">
        <x:v>codex/m3-m3-p078</x:v>
      </x:c>
      <x:c r="R78" s="17"/>
      <x:c r="S78" s="17"/>
      <x:c r="T78" s="17"/>
      <x:c r="U78" s="17"/>
      <x:c r="V78" s="17" t="str">
        <x:v>NO</x:v>
      </x:c>
      <x:c r="W78" s="17" t="str">
        <x:v>按原子提交回退；迁移仅向前修复</x:v>
      </x:c>
      <x:c r="X78" s="17"/>
      <x:c r="Y78" s="17"/>
    </x:row>
    <x:row r="79" ht="23" customHeight="1">
      <x:c r="A79" s="17" t="str">
        <x:v>M3-P079</x:v>
      </x:c>
      <x:c r="B79" s="17" t="n">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x:c r="Q79" s="17" t="str">
        <x:v>codex/m3-m3-p079</x:v>
      </x:c>
      <x:c r="R79" s="17"/>
      <x:c r="S79" s="17"/>
      <x:c r="T79" s="17"/>
      <x:c r="U79" s="17"/>
      <x:c r="V79" s="17" t="str">
        <x:v>NO</x:v>
      </x:c>
      <x:c r="W79" s="17" t="str">
        <x:v>按原子提交回退；迁移仅向前修复</x:v>
      </x:c>
      <x:c r="X79" s="17"/>
      <x:c r="Y79" s="17"/>
    </x:row>
    <x:row r="80" ht="23" customHeight="1">
      <x:c r="A80" s="17" t="str">
        <x:v>M3-P080</x:v>
      </x:c>
      <x:c r="B80" s="17" t="n">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x:c r="Q80" s="17" t="str">
        <x:v>codex/m3-m3-p080</x:v>
      </x:c>
      <x:c r="R80" s="17"/>
      <x:c r="S80" s="17"/>
      <x:c r="T80" s="17"/>
      <x:c r="U80" s="17"/>
      <x:c r="V80" s="17" t="str">
        <x:v>NO</x:v>
      </x:c>
      <x:c r="W80" s="17" t="str">
        <x:v>按原子提交回退；迁移仅向前修复</x:v>
      </x:c>
      <x:c r="X80" s="17"/>
      <x:c r="Y80" s="17"/>
    </x:row>
    <x:row r="81" ht="23" customHeight="1">
      <x:c r="A81" s="17" t="str">
        <x:v>M3-P081</x:v>
      </x:c>
      <x:c r="B81" s="17" t="n">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x:c r="Q81" s="17" t="str">
        <x:v>codex/m3-m3-p081</x:v>
      </x:c>
      <x:c r="R81" s="17"/>
      <x:c r="S81" s="17"/>
      <x:c r="T81" s="17"/>
      <x:c r="U81" s="17"/>
      <x:c r="V81" s="17" t="str">
        <x:v>NO</x:v>
      </x:c>
      <x:c r="W81" s="17" t="str">
        <x:v>按原子提交回退；迁移仅向前修复</x:v>
      </x:c>
      <x:c r="X81" s="17"/>
      <x:c r="Y81" s="17"/>
    </x:row>
    <x:row r="82" ht="23" customHeight="1">
      <x:c r="A82" s="17" t="str">
        <x:v>M3-P083</x:v>
      </x:c>
      <x:c r="B82" s="17" t="n">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x:c r="Q82" s="17" t="str">
        <x:v>codex/m3-m3-p083</x:v>
      </x:c>
      <x:c r="R82" s="17"/>
      <x:c r="S82" s="17"/>
      <x:c r="T82" s="17"/>
      <x:c r="U82" s="17"/>
      <x:c r="V82" s="17" t="str">
        <x:v>YES</x:v>
      </x:c>
      <x:c r="W82" s="17" t="str">
        <x:v>按原子提交回退；迁移仅向前修复</x:v>
      </x:c>
      <x:c r="X82" s="17"/>
      <x:c r="Y82" s="17"/>
    </x:row>
    <x:row r="83" ht="23" customHeight="1">
      <x:c r="A83" s="17" t="str">
        <x:v>M3-P084</x:v>
      </x:c>
      <x:c r="B83" s="17" t="n">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x:c r="Q83" s="17" t="str">
        <x:v>codex/m3-m3-p084</x:v>
      </x:c>
      <x:c r="R83" s="17"/>
      <x:c r="S83" s="17"/>
      <x:c r="T83" s="17"/>
      <x:c r="U83" s="17"/>
      <x:c r="V83" s="17" t="str">
        <x:v>YES</x:v>
      </x:c>
      <x:c r="W83" s="17" t="str">
        <x:v>按原子提交回退；迁移仅向前修复</x:v>
      </x:c>
      <x:c r="X83" s="17"/>
      <x:c r="Y83" s="17"/>
    </x:row>
    <x:row r="84" ht="23" customHeight="1">
      <x:c r="A84" s="17" t="str">
        <x:v>M3-P085</x:v>
      </x:c>
      <x:c r="B84" s="17" t="n">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x:c r="Q84" s="17" t="str">
        <x:v>codex/m3-m3-p085</x:v>
      </x:c>
      <x:c r="R84" s="17"/>
      <x:c r="S84" s="17"/>
      <x:c r="T84" s="17"/>
      <x:c r="U84" s="17"/>
      <x:c r="V84" s="17" t="str">
        <x:v>YES</x:v>
      </x:c>
      <x:c r="W84" s="17" t="str">
        <x:v>按原子提交回退；迁移仅向前修复</x:v>
      </x:c>
      <x:c r="X84" s="17"/>
      <x:c r="Y84" s="17"/>
    </x:row>
    <x:row r="85" ht="23" customHeight="1">
      <x:c r="A85" s="17" t="str">
        <x:v>M3-P086</x:v>
      </x:c>
      <x:c r="B85" s="17" t="n">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x:c r="Q85" s="17" t="str">
        <x:v>codex/m3-m3-p086</x:v>
      </x:c>
      <x:c r="R85" s="17"/>
      <x:c r="S85" s="17"/>
      <x:c r="T85" s="17"/>
      <x:c r="U85" s="17"/>
      <x:c r="V85" s="17" t="str">
        <x:v>YES</x:v>
      </x:c>
      <x:c r="W85" s="17" t="str">
        <x:v>按原子提交回退；迁移仅向前修复</x:v>
      </x:c>
      <x:c r="X85" s="17"/>
      <x:c r="Y85" s="17"/>
    </x:row>
    <x:row r="86" ht="23" customHeight="1">
      <x:c r="A86" s="17" t="str">
        <x:v>M3-P087</x:v>
      </x:c>
      <x:c r="B86" s="17" t="n">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x:c r="Q86" s="17" t="str">
        <x:v>codex/m3-m3-p087</x:v>
      </x:c>
      <x:c r="R86" s="17"/>
      <x:c r="S86" s="17"/>
      <x:c r="T86" s="17"/>
      <x:c r="U86" s="17"/>
      <x:c r="V86" s="17" t="str">
        <x:v>YES</x:v>
      </x:c>
      <x:c r="W86" s="17" t="str">
        <x:v>按原子提交回退；迁移仅向前修复</x:v>
      </x:c>
      <x:c r="X86" s="17"/>
      <x:c r="Y86" s="17"/>
    </x:row>
    <x:row r="87" ht="23" customHeight="1">
      <x:c r="A87" s="17" t="str">
        <x:v>M3-P088</x:v>
      </x:c>
      <x:c r="B87" s="17" t="n">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x:c r="Q87" s="17" t="str">
        <x:v>codex/m3-m3-p088</x:v>
      </x:c>
      <x:c r="R87" s="17"/>
      <x:c r="S87" s="17"/>
      <x:c r="T87" s="17"/>
      <x:c r="U87" s="17"/>
      <x:c r="V87" s="17" t="str">
        <x:v>YES</x:v>
      </x:c>
      <x:c r="W87" s="17" t="str">
        <x:v>按原子提交回退；迁移仅向前修复</x:v>
      </x:c>
      <x:c r="X87" s="17"/>
      <x:c r="Y87" s="17"/>
    </x:row>
    <x:row r="88" ht="23" customHeight="1">
      <x:c r="A88" s="17" t="str">
        <x:v>M3-P089</x:v>
      </x:c>
      <x:c r="B88" s="17" t="n">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x:c r="Q88" s="17" t="str">
        <x:v>codex/m3-m3-p089</x:v>
      </x:c>
      <x:c r="R88" s="17"/>
      <x:c r="S88" s="17"/>
      <x:c r="T88" s="17"/>
      <x:c r="U88" s="17"/>
      <x:c r="V88" s="17" t="str">
        <x:v>YES</x:v>
      </x:c>
      <x:c r="W88" s="17" t="str">
        <x:v>按原子提交回退；迁移仅向前修复</x:v>
      </x:c>
      <x:c r="X88" s="17"/>
      <x:c r="Y88" s="17"/>
    </x:row>
    <x:row r="89" ht="23" customHeight="1">
      <x:c r="A89" s="17" t="str">
        <x:v>M3-P090</x:v>
      </x:c>
      <x:c r="B89" s="17" t="n">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x:c r="Q89" s="17" t="str">
        <x:v>codex/m3-m3-p090</x:v>
      </x:c>
      <x:c r="R89" s="17"/>
      <x:c r="S89" s="17"/>
      <x:c r="T89" s="17"/>
      <x:c r="U89" s="17"/>
      <x:c r="V89" s="17" t="str">
        <x:v>YES</x:v>
      </x:c>
      <x:c r="W89" s="17" t="str">
        <x:v>按原子提交回退；迁移仅向前修复</x:v>
      </x:c>
      <x:c r="X89" s="17"/>
      <x:c r="Y89" s="17"/>
    </x:row>
    <x:row r="90" ht="23" customHeight="1">
      <x:c r="A90" s="17" t="str">
        <x:v>M3-P091</x:v>
      </x:c>
      <x:c r="B90" s="17" t="n">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x:c r="Q90" s="17" t="str">
        <x:v>codex/m3-m3-p091</x:v>
      </x:c>
      <x:c r="R90" s="17"/>
      <x:c r="S90" s="17"/>
      <x:c r="T90" s="17"/>
      <x:c r="U90" s="17"/>
      <x:c r="V90" s="17" t="str">
        <x:v>YES</x:v>
      </x:c>
      <x:c r="W90" s="17" t="str">
        <x:v>按原子提交回退；迁移仅向前修复</x:v>
      </x:c>
      <x:c r="X90" s="17"/>
      <x:c r="Y90" s="17"/>
    </x:row>
    <x:row r="91" ht="23" customHeight="1">
      <x:c r="A91" s="17" t="str">
        <x:v>M3-P092</x:v>
      </x:c>
      <x:c r="B91" s="17" t="n">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x:c r="Q91" s="17" t="str">
        <x:v>codex/m3-m3-p092</x:v>
      </x:c>
      <x:c r="R91" s="17"/>
      <x:c r="S91" s="17"/>
      <x:c r="T91" s="17"/>
      <x:c r="U91" s="17"/>
      <x:c r="V91" s="17" t="str">
        <x:v>YES</x:v>
      </x:c>
      <x:c r="W91" s="17" t="str">
        <x:v>按原子提交回退；迁移仅向前修复</x:v>
      </x:c>
      <x:c r="X91" s="17"/>
      <x:c r="Y91" s="17"/>
    </x:row>
    <x:row r="92" ht="23" customHeight="1">
      <x:c r="A92" s="17" t="str">
        <x:v>M3-P093</x:v>
      </x:c>
      <x:c r="B92" s="17" t="n">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x:c r="Q92" s="17" t="str">
        <x:v>codex/m3-m3-p093</x:v>
      </x:c>
      <x:c r="R92" s="17"/>
      <x:c r="S92" s="17"/>
      <x:c r="T92" s="17"/>
      <x:c r="U92" s="17"/>
      <x:c r="V92" s="17" t="str">
        <x:v>YES</x:v>
      </x:c>
      <x:c r="W92" s="17" t="str">
        <x:v>按原子提交回退；迁移仅向前修复</x:v>
      </x:c>
      <x:c r="X92" s="17"/>
      <x:c r="Y92" s="17"/>
    </x:row>
    <x:row r="93" ht="23" customHeight="1">
      <x:c r="A93" s="17" t="str">
        <x:v>M3-P094</x:v>
      </x:c>
      <x:c r="B93" s="17" t="n">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x:c r="Q93" s="17" t="str">
        <x:v>codex/m3-m3-p094</x:v>
      </x:c>
      <x:c r="R93" s="17"/>
      <x:c r="S93" s="17"/>
      <x:c r="T93" s="17"/>
      <x:c r="U93" s="17"/>
      <x:c r="V93" s="17" t="str">
        <x:v>YES</x:v>
      </x:c>
      <x:c r="W93" s="17" t="str">
        <x:v>按原子提交回退；迁移仅向前修复</x:v>
      </x:c>
      <x:c r="X93" s="17"/>
      <x:c r="Y93" s="17"/>
    </x:row>
    <x:row r="94" ht="23" customHeight="1">
      <x:c r="A94" s="17" t="str">
        <x:v>M3-P096</x:v>
      </x:c>
      <x:c r="B94" s="17" t="n">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x:c r="Q94" s="17" t="str">
        <x:v>codex/m3-m3-p096</x:v>
      </x:c>
      <x:c r="R94" s="17"/>
      <x:c r="S94" s="17"/>
      <x:c r="T94" s="17"/>
      <x:c r="U94" s="17"/>
      <x:c r="V94" s="17" t="str">
        <x:v>YES</x:v>
      </x:c>
      <x:c r="W94" s="17" t="str">
        <x:v>按原子提交回退；迁移仅向前修复</x:v>
      </x:c>
      <x:c r="X94" s="17"/>
      <x:c r="Y94" s="17"/>
    </x:row>
    <x:row r="95" ht="23" customHeight="1">
      <x:c r="A95" s="17" t="str">
        <x:v>M3-P097</x:v>
      </x:c>
      <x:c r="B95" s="17" t="n">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x:c r="Q95" s="17" t="str">
        <x:v>codex/m3-m3-p097</x:v>
      </x:c>
      <x:c r="R95" s="17"/>
      <x:c r="S95" s="17"/>
      <x:c r="T95" s="17"/>
      <x:c r="U95" s="17"/>
      <x:c r="V95" s="17" t="str">
        <x:v>YES</x:v>
      </x:c>
      <x:c r="W95" s="17" t="str">
        <x:v>按原子提交回退；迁移仅向前修复</x:v>
      </x:c>
      <x:c r="X95" s="17"/>
      <x:c r="Y95" s="17"/>
    </x:row>
    <x:row r="96" ht="23" customHeight="1">
      <x:c r="A96" s="17" t="str">
        <x:v>M3-P098</x:v>
      </x:c>
      <x:c r="B96" s="17" t="n">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x:c r="Q96" s="17" t="str">
        <x:v>codex/m3-m3-p098</x:v>
      </x:c>
      <x:c r="R96" s="17"/>
      <x:c r="S96" s="17"/>
      <x:c r="T96" s="17"/>
      <x:c r="U96" s="17"/>
      <x:c r="V96" s="17" t="str">
        <x:v>YES</x:v>
      </x:c>
      <x:c r="W96" s="17" t="str">
        <x:v>按原子提交回退；迁移仅向前修复</x:v>
      </x:c>
      <x:c r="X96" s="17"/>
      <x:c r="Y96" s="17"/>
    </x:row>
    <x:row r="97" ht="23" customHeight="1">
      <x:c r="A97" s="17" t="str">
        <x:v>M3-GATE</x:v>
      </x:c>
      <x:c r="B97" s="17" t="n">
        <x:v>96</x:v>
      </x:c>
      <x:c r="C97" s="17" t="str">
        <x:v>M3</x:v>
      </x:c>
      <x:c r="D97" s="17" t="str">
        <x:v>STAGE_GATE</x:v>
      </x:c>
      <x:c r="E97" s="17" t="str">
        <x:v>P0</x:v>
      </x:c>
      <x:c r="F97" s="17" t="str">
        <x:v>M3阶段门禁验收</x:v>
      </x:c>
      <x:c r="G97" s="17" t="str">
        <x:v>执行包§02</x:v>
      </x:c>
      <x:c r="H97" s="17"/>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x:c r="Q97" s="17" t="str">
        <x:v>codex/m3-m3</x:v>
      </x:c>
      <x:c r="R97" s="17"/>
      <x:c r="S97" s="17"/>
      <x:c r="T97" s="17"/>
      <x:c r="U97" s="17"/>
      <x:c r="V97" s="17" t="str">
        <x:v>YES</x:v>
      </x:c>
      <x:c r="W97" s="17" t="str">
        <x:v>按原子提交回退；迁移仅向前修复</x:v>
      </x:c>
      <x:c r="X97" s="17"/>
      <x:c r="Y97" s="17"/>
    </x:row>
    <x:row r="98" ht="23" customHeight="1">
      <x:c r="A98" s="17" t="str">
        <x:v>M4-000</x:v>
      </x:c>
      <x:c r="B98" s="17" t="n">
        <x:v>97</x:v>
      </x:c>
      <x:c r="C98" s="17" t="str">
        <x:v>M4</x:v>
      </x:c>
      <x:c r="D98" s="17" t="str">
        <x:v>CONTRACT_SLICE_PLAN</x:v>
      </x:c>
      <x:c r="E98" s="17" t="str">
        <x:v>P0</x:v>
      </x:c>
      <x:c r="F98" s="17" t="str">
        <x:v>冻结M4字段、状态机、权限与契约切片</x:v>
      </x:c>
      <x:c r="G98" s="17" t="str">
        <x:v>执行包字段/状态机/权限/API台账</x:v>
      </x:c>
      <x:c r="H98" s="17"/>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x:c r="Q98" s="17" t="str">
        <x:v>codex/m4-m4</x:v>
      </x:c>
      <x:c r="R98" s="17"/>
      <x:c r="S98" s="17"/>
      <x:c r="T98" s="17"/>
      <x:c r="U98" s="17"/>
      <x:c r="V98" s="17" t="str">
        <x:v>NO</x:v>
      </x:c>
      <x:c r="W98" s="17" t="str">
        <x:v>按原子提交回退；迁移仅向前修复</x:v>
      </x:c>
      <x:c r="X98" s="17"/>
      <x:c r="Y98" s="17"/>
    </x:row>
    <x:row r="99" ht="23" customHeight="1">
      <x:c r="A99" s="17" t="str">
        <x:v>M4-P032</x:v>
      </x:c>
      <x:c r="B99" s="17" t="n">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x:c r="Q99" s="17" t="str">
        <x:v>codex/m4-m4-p032</x:v>
      </x:c>
      <x:c r="R99" s="17"/>
      <x:c r="S99" s="17"/>
      <x:c r="T99" s="17"/>
      <x:c r="U99" s="17"/>
      <x:c r="V99" s="17" t="str">
        <x:v>NO</x:v>
      </x:c>
      <x:c r="W99" s="17" t="str">
        <x:v>按原子提交回退；迁移仅向前修复</x:v>
      </x:c>
      <x:c r="X99" s="17"/>
      <x:c r="Y99" s="17"/>
    </x:row>
    <x:row r="100" ht="23" customHeight="1">
      <x:c r="A100" s="17" t="str">
        <x:v>M4-P033</x:v>
      </x:c>
      <x:c r="B100" s="17" t="n">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x:c r="Q100" s="17" t="str">
        <x:v>codex/m4-m4-p033</x:v>
      </x:c>
      <x:c r="R100" s="17"/>
      <x:c r="S100" s="17"/>
      <x:c r="T100" s="17"/>
      <x:c r="U100" s="17"/>
      <x:c r="V100" s="17" t="str">
        <x:v>NO</x:v>
      </x:c>
      <x:c r="W100" s="17" t="str">
        <x:v>按原子提交回退；迁移仅向前修复</x:v>
      </x:c>
      <x:c r="X100" s="17"/>
      <x:c r="Y100" s="17"/>
    </x:row>
    <x:row r="101" ht="23" customHeight="1">
      <x:c r="A101" s="17" t="str">
        <x:v>M4-P034</x:v>
      </x:c>
      <x:c r="B101" s="17" t="n">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x:c r="Q101" s="17" t="str">
        <x:v>codex/m4-m4-p034</x:v>
      </x:c>
      <x:c r="R101" s="17"/>
      <x:c r="S101" s="17"/>
      <x:c r="T101" s="17"/>
      <x:c r="U101" s="17"/>
      <x:c r="V101" s="17" t="str">
        <x:v>NO</x:v>
      </x:c>
      <x:c r="W101" s="17" t="str">
        <x:v>按原子提交回退；迁移仅向前修复</x:v>
      </x:c>
      <x:c r="X101" s="17"/>
      <x:c r="Y101" s="17"/>
    </x:row>
    <x:row r="102" ht="23" customHeight="1">
      <x:c r="A102" s="17" t="str">
        <x:v>M4-P035</x:v>
      </x:c>
      <x:c r="B102" s="17" t="n">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x:c r="Q102" s="17" t="str">
        <x:v>codex/m4-m4-p035</x:v>
      </x:c>
      <x:c r="R102" s="17"/>
      <x:c r="S102" s="17"/>
      <x:c r="T102" s="17"/>
      <x:c r="U102" s="17"/>
      <x:c r="V102" s="17" t="str">
        <x:v>NO</x:v>
      </x:c>
      <x:c r="W102" s="17" t="str">
        <x:v>按原子提交回退；迁移仅向前修复</x:v>
      </x:c>
      <x:c r="X102" s="17"/>
      <x:c r="Y102" s="17"/>
    </x:row>
    <x:row r="103" ht="23" customHeight="1">
      <x:c r="A103" s="17" t="str">
        <x:v>M4-P036</x:v>
      </x:c>
      <x:c r="B103" s="17" t="n">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x:c r="Q103" s="17" t="str">
        <x:v>codex/m4-m4-p036</x:v>
      </x:c>
      <x:c r="R103" s="17"/>
      <x:c r="S103" s="17"/>
      <x:c r="T103" s="17"/>
      <x:c r="U103" s="17"/>
      <x:c r="V103" s="17" t="str">
        <x:v>NO</x:v>
      </x:c>
      <x:c r="W103" s="17" t="str">
        <x:v>按原子提交回退；迁移仅向前修复</x:v>
      </x:c>
      <x:c r="X103" s="17"/>
      <x:c r="Y103" s="17"/>
    </x:row>
    <x:row r="104" ht="23" customHeight="1">
      <x:c r="A104" s="17" t="str">
        <x:v>M4-P037</x:v>
      </x:c>
      <x:c r="B104" s="17" t="n">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x:c r="Q104" s="17" t="str">
        <x:v>codex/m4-m4-p037</x:v>
      </x:c>
      <x:c r="R104" s="17"/>
      <x:c r="S104" s="17"/>
      <x:c r="T104" s="17"/>
      <x:c r="U104" s="17"/>
      <x:c r="V104" s="17" t="str">
        <x:v>NO</x:v>
      </x:c>
      <x:c r="W104" s="17" t="str">
        <x:v>按原子提交回退；迁移仅向前修复</x:v>
      </x:c>
      <x:c r="X104" s="17"/>
      <x:c r="Y104" s="17"/>
    </x:row>
    <x:row r="105" ht="23" customHeight="1">
      <x:c r="A105" s="17" t="str">
        <x:v>M4-P064</x:v>
      </x:c>
      <x:c r="B105" s="17" t="n">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x:c r="Q105" s="17" t="str">
        <x:v>codex/m4-m4-p064</x:v>
      </x:c>
      <x:c r="R105" s="17"/>
      <x:c r="S105" s="17"/>
      <x:c r="T105" s="17"/>
      <x:c r="U105" s="17"/>
      <x:c r="V105" s="17" t="str">
        <x:v>YES</x:v>
      </x:c>
      <x:c r="W105" s="17" t="str">
        <x:v>按原子提交回退；迁移仅向前修复</x:v>
      </x:c>
      <x:c r="X105" s="17"/>
      <x:c r="Y105" s="17"/>
    </x:row>
    <x:row r="106" ht="23" customHeight="1">
      <x:c r="A106" s="17" t="str">
        <x:v>M4-P095</x:v>
      </x:c>
      <x:c r="B106" s="17" t="n">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x:c r="Q106" s="17" t="str">
        <x:v>codex/m4-m4-p095</x:v>
      </x:c>
      <x:c r="R106" s="17"/>
      <x:c r="S106" s="17"/>
      <x:c r="T106" s="17"/>
      <x:c r="U106" s="17"/>
      <x:c r="V106" s="17" t="str">
        <x:v>YES</x:v>
      </x:c>
      <x:c r="W106" s="17" t="str">
        <x:v>按原子提交回退；迁移仅向前修复</x:v>
      </x:c>
      <x:c r="X106" s="17"/>
      <x:c r="Y106" s="17"/>
    </x:row>
    <x:row r="107" ht="23" customHeight="1">
      <x:c r="A107" s="17" t="str">
        <x:v>M4-P099</x:v>
      </x:c>
      <x:c r="B107" s="17" t="n">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x:c r="Q107" s="17" t="str">
        <x:v>codex/m4-m4-p099</x:v>
      </x:c>
      <x:c r="R107" s="17"/>
      <x:c r="S107" s="17"/>
      <x:c r="T107" s="17"/>
      <x:c r="U107" s="17"/>
      <x:c r="V107" s="17" t="str">
        <x:v>NO</x:v>
      </x:c>
      <x:c r="W107" s="17" t="str">
        <x:v>按原子提交回退；迁移仅向前修复</x:v>
      </x:c>
      <x:c r="X107" s="17"/>
      <x:c r="Y107" s="17"/>
    </x:row>
    <x:row r="108" ht="23" customHeight="1">
      <x:c r="A108" s="17" t="str">
        <x:v>M4-P100</x:v>
      </x:c>
      <x:c r="B108" s="17" t="n">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x:c r="Q108" s="17" t="str">
        <x:v>codex/m4-m4-p100</x:v>
      </x:c>
      <x:c r="R108" s="17"/>
      <x:c r="S108" s="17"/>
      <x:c r="T108" s="17"/>
      <x:c r="U108" s="17"/>
      <x:c r="V108" s="17" t="str">
        <x:v>YES</x:v>
      </x:c>
      <x:c r="W108" s="17" t="str">
        <x:v>按原子提交回退；迁移仅向前修复</x:v>
      </x:c>
      <x:c r="X108" s="17"/>
      <x:c r="Y108" s="17"/>
    </x:row>
    <x:row r="109" ht="23" customHeight="1">
      <x:c r="A109" s="17" t="str">
        <x:v>M4-P101</x:v>
      </x:c>
      <x:c r="B109" s="17" t="n">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x:c r="Q109" s="17" t="str">
        <x:v>codex/m4-m4-p101</x:v>
      </x:c>
      <x:c r="R109" s="17"/>
      <x:c r="S109" s="17"/>
      <x:c r="T109" s="17"/>
      <x:c r="U109" s="17"/>
      <x:c r="V109" s="17" t="str">
        <x:v>YES</x:v>
      </x:c>
      <x:c r="W109" s="17" t="str">
        <x:v>按原子提交回退；迁移仅向前修复</x:v>
      </x:c>
      <x:c r="X109" s="17"/>
      <x:c r="Y109" s="17"/>
    </x:row>
    <x:row r="110" ht="23" customHeight="1">
      <x:c r="A110" s="17" t="str">
        <x:v>M4-P102</x:v>
      </x:c>
      <x:c r="B110" s="17" t="n">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x:c r="Q110" s="17" t="str">
        <x:v>codex/m4-m4-p102</x:v>
      </x:c>
      <x:c r="R110" s="17"/>
      <x:c r="S110" s="17"/>
      <x:c r="T110" s="17"/>
      <x:c r="U110" s="17"/>
      <x:c r="V110" s="17" t="str">
        <x:v>YES</x:v>
      </x:c>
      <x:c r="W110" s="17" t="str">
        <x:v>按原子提交回退；迁移仅向前修复</x:v>
      </x:c>
      <x:c r="X110" s="17"/>
      <x:c r="Y110" s="17"/>
    </x:row>
    <x:row r="111" ht="23" customHeight="1">
      <x:c r="A111" s="17" t="str">
        <x:v>M4-P103</x:v>
      </x:c>
      <x:c r="B111" s="17" t="n">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x:c r="Q111" s="17" t="str">
        <x:v>codex/m4-m4-p103</x:v>
      </x:c>
      <x:c r="R111" s="17"/>
      <x:c r="S111" s="17"/>
      <x:c r="T111" s="17"/>
      <x:c r="U111" s="17"/>
      <x:c r="V111" s="17" t="str">
        <x:v>YES</x:v>
      </x:c>
      <x:c r="W111" s="17" t="str">
        <x:v>按原子提交回退；迁移仅向前修复</x:v>
      </x:c>
      <x:c r="X111" s="17"/>
      <x:c r="Y111" s="17"/>
    </x:row>
    <x:row r="112" ht="23" customHeight="1">
      <x:c r="A112" s="17" t="str">
        <x:v>M4-P104</x:v>
      </x:c>
      <x:c r="B112" s="17" t="n">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x:c r="Q112" s="17" t="str">
        <x:v>codex/m4-m4-p104</x:v>
      </x:c>
      <x:c r="R112" s="17"/>
      <x:c r="S112" s="17"/>
      <x:c r="T112" s="17"/>
      <x:c r="U112" s="17"/>
      <x:c r="V112" s="17" t="str">
        <x:v>YES</x:v>
      </x:c>
      <x:c r="W112" s="17" t="str">
        <x:v>按原子提交回退；迁移仅向前修复</x:v>
      </x:c>
      <x:c r="X112" s="17"/>
      <x:c r="Y112" s="17"/>
    </x:row>
    <x:row r="113" ht="23" customHeight="1">
      <x:c r="A113" s="17" t="str">
        <x:v>M4-P105</x:v>
      </x:c>
      <x:c r="B113" s="17" t="n">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x:c r="Q113" s="17" t="str">
        <x:v>codex/m4-m4-p105</x:v>
      </x:c>
      <x:c r="R113" s="17"/>
      <x:c r="S113" s="17"/>
      <x:c r="T113" s="17"/>
      <x:c r="U113" s="17"/>
      <x:c r="V113" s="17" t="str">
        <x:v>YES</x:v>
      </x:c>
      <x:c r="W113" s="17" t="str">
        <x:v>按原子提交回退；迁移仅向前修复</x:v>
      </x:c>
      <x:c r="X113" s="17"/>
      <x:c r="Y113" s="17"/>
    </x:row>
    <x:row r="114" ht="23" customHeight="1">
      <x:c r="A114" s="17" t="str">
        <x:v>M4-P106</x:v>
      </x:c>
      <x:c r="B114" s="17" t="n">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x:c r="Q114" s="17" t="str">
        <x:v>codex/m4-m4-p106</x:v>
      </x:c>
      <x:c r="R114" s="17"/>
      <x:c r="S114" s="17"/>
      <x:c r="T114" s="17"/>
      <x:c r="U114" s="17"/>
      <x:c r="V114" s="17" t="str">
        <x:v>YES</x:v>
      </x:c>
      <x:c r="W114" s="17" t="str">
        <x:v>按原子提交回退；迁移仅向前修复</x:v>
      </x:c>
      <x:c r="X114" s="17"/>
      <x:c r="Y114" s="17"/>
    </x:row>
    <x:row r="115" ht="23" customHeight="1">
      <x:c r="A115" s="17" t="str">
        <x:v>M4-P107</x:v>
      </x:c>
      <x:c r="B115" s="17" t="n">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x:c r="Q115" s="17" t="str">
        <x:v>codex/m4-m4-p107</x:v>
      </x:c>
      <x:c r="R115" s="17"/>
      <x:c r="S115" s="17"/>
      <x:c r="T115" s="17"/>
      <x:c r="U115" s="17"/>
      <x:c r="V115" s="17" t="str">
        <x:v>YES</x:v>
      </x:c>
      <x:c r="W115" s="17" t="str">
        <x:v>按原子提交回退；迁移仅向前修复</x:v>
      </x:c>
      <x:c r="X115" s="17"/>
      <x:c r="Y115" s="17"/>
    </x:row>
    <x:row r="116" ht="23" customHeight="1">
      <x:c r="A116" s="17" t="str">
        <x:v>M4-P108</x:v>
      </x:c>
      <x:c r="B116" s="17" t="n">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x:c r="Q116" s="17" t="str">
        <x:v>codex/m4-m4-p108</x:v>
      </x:c>
      <x:c r="R116" s="17"/>
      <x:c r="S116" s="17"/>
      <x:c r="T116" s="17"/>
      <x:c r="U116" s="17"/>
      <x:c r="V116" s="17" t="str">
        <x:v>YES</x:v>
      </x:c>
      <x:c r="W116" s="17" t="str">
        <x:v>按原子提交回退；迁移仅向前修复</x:v>
      </x:c>
      <x:c r="X116" s="17"/>
      <x:c r="Y116" s="17"/>
    </x:row>
    <x:row r="117" ht="23" customHeight="1">
      <x:c r="A117" s="17" t="str">
        <x:v>M4-P109</x:v>
      </x:c>
      <x:c r="B117" s="17" t="n">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x:c r="Q117" s="17" t="str">
        <x:v>codex/m4-m4-p109</x:v>
      </x:c>
      <x:c r="R117" s="17"/>
      <x:c r="S117" s="17"/>
      <x:c r="T117" s="17"/>
      <x:c r="U117" s="17"/>
      <x:c r="V117" s="17" t="str">
        <x:v>YES</x:v>
      </x:c>
      <x:c r="W117" s="17" t="str">
        <x:v>按原子提交回退；迁移仅向前修复</x:v>
      </x:c>
      <x:c r="X117" s="17"/>
      <x:c r="Y117" s="17"/>
    </x:row>
    <x:row r="118" ht="23" customHeight="1">
      <x:c r="A118" s="17" t="str">
        <x:v>M4-P110</x:v>
      </x:c>
      <x:c r="B118" s="17" t="n">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x:c r="Q118" s="17" t="str">
        <x:v>codex/m4-m4-p110</x:v>
      </x:c>
      <x:c r="R118" s="17"/>
      <x:c r="S118" s="17"/>
      <x:c r="T118" s="17"/>
      <x:c r="U118" s="17"/>
      <x:c r="V118" s="17" t="str">
        <x:v>YES</x:v>
      </x:c>
      <x:c r="W118" s="17" t="str">
        <x:v>按原子提交回退；迁移仅向前修复</x:v>
      </x:c>
      <x:c r="X118" s="17"/>
      <x:c r="Y118" s="17"/>
    </x:row>
    <x:row r="119" ht="23" customHeight="1">
      <x:c r="A119" s="17" t="str">
        <x:v>M4-P111</x:v>
      </x:c>
      <x:c r="B119" s="17" t="n">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x:c r="Q119" s="17" t="str">
        <x:v>codex/m4-m4-p111</x:v>
      </x:c>
      <x:c r="R119" s="17"/>
      <x:c r="S119" s="17"/>
      <x:c r="T119" s="17"/>
      <x:c r="U119" s="17"/>
      <x:c r="V119" s="17" t="str">
        <x:v>YES</x:v>
      </x:c>
      <x:c r="W119" s="17" t="str">
        <x:v>按原子提交回退；迁移仅向前修复</x:v>
      </x:c>
      <x:c r="X119" s="17"/>
      <x:c r="Y119" s="17"/>
    </x:row>
    <x:row r="120" ht="23" customHeight="1">
      <x:c r="A120" s="17" t="str">
        <x:v>M4-P112</x:v>
      </x:c>
      <x:c r="B120" s="17" t="n">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x:c r="Q120" s="17" t="str">
        <x:v>codex/m4-m4-p112</x:v>
      </x:c>
      <x:c r="R120" s="17"/>
      <x:c r="S120" s="17"/>
      <x:c r="T120" s="17"/>
      <x:c r="U120" s="17"/>
      <x:c r="V120" s="17" t="str">
        <x:v>YES</x:v>
      </x:c>
      <x:c r="W120" s="17" t="str">
        <x:v>按原子提交回退；迁移仅向前修复</x:v>
      </x:c>
      <x:c r="X120" s="17"/>
      <x:c r="Y120" s="17"/>
    </x:row>
    <x:row r="121" ht="23" customHeight="1">
      <x:c r="A121" s="17" t="str">
        <x:v>M4-P113</x:v>
      </x:c>
      <x:c r="B121" s="17" t="n">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x:c r="Q121" s="17" t="str">
        <x:v>codex/m4-m4-p113</x:v>
      </x:c>
      <x:c r="R121" s="17"/>
      <x:c r="S121" s="17"/>
      <x:c r="T121" s="17"/>
      <x:c r="U121" s="17"/>
      <x:c r="V121" s="17" t="str">
        <x:v>YES</x:v>
      </x:c>
      <x:c r="W121" s="17" t="str">
        <x:v>按原子提交回退；迁移仅向前修复</x:v>
      </x:c>
      <x:c r="X121" s="17"/>
      <x:c r="Y121" s="17"/>
    </x:row>
    <x:row r="122" ht="23" customHeight="1">
      <x:c r="A122" s="17" t="str">
        <x:v>M4-P114</x:v>
      </x:c>
      <x:c r="B122" s="17" t="n">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x:c r="Q122" s="17" t="str">
        <x:v>codex/m4-m4-p114</x:v>
      </x:c>
      <x:c r="R122" s="17"/>
      <x:c r="S122" s="17"/>
      <x:c r="T122" s="17"/>
      <x:c r="U122" s="17"/>
      <x:c r="V122" s="17" t="str">
        <x:v>YES</x:v>
      </x:c>
      <x:c r="W122" s="17" t="str">
        <x:v>按原子提交回退；迁移仅向前修复</x:v>
      </x:c>
      <x:c r="X122" s="17"/>
      <x:c r="Y122" s="17"/>
    </x:row>
    <x:row r="123" ht="23" customHeight="1">
      <x:c r="A123" s="17" t="str">
        <x:v>M4-P115</x:v>
      </x:c>
      <x:c r="B123" s="17" t="n">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x:c r="Q123" s="17" t="str">
        <x:v>codex/m4-m4-p115</x:v>
      </x:c>
      <x:c r="R123" s="17"/>
      <x:c r="S123" s="17"/>
      <x:c r="T123" s="17"/>
      <x:c r="U123" s="17"/>
      <x:c r="V123" s="17" t="str">
        <x:v>NO</x:v>
      </x:c>
      <x:c r="W123" s="17" t="str">
        <x:v>按原子提交回退；迁移仅向前修复</x:v>
      </x:c>
      <x:c r="X123" s="17"/>
      <x:c r="Y123" s="17"/>
    </x:row>
    <x:row r="124" ht="23" customHeight="1">
      <x:c r="A124" s="17" t="str">
        <x:v>M4-P116</x:v>
      </x:c>
      <x:c r="B124" s="17" t="n">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x:c r="Q124" s="17" t="str">
        <x:v>codex/m4-m4-p116</x:v>
      </x:c>
      <x:c r="R124" s="17"/>
      <x:c r="S124" s="17"/>
      <x:c r="T124" s="17"/>
      <x:c r="U124" s="17"/>
      <x:c r="V124" s="17" t="str">
        <x:v>NO</x:v>
      </x:c>
      <x:c r="W124" s="17" t="str">
        <x:v>按原子提交回退；迁移仅向前修复</x:v>
      </x:c>
      <x:c r="X124" s="17"/>
      <x:c r="Y124" s="17"/>
    </x:row>
    <x:row r="125" ht="23" customHeight="1">
      <x:c r="A125" s="17" t="str">
        <x:v>M4-P117</x:v>
      </x:c>
      <x:c r="B125" s="17" t="n">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x:c r="Q125" s="17" t="str">
        <x:v>codex/m4-m4-p117</x:v>
      </x:c>
      <x:c r="R125" s="17"/>
      <x:c r="S125" s="17"/>
      <x:c r="T125" s="17"/>
      <x:c r="U125" s="17"/>
      <x:c r="V125" s="17" t="str">
        <x:v>NO</x:v>
      </x:c>
      <x:c r="W125" s="17" t="str">
        <x:v>按原子提交回退；迁移仅向前修复</x:v>
      </x:c>
      <x:c r="X125" s="17"/>
      <x:c r="Y125" s="17"/>
    </x:row>
    <x:row r="126" ht="23" customHeight="1">
      <x:c r="A126" s="17" t="str">
        <x:v>M4-P118</x:v>
      </x:c>
      <x:c r="B126" s="17" t="n">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x:c r="Q126" s="17" t="str">
        <x:v>codex/m4-m4-p118</x:v>
      </x:c>
      <x:c r="R126" s="17"/>
      <x:c r="S126" s="17"/>
      <x:c r="T126" s="17"/>
      <x:c r="U126" s="17"/>
      <x:c r="V126" s="17" t="str">
        <x:v>YES</x:v>
      </x:c>
      <x:c r="W126" s="17" t="str">
        <x:v>按原子提交回退；迁移仅向前修复</x:v>
      </x:c>
      <x:c r="X126" s="17"/>
      <x:c r="Y126" s="17"/>
    </x:row>
    <x:row r="127" ht="23" customHeight="1">
      <x:c r="A127" s="17" t="str">
        <x:v>M4-P119</x:v>
      </x:c>
      <x:c r="B127" s="17" t="n">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x:c r="Q127" s="17" t="str">
        <x:v>codex/m4-m4-p119</x:v>
      </x:c>
      <x:c r="R127" s="17"/>
      <x:c r="S127" s="17"/>
      <x:c r="T127" s="17"/>
      <x:c r="U127" s="17"/>
      <x:c r="V127" s="17" t="str">
        <x:v>YES</x:v>
      </x:c>
      <x:c r="W127" s="17" t="str">
        <x:v>按原子提交回退；迁移仅向前修复</x:v>
      </x:c>
      <x:c r="X127" s="17"/>
      <x:c r="Y127" s="17"/>
    </x:row>
    <x:row r="128" ht="23" customHeight="1">
      <x:c r="A128" s="17" t="str">
        <x:v>M4-GATE</x:v>
      </x:c>
      <x:c r="B128" s="17" t="n">
        <x:v>127</x:v>
      </x:c>
      <x:c r="C128" s="17" t="str">
        <x:v>M4</x:v>
      </x:c>
      <x:c r="D128" s="17" t="str">
        <x:v>STAGE_GATE</x:v>
      </x:c>
      <x:c r="E128" s="17" t="str">
        <x:v>P0</x:v>
      </x:c>
      <x:c r="F128" s="17" t="str">
        <x:v>M4阶段门禁验收</x:v>
      </x:c>
      <x:c r="G128" s="17" t="str">
        <x:v>执行包§02</x:v>
      </x:c>
      <x:c r="H128" s="17"/>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x:c r="Q128" s="17" t="str">
        <x:v>codex/m4-m4</x:v>
      </x:c>
      <x:c r="R128" s="17"/>
      <x:c r="S128" s="17"/>
      <x:c r="T128" s="17"/>
      <x:c r="U128" s="17"/>
      <x:c r="V128" s="17" t="str">
        <x:v>YES</x:v>
      </x:c>
      <x:c r="W128" s="17" t="str">
        <x:v>按原子提交回退；迁移仅向前修复</x:v>
      </x:c>
      <x:c r="X128" s="17"/>
      <x:c r="Y128" s="17"/>
    </x:row>
    <x:row r="129" ht="23" customHeight="1">
      <x:c r="A129" s="17" t="str">
        <x:v>M5-000</x:v>
      </x:c>
      <x:c r="B129" s="17" t="n">
        <x:v>128</x:v>
      </x:c>
      <x:c r="C129" s="17" t="str">
        <x:v>M5</x:v>
      </x:c>
      <x:c r="D129" s="17" t="str">
        <x:v>CONTRACT_SLICE_PLAN</x:v>
      </x:c>
      <x:c r="E129" s="17" t="str">
        <x:v>P0</x:v>
      </x:c>
      <x:c r="F129" s="17" t="str">
        <x:v>冻结M5字段、状态机、权限与契约切片</x:v>
      </x:c>
      <x:c r="G129" s="17" t="str">
        <x:v>执行包字段/状态机/权限/API台账</x:v>
      </x:c>
      <x:c r="H129" s="17"/>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x:c r="Q129" s="17" t="str">
        <x:v>codex/m5-m5</x:v>
      </x:c>
      <x:c r="R129" s="17"/>
      <x:c r="S129" s="17"/>
      <x:c r="T129" s="17"/>
      <x:c r="U129" s="17"/>
      <x:c r="V129" s="17" t="str">
        <x:v>NO</x:v>
      </x:c>
      <x:c r="W129" s="17" t="str">
        <x:v>按原子提交回退；迁移仅向前修复</x:v>
      </x:c>
      <x:c r="X129" s="17"/>
      <x:c r="Y129" s="17"/>
    </x:row>
    <x:row r="130" ht="23" customHeight="1">
      <x:c r="A130" s="17" t="str">
        <x:v>M5-P038</x:v>
      </x:c>
      <x:c r="B130" s="17" t="n">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x:c r="Q130" s="17" t="str">
        <x:v>codex/m5-m5-p038</x:v>
      </x:c>
      <x:c r="R130" s="17"/>
      <x:c r="S130" s="17"/>
      <x:c r="T130" s="17"/>
      <x:c r="U130" s="17"/>
      <x:c r="V130" s="17" t="str">
        <x:v>NO</x:v>
      </x:c>
      <x:c r="W130" s="17" t="str">
        <x:v>按原子提交回退；迁移仅向前修复</x:v>
      </x:c>
      <x:c r="X130" s="17"/>
      <x:c r="Y130" s="17"/>
    </x:row>
    <x:row r="131" ht="23" customHeight="1">
      <x:c r="A131" s="17" t="str">
        <x:v>M5-P039</x:v>
      </x:c>
      <x:c r="B131" s="17" t="n">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x:c r="Q131" s="17" t="str">
        <x:v>codex/m5-m5-p039</x:v>
      </x:c>
      <x:c r="R131" s="17"/>
      <x:c r="S131" s="17"/>
      <x:c r="T131" s="17"/>
      <x:c r="U131" s="17"/>
      <x:c r="V131" s="17" t="str">
        <x:v>NO</x:v>
      </x:c>
      <x:c r="W131" s="17" t="str">
        <x:v>按原子提交回退；迁移仅向前修复</x:v>
      </x:c>
      <x:c r="X131" s="17"/>
      <x:c r="Y131" s="17"/>
    </x:row>
    <x:row r="132" ht="23" customHeight="1">
      <x:c r="A132" s="17" t="str">
        <x:v>M5-P040</x:v>
      </x:c>
      <x:c r="B132" s="17" t="n">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x:c r="Q132" s="17" t="str">
        <x:v>codex/m5-m5-p040</x:v>
      </x:c>
      <x:c r="R132" s="17"/>
      <x:c r="S132" s="17"/>
      <x:c r="T132" s="17"/>
      <x:c r="U132" s="17"/>
      <x:c r="V132" s="17" t="str">
        <x:v>NO</x:v>
      </x:c>
      <x:c r="W132" s="17" t="str">
        <x:v>按原子提交回退；迁移仅向前修复</x:v>
      </x:c>
      <x:c r="X132" s="17"/>
      <x:c r="Y132" s="17"/>
    </x:row>
    <x:row r="133" ht="23" customHeight="1">
      <x:c r="A133" s="17" t="str">
        <x:v>M5-P041</x:v>
      </x:c>
      <x:c r="B133" s="17" t="n">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x:c r="Q133" s="17" t="str">
        <x:v>codex/m5-m5-p041</x:v>
      </x:c>
      <x:c r="R133" s="17"/>
      <x:c r="S133" s="17"/>
      <x:c r="T133" s="17"/>
      <x:c r="U133" s="17"/>
      <x:c r="V133" s="17" t="str">
        <x:v>NO</x:v>
      </x:c>
      <x:c r="W133" s="17" t="str">
        <x:v>按原子提交回退；迁移仅向前修复</x:v>
      </x:c>
      <x:c r="X133" s="17"/>
      <x:c r="Y133" s="17"/>
    </x:row>
    <x:row r="134" ht="23" customHeight="1">
      <x:c r="A134" s="17" t="str">
        <x:v>M5-P042</x:v>
      </x:c>
      <x:c r="B134" s="17" t="n">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x:c r="Q134" s="17" t="str">
        <x:v>codex/m5-m5-p042</x:v>
      </x:c>
      <x:c r="R134" s="17"/>
      <x:c r="S134" s="17"/>
      <x:c r="T134" s="17"/>
      <x:c r="U134" s="17"/>
      <x:c r="V134" s="17" t="str">
        <x:v>YES</x:v>
      </x:c>
      <x:c r="W134" s="17" t="str">
        <x:v>按原子提交回退；迁移仅向前修复</x:v>
      </x:c>
      <x:c r="X134" s="17"/>
      <x:c r="Y134" s="17"/>
    </x:row>
    <x:row r="135" ht="23" customHeight="1">
      <x:c r="A135" s="17" t="str">
        <x:v>M5-P043</x:v>
      </x:c>
      <x:c r="B135" s="17" t="n">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x:c r="Q135" s="17" t="str">
        <x:v>codex/m5-m5-p043</x:v>
      </x:c>
      <x:c r="R135" s="17"/>
      <x:c r="S135" s="17"/>
      <x:c r="T135" s="17"/>
      <x:c r="U135" s="17"/>
      <x:c r="V135" s="17" t="str">
        <x:v>NO</x:v>
      </x:c>
      <x:c r="W135" s="17" t="str">
        <x:v>按原子提交回退；迁移仅向前修复</x:v>
      </x:c>
      <x:c r="X135" s="17"/>
      <x:c r="Y135" s="17"/>
    </x:row>
    <x:row r="136" ht="23" customHeight="1">
      <x:c r="A136" s="17" t="str">
        <x:v>M5-P044</x:v>
      </x:c>
      <x:c r="B136" s="17" t="n">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x:c r="Q136" s="17" t="str">
        <x:v>codex/m5-m5-p044</x:v>
      </x:c>
      <x:c r="R136" s="17"/>
      <x:c r="S136" s="17"/>
      <x:c r="T136" s="17"/>
      <x:c r="U136" s="17"/>
      <x:c r="V136" s="17" t="str">
        <x:v>NO</x:v>
      </x:c>
      <x:c r="W136" s="17" t="str">
        <x:v>按原子提交回退；迁移仅向前修复</x:v>
      </x:c>
      <x:c r="X136" s="17"/>
      <x:c r="Y136" s="17"/>
    </x:row>
    <x:row r="137" ht="23" customHeight="1">
      <x:c r="A137" s="17" t="str">
        <x:v>M5-P060</x:v>
      </x:c>
      <x:c r="B137" s="17" t="n">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x:c r="Q137" s="17" t="str">
        <x:v>codex/m5-m5-p060</x:v>
      </x:c>
      <x:c r="R137" s="17"/>
      <x:c r="S137" s="17"/>
      <x:c r="T137" s="17"/>
      <x:c r="U137" s="17"/>
      <x:c r="V137" s="17" t="str">
        <x:v>NO</x:v>
      </x:c>
      <x:c r="W137" s="17" t="str">
        <x:v>按原子提交回退；迁移仅向前修复</x:v>
      </x:c>
      <x:c r="X137" s="17"/>
      <x:c r="Y137" s="17"/>
    </x:row>
    <x:row r="138" ht="23" customHeight="1">
      <x:c r="A138" s="17" t="str">
        <x:v>M5-P065</x:v>
      </x:c>
      <x:c r="B138" s="17" t="n">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x:c r="Q138" s="17" t="str">
        <x:v>codex/m5-m5-p065</x:v>
      </x:c>
      <x:c r="R138" s="17"/>
      <x:c r="S138" s="17"/>
      <x:c r="T138" s="17"/>
      <x:c r="U138" s="17"/>
      <x:c r="V138" s="17" t="str">
        <x:v>NO</x:v>
      </x:c>
      <x:c r="W138" s="17" t="str">
        <x:v>按原子提交回退；迁移仅向前修复</x:v>
      </x:c>
      <x:c r="X138" s="17"/>
      <x:c r="Y138" s="17"/>
    </x:row>
    <x:row r="139" ht="23" customHeight="1">
      <x:c r="A139" s="17" t="str">
        <x:v>M5-P082</x:v>
      </x:c>
      <x:c r="B139" s="17" t="n">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x:c r="Q139" s="17" t="str">
        <x:v>codex/m5-seo</x:v>
      </x:c>
      <x:c r="R139" s="17"/>
      <x:c r="S139" s="17"/>
      <x:c r="T139" s="17"/>
      <x:c r="U139" s="17"/>
      <x:c r="V139" s="17" t="str">
        <x:v>YES</x:v>
      </x:c>
      <x:c r="W139" s="17" t="str">
        <x:v>按原子提交回退；迁移仅向前修复</x:v>
      </x:c>
      <x:c r="X139" s="17"/>
      <x:c r="Y139" s="17"/>
    </x:row>
    <x:row r="140" ht="23" customHeight="1">
      <x:c r="A140" s="17" t="str">
        <x:v>M5-GATE</x:v>
      </x:c>
      <x:c r="B140" s="17" t="n">
        <x:v>139</x:v>
      </x:c>
      <x:c r="C140" s="17" t="str">
        <x:v>M5</x:v>
      </x:c>
      <x:c r="D140" s="17" t="str">
        <x:v>STAGE_GATE</x:v>
      </x:c>
      <x:c r="E140" s="17" t="str">
        <x:v>P0</x:v>
      </x:c>
      <x:c r="F140" s="17" t="str">
        <x:v>M5阶段门禁验收</x:v>
      </x:c>
      <x:c r="G140" s="17" t="str">
        <x:v>执行包§02</x:v>
      </x:c>
      <x:c r="H140" s="17"/>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x:c r="Q140" s="17" t="str">
        <x:v>codex/m5-m5</x:v>
      </x:c>
      <x:c r="R140" s="17"/>
      <x:c r="S140" s="17"/>
      <x:c r="T140" s="17"/>
      <x:c r="U140" s="17"/>
      <x:c r="V140" s="17" t="str">
        <x:v>YES</x:v>
      </x:c>
      <x:c r="W140" s="17" t="str">
        <x:v>按原子提交回退；迁移仅向前修复</x:v>
      </x:c>
      <x:c r="X140" s="17"/>
      <x:c r="Y140" s="17"/>
    </x:row>
    <x:row r="141" ht="23" customHeight="1">
      <x:c r="A141" s="17" t="str">
        <x:v>M6-000</x:v>
      </x:c>
      <x:c r="B141" s="17" t="n">
        <x:v>140</x:v>
      </x:c>
      <x:c r="C141" s="17" t="str">
        <x:v>M6</x:v>
      </x:c>
      <x:c r="D141" s="17" t="str">
        <x:v>CONTRACT_SLICE_PLAN</x:v>
      </x:c>
      <x:c r="E141" s="17" t="str">
        <x:v>P0</x:v>
      </x:c>
      <x:c r="F141" s="17" t="str">
        <x:v>冻结M6字段、状态机、权限与契约切片</x:v>
      </x:c>
      <x:c r="G141" s="17" t="str">
        <x:v>执行包字段/状态机/权限/API台账</x:v>
      </x:c>
      <x:c r="H141" s="17"/>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x:c r="Q141" s="17" t="str">
        <x:v>codex/m6-m6</x:v>
      </x:c>
      <x:c r="R141" s="17"/>
      <x:c r="S141" s="17"/>
      <x:c r="T141" s="17"/>
      <x:c r="U141" s="17"/>
      <x:c r="V141" s="17" t="str">
        <x:v>NO</x:v>
      </x:c>
      <x:c r="W141" s="17" t="str">
        <x:v>按原子提交回退；迁移仅向前修复</x:v>
      </x:c>
      <x:c r="X141" s="17"/>
      <x:c r="Y141" s="17"/>
    </x:row>
    <x:row r="142" ht="23" customHeight="1">
      <x:c r="A142" s="17" t="str">
        <x:v>M6-P048</x:v>
      </x:c>
      <x:c r="B142" s="17" t="n">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x:c r="Q142" s="17" t="str">
        <x:v>codex/m6-m6-p048</x:v>
      </x:c>
      <x:c r="R142" s="17"/>
      <x:c r="S142" s="17"/>
      <x:c r="T142" s="17"/>
      <x:c r="U142" s="17"/>
      <x:c r="V142" s="17" t="str">
        <x:v>NO</x:v>
      </x:c>
      <x:c r="W142" s="17" t="str">
        <x:v>按原子提交回退；迁移仅向前修复</x:v>
      </x:c>
      <x:c r="X142" s="17"/>
      <x:c r="Y142" s="17"/>
    </x:row>
    <x:row r="143" ht="23" customHeight="1">
      <x:c r="A143" s="17" t="str">
        <x:v>M6-P049</x:v>
      </x:c>
      <x:c r="B143" s="17" t="n">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x:c r="Q143" s="17" t="str">
        <x:v>codex/m6-m6-p049</x:v>
      </x:c>
      <x:c r="R143" s="17"/>
      <x:c r="S143" s="17"/>
      <x:c r="T143" s="17"/>
      <x:c r="U143" s="17"/>
      <x:c r="V143" s="17" t="str">
        <x:v>NO</x:v>
      </x:c>
      <x:c r="W143" s="17" t="str">
        <x:v>按原子提交回退；迁移仅向前修复</x:v>
      </x:c>
      <x:c r="X143" s="17"/>
      <x:c r="Y143" s="17"/>
    </x:row>
    <x:row r="144" ht="23" customHeight="1">
      <x:c r="A144" s="17" t="str">
        <x:v>M6-P050</x:v>
      </x:c>
      <x:c r="B144" s="17" t="n">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x:c r="Q144" s="17" t="str">
        <x:v>codex/m6-m6-p050</x:v>
      </x:c>
      <x:c r="R144" s="17"/>
      <x:c r="S144" s="17"/>
      <x:c r="T144" s="17"/>
      <x:c r="U144" s="17"/>
      <x:c r="V144" s="17" t="str">
        <x:v>NO</x:v>
      </x:c>
      <x:c r="W144" s="17" t="str">
        <x:v>按原子提交回退；迁移仅向前修复</x:v>
      </x:c>
      <x:c r="X144" s="17"/>
      <x:c r="Y144" s="17"/>
    </x:row>
    <x:row r="145" ht="23" customHeight="1">
      <x:c r="A145" s="17" t="str">
        <x:v>M6-900</x:v>
      </x:c>
      <x:c r="B145" s="17" t="n">
        <x:v>144</x:v>
      </x:c>
      <x:c r="C145" s="17" t="str">
        <x:v>M6</x:v>
      </x:c>
      <x:c r="D145" s="17" t="str">
        <x:v>RELEASE_READINESS</x:v>
      </x:c>
      <x:c r="E145" s="17" t="str">
        <x:v>P0</x:v>
      </x:c>
      <x:c r="F145" s="17" t="str">
        <x:v>全量安全与隐私复核</x:v>
      </x:c>
      <x:c r="G145" s="17" t="str">
        <x:v>§14-§17</x:v>
      </x:c>
      <x:c r="H145" s="17"/>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x:c r="Q145" s="17" t="str">
        <x:v>codex/m6-m6-900</x:v>
      </x:c>
      <x:c r="R145" s="17"/>
      <x:c r="S145" s="17"/>
      <x:c r="T145" s="17"/>
      <x:c r="U145" s="17"/>
      <x:c r="V145" s="17" t="str">
        <x:v>YES</x:v>
      </x:c>
      <x:c r="W145" s="17" t="str">
        <x:v>按原子提交回退；迁移仅向前修复</x:v>
      </x:c>
      <x:c r="X145" s="17"/>
      <x:c r="Y145" s="17"/>
    </x:row>
    <x:row r="146" ht="23" customHeight="1">
      <x:c r="A146" s="17" t="str">
        <x:v>M6-901</x:v>
      </x:c>
      <x:c r="B146" s="17" t="n">
        <x:v>145</x:v>
      </x:c>
      <x:c r="C146" s="17" t="str">
        <x:v>M6</x:v>
      </x:c>
      <x:c r="D146" s="17" t="str">
        <x:v>RELEASE_READINESS</x:v>
      </x:c>
      <x:c r="E146" s="17" t="str">
        <x:v>P0</x:v>
      </x:c>
      <x:c r="F146" s="17" t="str">
        <x:v>性能容量与并发压测</x:v>
      </x:c>
      <x:c r="G146" s="17" t="str">
        <x:v>§14-§17</x:v>
      </x:c>
      <x:c r="H146" s="17"/>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x:c r="Q146" s="17" t="str">
        <x:v>codex/m6-m6-901</x:v>
      </x:c>
      <x:c r="R146" s="17"/>
      <x:c r="S146" s="17"/>
      <x:c r="T146" s="17"/>
      <x:c r="U146" s="17"/>
      <x:c r="V146" s="17" t="str">
        <x:v>YES</x:v>
      </x:c>
      <x:c r="W146" s="17" t="str">
        <x:v>按原子提交回退；迁移仅向前修复</x:v>
      </x:c>
      <x:c r="X146" s="17"/>
      <x:c r="Y146" s="17"/>
    </x:row>
    <x:row r="147" ht="23" customHeight="1">
      <x:c r="A147" s="17" t="str">
        <x:v>M6-902</x:v>
      </x:c>
      <x:c r="B147" s="17" t="n">
        <x:v>146</x:v>
      </x:c>
      <x:c r="C147" s="17" t="str">
        <x:v>M6</x:v>
      </x:c>
      <x:c r="D147" s="17" t="str">
        <x:v>RELEASE_READINESS</x:v>
      </x:c>
      <x:c r="E147" s="17" t="str">
        <x:v>P0</x:v>
      </x:c>
      <x:c r="F147" s="17" t="str">
        <x:v>预发布迁移与备份恢复演练</x:v>
      </x:c>
      <x:c r="G147" s="17" t="str">
        <x:v>§14-§17</x:v>
      </x:c>
      <x:c r="H147" s="17"/>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x:c r="Q147" s="17" t="str">
        <x:v>codex/m6-m6-902</x:v>
      </x:c>
      <x:c r="R147" s="17"/>
      <x:c r="S147" s="17"/>
      <x:c r="T147" s="17"/>
      <x:c r="U147" s="17"/>
      <x:c r="V147" s="17" t="str">
        <x:v>YES</x:v>
      </x:c>
      <x:c r="W147" s="17" t="str">
        <x:v>按原子提交回退；迁移仅向前修复</x:v>
      </x:c>
      <x:c r="X147" s="17"/>
      <x:c r="Y147" s="17"/>
    </x:row>
    <x:row r="148" ht="23" customHeight="1">
      <x:c r="A148" s="17" t="str">
        <x:v>M6-903</x:v>
      </x:c>
      <x:c r="B148" s="17" t="n">
        <x:v>147</x:v>
      </x:c>
      <x:c r="C148" s="17" t="str">
        <x:v>M6</x:v>
      </x:c>
      <x:c r="D148" s="17" t="str">
        <x:v>RELEASE_READINESS</x:v>
      </x:c>
      <x:c r="E148" s="17" t="str">
        <x:v>P0</x:v>
      </x:c>
      <x:c r="F148" s="17" t="str">
        <x:v>五端与微信真机全链验收</x:v>
      </x:c>
      <x:c r="G148" s="17" t="str">
        <x:v>§14-§17</x:v>
      </x:c>
      <x:c r="H148" s="17"/>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x:c r="Q148" s="17" t="str">
        <x:v>codex/m6-m6-903</x:v>
      </x:c>
      <x:c r="R148" s="17"/>
      <x:c r="S148" s="17"/>
      <x:c r="T148" s="17"/>
      <x:c r="U148" s="17"/>
      <x:c r="V148" s="17" t="str">
        <x:v>YES</x:v>
      </x:c>
      <x:c r="W148" s="17" t="str">
        <x:v>按原子提交回退；迁移仅向前修复</x:v>
      </x:c>
      <x:c r="X148" s="17"/>
      <x:c r="Y148" s="17"/>
    </x:row>
    <x:row r="149" ht="23" customHeight="1">
      <x:c r="A149" s="17" t="str">
        <x:v>M6-904</x:v>
      </x:c>
      <x:c r="B149" s="17" t="n">
        <x:v>148</x:v>
      </x:c>
      <x:c r="C149" s="17" t="str">
        <x:v>M6</x:v>
      </x:c>
      <x:c r="D149" s="17" t="str">
        <x:v>RELEASE_READINESS</x:v>
      </x:c>
      <x:c r="E149" s="17" t="str">
        <x:v>P0</x:v>
      </x:c>
      <x:c r="F149" s="17" t="str">
        <x:v>形成Go/No-Go决策包</x:v>
      </x:c>
      <x:c r="G149" s="17" t="str">
        <x:v>§14-§17</x:v>
      </x:c>
      <x:c r="H149" s="17"/>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x:c r="Q149" s="17" t="str">
        <x:v>codex/m6-go-no-go</x:v>
      </x:c>
      <x:c r="R149" s="17"/>
      <x:c r="S149" s="17"/>
      <x:c r="T149" s="17"/>
      <x:c r="U149" s="17"/>
      <x:c r="V149" s="17" t="str">
        <x:v>YES</x:v>
      </x:c>
      <x:c r="W149" s="17" t="str">
        <x:v>按原子提交回退；迁移仅向前修复</x:v>
      </x:c>
      <x:c r="X149" s="17"/>
      <x:c r="Y149" s="17"/>
    </x:row>
    <x:row r="150" ht="23" customHeight="1">
      <x:c r="A150" s="18" t="str">
        <x:v>M6-GATE</x:v>
      </x:c>
      <x:c r="B150" s="18" t="n">
        <x:v>149</x:v>
      </x:c>
      <x:c r="C150" s="18" t="str">
        <x:v>M6</x:v>
      </x:c>
      <x:c r="D150" s="18" t="str">
        <x:v>STAGE_GATE</x:v>
      </x:c>
      <x:c r="E150" s="18" t="str">
        <x:v>P0</x:v>
      </x:c>
      <x:c r="F150" s="18" t="str">
        <x:v>M6阶段门禁验收</x:v>
      </x:c>
      <x:c r="G150" s="18" t="str">
        <x:v>执行包§02</x:v>
      </x:c>
      <x:c r="H150" s="18"/>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x:c r="Q150" s="18" t="str">
        <x:v>codex/m6-m6</x:v>
      </x:c>
      <x:c r="R150" s="18"/>
      <x:c r="S150" s="18"/>
      <x:c r="T150" s="18"/>
      <x:c r="U150" s="18"/>
      <x:c r="V150" s="18" t="str">
        <x:v>YES</x:v>
      </x:c>
      <x:c r="W150" s="18" t="str">
        <x:v>按原子提交回退；迁移仅向前修复</x:v>
      </x:c>
      <x:c r="X150" s="18"/>
      <x:c r="Y150" s="18"/>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b3d6167c7df44b1d"/>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序号</x:v>
      </x:c>
      <x:c r="C1" s="15" t="str">
        <x:v>阶段</x:v>
      </x:c>
      <x:c r="D1" s="15" t="str">
        <x:v>场景</x:v>
      </x:c>
      <x:c r="E1" s="15" t="str">
        <x:v>完成定义</x:v>
      </x:c>
      <x:c r="F1" s="15" t="str">
        <x:v>方案来源</x:v>
      </x:c>
      <x:c r="G1" s="15" t="str">
        <x:v>主任务</x:v>
      </x:c>
      <x:c r="H1" s="15" t="str">
        <x:v>要求证据等级</x:v>
      </x:c>
      <x:c r="I1" s="15" t="str">
        <x:v>当前证据</x:v>
      </x:c>
      <x:c r="J1" s="15" t="str">
        <x:v>自动化测试ID</x:v>
      </x:c>
      <x:c r="K1" s="15" t="str">
        <x:v>人工用例ID</x:v>
      </x:c>
      <x:c r="L1" s="15" t="str">
        <x:v>负向检查</x:v>
      </x:c>
      <x:c r="M1" s="15" t="str">
        <x:v>证据链接</x:v>
      </x:c>
      <x:c r="N1" s="15" t="str">
        <x:v>最后验证提交</x:v>
      </x:c>
      <x:c r="O1" s="15" t="str">
        <x:v>验证人</x:v>
      </x:c>
      <x:c r="P1" s="15" t="str">
        <x:v>验证时间</x:v>
      </x:c>
      <x:c r="Q1" s="16" t="str">
        <x:v>备注</x:v>
      </x:c>
    </x:row>
    <x:row r="2" ht="23" customHeight="1">
      <x:c r="A2" s="17" t="str">
        <x:v>P0-001</x:v>
      </x:c>
      <x:c r="B2" s="17" t="n">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n">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n">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n">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n">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n">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x:c r="P9" s="17" t="n">
        <x:v>46244.05306712963</x:v>
      </x:c>
      <x:c r="Q9" s="17" t="str">
        <x:v>PR #42精确head CI及合并后main@590a770 CI run 31346326144成功；多商品未知结果保护已进入main。</x:v>
      </x:c>
    </x:row>
    <x:row r="10" ht="23" customHeight="1">
      <x:c r="A10" s="17" t="str">
        <x:v>P0-009</x:v>
      </x:c>
      <x:c r="B10" s="17" t="n">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n">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n">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n">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46244.71050226852</x:v>
      </x:c>
      <x:c r="Q13" s="17" t="str">
        <x:v>PR #50精确head CI与合并后main CI run 31398383884通过；模板版本化、旧版不可变和当前发布绑定均为CI_PASS。staging与production未执行。</x:v>
      </x:c>
    </x:row>
    <x:row r="14" ht="23" customHeight="1">
      <x:c r="A14" s="17" t="str">
        <x:v>P0-013</x:v>
      </x:c>
      <x:c r="B14" s="17" t="n">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n">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CODEX</x:v>
      </x:c>
      <x:c r="P15" s="17" t="n">
        <x:v>46245.12520833333</x:v>
      </x:c>
      <x:c r="Q15" s="17" t="str">
        <x:v>PR #54精确head CI run 31452009986及合并后main CI run 31453656294通过；生鲜七项字段、三项SKU规格、两项枚举、公司售后和公开DTO白名单达到CI_PASS。staging、device、production未执行。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LOCAL_PASS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b026a720e74df968c0ccf1e7a38975fe2bd2c281</x:v>
      </x:c>
      <x:c r="O19" s="17" t="str">
        <x:v>CODEX</x:v>
      </x:c>
      <x:c r="P19" s="17" t="n">
        <x:v>46245.50976851852</x:v>
      </x:c>
      <x:c r="Q19" s="17" t="str">
        <x:v>RED 3/3确认；GREEN覆盖默认关闭、资质过期、模板不合规、商品提交/资料审批/公开目录、二次验证、幂等冲突、陈旧版本、历史与审计脱敏；干净head完整verify 17/17与P0 E2E 44/44通过。PR CI、EXT-007正式数据及staging/device/production未执行。</x:v>
      </x:c>
    </x:row>
    <x:row r="20" ht="23" customHeight="1">
      <x:c r="A20" s="17" t="str">
        <x:v>P0-019</x:v>
      </x:c>
      <x:c r="B20" s="17" t="n">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NOT_EXECUTED</x:v>
      </x:c>
      <x:c r="J20" s="17" t="str">
        <x:v>NEG-M2-019-01|NEG-M2-019-02|NEG-M2-019-03|NEG-M2-019-04</x:v>
      </x:c>
      <x:c r="K20" s="17" t="str">
        <x:v>N/A</x:v>
      </x:c>
      <x:c r="L20" s="17" t="str">
        <x:v>UNAPPROVED_SUPPLY_PRICE_EFFECT；SALE_PRICE_APPROVAL_CREATED；PRICE_HISTORY_OVERWRITE；CONCURRENT_PRICE_EFFECT</x:v>
      </x:c>
      <x:c r="M20" s="17" t="str">
        <x:v>artifacts/verification/M2-000/m2-contract-freeze.json#negativeTests</x:v>
      </x:c>
      <x:c r="N20" s="17"/>
      <x:c r="O20" s="17"/>
      <x:c r="P20" s="17"/>
      <x:c r="Q20" s="17" t="str">
        <x:v>M2-000仅冻结测试ID、失败行为和证据要求；业务切片须逐项先RED再实现；当前仍为NOT_EXECUTED</x:v>
      </x:c>
    </x:row>
    <x:row r="21" ht="23" customHeight="1">
      <x:c r="A21" s="17" t="str">
        <x:v>P0-020</x:v>
      </x:c>
      <x:c r="B21" s="17" t="n">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x:c r="N21" s="17"/>
      <x:c r="O21" s="17"/>
      <x:c r="P21" s="17"/>
      <x:c r="Q21" s="17"/>
    </x:row>
    <x:row r="22" ht="23" customHeight="1">
      <x:c r="A22" s="17" t="str">
        <x:v>P0-021</x:v>
      </x:c>
      <x:c r="B22" s="17" t="n">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NOT_EXECUTED</x:v>
      </x:c>
      <x:c r="J22" s="17" t="str">
        <x:v>NEG-M2-021-01|NEG-M2-021-02|NEG-M2-021-03</x:v>
      </x:c>
      <x:c r="K22" s="17" t="str">
        <x:v>N/A</x:v>
      </x:c>
      <x:c r="L22" s="17" t="str">
        <x:v>SUPPLY_PRICE_RESPONSE_LEAK；SUPPLY_PRICE_CACHE_INDEX_LEAK；WRONG_CHANNEL_SALE_PRICE</x:v>
      </x:c>
      <x:c r="M22" s="17" t="str">
        <x:v>artifacts/verification/M2-000/m2-contract-freeze.json#negativeTests</x:v>
      </x:c>
      <x:c r="N22" s="17"/>
      <x:c r="O22" s="17"/>
      <x:c r="P22" s="17"/>
      <x:c r="Q22" s="17" t="str">
        <x:v>M2-000仅冻结测试ID、失败行为和证据要求；业务切片须逐项先RED再实现；当前仍为NOT_EXECUTED</x:v>
      </x:c>
    </x:row>
    <x:row r="23" ht="23" customHeight="1">
      <x:c r="A23" s="17" t="str">
        <x:v>P0-022</x:v>
      </x:c>
      <x:c r="B23" s="17" t="n">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x:c r="N23" s="17"/>
      <x:c r="O23" s="17"/>
      <x:c r="P23" s="17"/>
      <x:c r="Q23" s="17"/>
    </x:row>
    <x:row r="24" ht="23" customHeight="1">
      <x:c r="A24" s="17" t="str">
        <x:v>P0-023</x:v>
      </x:c>
      <x:c r="B24" s="17" t="n">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x:c r="N24" s="17"/>
      <x:c r="O24" s="17"/>
      <x:c r="P24" s="17"/>
      <x:c r="Q24" s="17"/>
    </x:row>
    <x:row r="25" ht="23" customHeight="1">
      <x:c r="A25" s="17" t="str">
        <x:v>P0-024</x:v>
      </x:c>
      <x:c r="B25" s="17" t="n">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x:c r="N25" s="17"/>
      <x:c r="O25" s="17"/>
      <x:c r="P25" s="17"/>
      <x:c r="Q25" s="17"/>
    </x:row>
    <x:row r="26" ht="23" customHeight="1">
      <x:c r="A26" s="17" t="str">
        <x:v>P0-025</x:v>
      </x:c>
      <x:c r="B26" s="17" t="n">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x:c r="N26" s="17"/>
      <x:c r="O26" s="17"/>
      <x:c r="P26" s="17"/>
      <x:c r="Q26" s="17"/>
    </x:row>
    <x:row r="27" ht="23" customHeight="1">
      <x:c r="A27" s="17" t="str">
        <x:v>P0-026</x:v>
      </x:c>
      <x:c r="B27" s="17" t="n">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x:c r="N27" s="17"/>
      <x:c r="O27" s="17"/>
      <x:c r="P27" s="17"/>
      <x:c r="Q27" s="17"/>
    </x:row>
    <x:row r="28" ht="23" customHeight="1">
      <x:c r="A28" s="17" t="str">
        <x:v>P0-027</x:v>
      </x:c>
      <x:c r="B28" s="17" t="n">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x:c r="N28" s="17"/>
      <x:c r="O28" s="17"/>
      <x:c r="P28" s="17"/>
      <x:c r="Q28" s="17"/>
    </x:row>
    <x:row r="29" ht="23" customHeight="1">
      <x:c r="A29" s="17" t="str">
        <x:v>P0-028</x:v>
      </x:c>
      <x:c r="B29" s="17" t="n">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x:c r="N29" s="17"/>
      <x:c r="O29" s="17"/>
      <x:c r="P29" s="17"/>
      <x:c r="Q29" s="17"/>
    </x:row>
    <x:row r="30" ht="23" customHeight="1">
      <x:c r="A30" s="17" t="str">
        <x:v>P0-029</x:v>
      </x:c>
      <x:c r="B30" s="17" t="n">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x:c r="N30" s="17"/>
      <x:c r="O30" s="17"/>
      <x:c r="P30" s="17"/>
      <x:c r="Q30" s="17"/>
    </x:row>
    <x:row r="31" ht="23" customHeight="1">
      <x:c r="A31" s="17" t="str">
        <x:v>P0-030</x:v>
      </x:c>
      <x:c r="B31" s="17" t="n">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x:c r="N31" s="17"/>
      <x:c r="O31" s="17"/>
      <x:c r="P31" s="17"/>
      <x:c r="Q31" s="17"/>
    </x:row>
    <x:row r="32" ht="23" customHeight="1">
      <x:c r="A32" s="17" t="str">
        <x:v>P0-031</x:v>
      </x:c>
      <x:c r="B32" s="17" t="n">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x:c r="N32" s="17"/>
      <x:c r="O32" s="17"/>
      <x:c r="P32" s="17"/>
      <x:c r="Q32" s="17"/>
    </x:row>
    <x:row r="33" ht="23" customHeight="1">
      <x:c r="A33" s="17" t="str">
        <x:v>P0-032</x:v>
      </x:c>
      <x:c r="B33" s="17" t="n">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x:c r="N33" s="17"/>
      <x:c r="O33" s="17"/>
      <x:c r="P33" s="17"/>
      <x:c r="Q33" s="17"/>
    </x:row>
    <x:row r="34" ht="23" customHeight="1">
      <x:c r="A34" s="17" t="str">
        <x:v>P0-033</x:v>
      </x:c>
      <x:c r="B34" s="17" t="n">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x:c r="N34" s="17"/>
      <x:c r="O34" s="17"/>
      <x:c r="P34" s="17"/>
      <x:c r="Q34" s="17"/>
    </x:row>
    <x:row r="35" ht="23" customHeight="1">
      <x:c r="A35" s="17" t="str">
        <x:v>P0-034</x:v>
      </x:c>
      <x:c r="B35" s="17" t="n">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x:c r="N35" s="17"/>
      <x:c r="O35" s="17"/>
      <x:c r="P35" s="17"/>
      <x:c r="Q35" s="17"/>
    </x:row>
    <x:row r="36" ht="23" customHeight="1">
      <x:c r="A36" s="17" t="str">
        <x:v>P0-035</x:v>
      </x:c>
      <x:c r="B36" s="17" t="n">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x:c r="N36" s="17"/>
      <x:c r="O36" s="17"/>
      <x:c r="P36" s="17"/>
      <x:c r="Q36" s="17"/>
    </x:row>
    <x:row r="37" ht="23" customHeight="1">
      <x:c r="A37" s="17" t="str">
        <x:v>P0-036</x:v>
      </x:c>
      <x:c r="B37" s="17" t="n">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x:c r="N37" s="17"/>
      <x:c r="O37" s="17"/>
      <x:c r="P37" s="17"/>
      <x:c r="Q37" s="17"/>
    </x:row>
    <x:row r="38" ht="23" customHeight="1">
      <x:c r="A38" s="17" t="str">
        <x:v>P0-037</x:v>
      </x:c>
      <x:c r="B38" s="17" t="n">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x:c r="N38" s="17"/>
      <x:c r="O38" s="17"/>
      <x:c r="P38" s="17"/>
      <x:c r="Q38" s="17"/>
    </x:row>
    <x:row r="39" ht="23" customHeight="1">
      <x:c r="A39" s="17" t="str">
        <x:v>P0-038</x:v>
      </x:c>
      <x:c r="B39" s="17" t="n">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x:c r="N39" s="17"/>
      <x:c r="O39" s="17"/>
      <x:c r="P39" s="17"/>
      <x:c r="Q39" s="17"/>
    </x:row>
    <x:row r="40" ht="23" customHeight="1">
      <x:c r="A40" s="17" t="str">
        <x:v>P0-039</x:v>
      </x:c>
      <x:c r="B40" s="17" t="n">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x:c r="N40" s="17"/>
      <x:c r="O40" s="17"/>
      <x:c r="P40" s="17"/>
      <x:c r="Q40" s="17"/>
    </x:row>
    <x:row r="41" ht="23" customHeight="1">
      <x:c r="A41" s="17" t="str">
        <x:v>P0-040</x:v>
      </x:c>
      <x:c r="B41" s="17" t="n">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x:c r="N41" s="17"/>
      <x:c r="O41" s="17"/>
      <x:c r="P41" s="17"/>
      <x:c r="Q41" s="17"/>
    </x:row>
    <x:row r="42" ht="23" customHeight="1">
      <x:c r="A42" s="17" t="str">
        <x:v>P0-041</x:v>
      </x:c>
      <x:c r="B42" s="17" t="n">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x:c r="N42" s="17"/>
      <x:c r="O42" s="17"/>
      <x:c r="P42" s="17"/>
      <x:c r="Q42" s="17"/>
    </x:row>
    <x:row r="43" ht="23" customHeight="1">
      <x:c r="A43" s="17" t="str">
        <x:v>P0-042</x:v>
      </x:c>
      <x:c r="B43" s="17" t="n">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x:c r="N43" s="17"/>
      <x:c r="O43" s="17"/>
      <x:c r="P43" s="17"/>
      <x:c r="Q43" s="17"/>
    </x:row>
    <x:row r="44" ht="23" customHeight="1">
      <x:c r="A44" s="17" t="str">
        <x:v>P0-043</x:v>
      </x:c>
      <x:c r="B44" s="17" t="n">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x:c r="N44" s="17"/>
      <x:c r="O44" s="17"/>
      <x:c r="P44" s="17"/>
      <x:c r="Q44" s="17"/>
    </x:row>
    <x:row r="45" ht="23" customHeight="1">
      <x:c r="A45" s="17" t="str">
        <x:v>P0-044</x:v>
      </x:c>
      <x:c r="B45" s="17" t="n">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x:c r="N45" s="17"/>
      <x:c r="O45" s="17"/>
      <x:c r="P45" s="17"/>
      <x:c r="Q45" s="17"/>
    </x:row>
    <x:row r="46" ht="23" customHeight="1">
      <x:c r="A46" s="17" t="str">
        <x:v>P0-045</x:v>
      </x:c>
      <x:c r="B46" s="17" t="n">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n">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n">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n">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x:c r="N49" s="17"/>
      <x:c r="O49" s="17"/>
      <x:c r="P49" s="17"/>
      <x:c r="Q49" s="17"/>
    </x:row>
    <x:row r="50" ht="23" customHeight="1">
      <x:c r="A50" s="17" t="str">
        <x:v>P0-049</x:v>
      </x:c>
      <x:c r="B50" s="17" t="n">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x:c r="N50" s="17"/>
      <x:c r="O50" s="17"/>
      <x:c r="P50" s="17"/>
      <x:c r="Q50" s="17"/>
    </x:row>
    <x:row r="51" ht="23" customHeight="1">
      <x:c r="A51" s="17" t="str">
        <x:v>P0-050</x:v>
      </x:c>
      <x:c r="B51" s="17" t="n">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x:c r="N51" s="17"/>
      <x:c r="O51" s="17"/>
      <x:c r="P51" s="17"/>
      <x:c r="Q51" s="17"/>
    </x:row>
    <x:row r="52" ht="23" customHeight="1">
      <x:c r="A52" s="17" t="str">
        <x:v>P0-051</x:v>
      </x:c>
      <x:c r="B52" s="17" t="n">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x:c r="N52" s="17"/>
      <x:c r="O52" s="17"/>
      <x:c r="P52" s="17"/>
      <x:c r="Q52" s="17"/>
    </x:row>
    <x:row r="53" ht="23" customHeight="1">
      <x:c r="A53" s="17" t="str">
        <x:v>P0-052</x:v>
      </x:c>
      <x:c r="B53" s="17" t="n">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x:c r="N53" s="17"/>
      <x:c r="O53" s="17"/>
      <x:c r="P53" s="17"/>
      <x:c r="Q53" s="17"/>
    </x:row>
    <x:row r="54" ht="23" customHeight="1">
      <x:c r="A54" s="17" t="str">
        <x:v>P0-053</x:v>
      </x:c>
      <x:c r="B54" s="17" t="n">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x:c r="N54" s="17"/>
      <x:c r="O54" s="17"/>
      <x:c r="P54" s="17"/>
      <x:c r="Q54" s="17"/>
    </x:row>
    <x:row r="55" ht="23" customHeight="1">
      <x:c r="A55" s="17" t="str">
        <x:v>P0-054</x:v>
      </x:c>
      <x:c r="B55" s="17" t="n">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x:c r="N55" s="17"/>
      <x:c r="O55" s="17"/>
      <x:c r="P55" s="17"/>
      <x:c r="Q55" s="17"/>
    </x:row>
    <x:row r="56" ht="23" customHeight="1">
      <x:c r="A56" s="17" t="str">
        <x:v>P0-055</x:v>
      </x:c>
      <x:c r="B56" s="17" t="n">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x:c r="N56" s="17"/>
      <x:c r="O56" s="17"/>
      <x:c r="P56" s="17"/>
      <x:c r="Q56" s="17"/>
    </x:row>
    <x:row r="57" ht="23" customHeight="1">
      <x:c r="A57" s="17" t="str">
        <x:v>P0-056</x:v>
      </x:c>
      <x:c r="B57" s="17" t="n">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x:c r="N57" s="17"/>
      <x:c r="O57" s="17"/>
      <x:c r="P57" s="17"/>
      <x:c r="Q57" s="17"/>
    </x:row>
    <x:row r="58" ht="23" customHeight="1">
      <x:c r="A58" s="17" t="str">
        <x:v>P0-057</x:v>
      </x:c>
      <x:c r="B58" s="17" t="n">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x:c r="N58" s="17"/>
      <x:c r="O58" s="17"/>
      <x:c r="P58" s="17"/>
      <x:c r="Q58" s="17"/>
    </x:row>
    <x:row r="59" ht="23" customHeight="1">
      <x:c r="A59" s="17" t="str">
        <x:v>P0-058</x:v>
      </x:c>
      <x:c r="B59" s="17" t="n">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x:c r="N59" s="17"/>
      <x:c r="O59" s="17"/>
      <x:c r="P59" s="17"/>
      <x:c r="Q59" s="17"/>
    </x:row>
    <x:row r="60" ht="23" customHeight="1">
      <x:c r="A60" s="17" t="str">
        <x:v>P0-059</x:v>
      </x:c>
      <x:c r="B60" s="17" t="n">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x:c r="N60" s="17"/>
      <x:c r="O60" s="17"/>
      <x:c r="P60" s="17"/>
      <x:c r="Q60" s="17"/>
    </x:row>
    <x:row r="61" ht="23" customHeight="1">
      <x:c r="A61" s="17" t="str">
        <x:v>P0-060</x:v>
      </x:c>
      <x:c r="B61" s="17" t="n">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x:c r="N61" s="17"/>
      <x:c r="O61" s="17"/>
      <x:c r="P61" s="17"/>
      <x:c r="Q61" s="17"/>
    </x:row>
    <x:row r="62" ht="23" customHeight="1">
      <x:c r="A62" s="17" t="str">
        <x:v>P0-061</x:v>
      </x:c>
      <x:c r="B62" s="17" t="n">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x:c r="O62" s="17"/>
      <x:c r="P62" s="17"/>
      <x:c r="Q62" s="17" t="str">
        <x:v>M2-000仅冻结测试ID、失败行为和证据要求；业务切片须逐项先RED再实现；当前仍为NOT_EXECUTED</x:v>
      </x:c>
    </x:row>
    <x:row r="63" ht="23" customHeight="1">
      <x:c r="A63" s="17" t="str">
        <x:v>P0-062</x:v>
      </x:c>
      <x:c r="B63" s="17" t="n">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x:c r="N63" s="17"/>
      <x:c r="O63" s="17"/>
      <x:c r="P63" s="17"/>
      <x:c r="Q63" s="17"/>
    </x:row>
    <x:row r="64" ht="23" customHeight="1">
      <x:c r="A64" s="17" t="str">
        <x:v>P0-063</x:v>
      </x:c>
      <x:c r="B64" s="17" t="n">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x:c r="O64" s="17"/>
      <x:c r="P64" s="17"/>
      <x:c r="Q64" s="17" t="str">
        <x:v>M2-000仅冻结测试ID、失败行为和证据要求；业务切片须逐项先RED再实现；当前仍为NOT_EXECUTED</x:v>
      </x:c>
    </x:row>
    <x:row r="65" ht="23" customHeight="1">
      <x:c r="A65" s="17" t="str">
        <x:v>P0-064</x:v>
      </x:c>
      <x:c r="B65" s="17" t="n">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x:c r="N65" s="17"/>
      <x:c r="O65" s="17"/>
      <x:c r="P65" s="17"/>
      <x:c r="Q65" s="17"/>
    </x:row>
    <x:row r="66" ht="23" customHeight="1">
      <x:c r="A66" s="17" t="str">
        <x:v>P0-065</x:v>
      </x:c>
      <x:c r="B66" s="17" t="n">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x:c r="N66" s="17"/>
      <x:c r="O66" s="17"/>
      <x:c r="P66" s="17"/>
      <x:c r="Q66" s="17"/>
    </x:row>
    <x:row r="67" ht="23" customHeight="1">
      <x:c r="A67" s="17" t="str">
        <x:v>P0-066</x:v>
      </x:c>
      <x:c r="B67" s="17" t="n">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n">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n">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n">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n">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n">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x:c r="O72" s="17"/>
      <x:c r="P72" s="17"/>
      <x:c r="Q72" s="17" t="str">
        <x:v>M2-000仅冻结测试ID、失败行为和证据要求；业务切片须逐项先RED再实现；当前仍为NOT_EXECUTED</x:v>
      </x:c>
    </x:row>
    <x:row r="73" ht="23" customHeight="1">
      <x:c r="A73" s="17" t="str">
        <x:v>P0-072</x:v>
      </x:c>
      <x:c r="B73" s="17" t="n">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n">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x:c r="N74" s="17"/>
      <x:c r="O74" s="17"/>
      <x:c r="P74" s="17"/>
      <x:c r="Q74" s="17"/>
    </x:row>
    <x:row r="75" ht="23" customHeight="1">
      <x:c r="A75" s="17" t="str">
        <x:v>P0-074</x:v>
      </x:c>
      <x:c r="B75" s="17" t="n">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x:c r="N75" s="17"/>
      <x:c r="O75" s="17"/>
      <x:c r="P75" s="17"/>
      <x:c r="Q75" s="17"/>
    </x:row>
    <x:row r="76" ht="23" customHeight="1">
      <x:c r="A76" s="17" t="str">
        <x:v>P0-075</x:v>
      </x:c>
      <x:c r="B76" s="17" t="n">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x:c r="N76" s="17"/>
      <x:c r="O76" s="17"/>
      <x:c r="P76" s="17"/>
      <x:c r="Q76" s="17"/>
    </x:row>
    <x:row r="77" ht="23" customHeight="1">
      <x:c r="A77" s="17" t="str">
        <x:v>P0-076</x:v>
      </x:c>
      <x:c r="B77" s="17" t="n">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x:c r="N77" s="17"/>
      <x:c r="O77" s="17"/>
      <x:c r="P77" s="17"/>
      <x:c r="Q77" s="17"/>
    </x:row>
    <x:row r="78" ht="23" customHeight="1">
      <x:c r="A78" s="17" t="str">
        <x:v>P0-077</x:v>
      </x:c>
      <x:c r="B78" s="17" t="n">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x:c r="N78" s="17"/>
      <x:c r="O78" s="17"/>
      <x:c r="P78" s="17"/>
      <x:c r="Q78" s="17"/>
    </x:row>
    <x:row r="79" ht="23" customHeight="1">
      <x:c r="A79" s="17" t="str">
        <x:v>P0-078</x:v>
      </x:c>
      <x:c r="B79" s="17" t="n">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x:c r="N79" s="17"/>
      <x:c r="O79" s="17"/>
      <x:c r="P79" s="17"/>
      <x:c r="Q79" s="17"/>
    </x:row>
    <x:row r="80" ht="23" customHeight="1">
      <x:c r="A80" s="17" t="str">
        <x:v>P0-079</x:v>
      </x:c>
      <x:c r="B80" s="17" t="n">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x:c r="N80" s="17"/>
      <x:c r="O80" s="17"/>
      <x:c r="P80" s="17"/>
      <x:c r="Q80" s="17"/>
    </x:row>
    <x:row r="81" ht="23" customHeight="1">
      <x:c r="A81" s="17" t="str">
        <x:v>P0-080</x:v>
      </x:c>
      <x:c r="B81" s="17" t="n">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x:c r="N81" s="17"/>
      <x:c r="O81" s="17"/>
      <x:c r="P81" s="17"/>
      <x:c r="Q81" s="17"/>
    </x:row>
    <x:row r="82" ht="23" customHeight="1">
      <x:c r="A82" s="17" t="str">
        <x:v>P0-081</x:v>
      </x:c>
      <x:c r="B82" s="17" t="n">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x:c r="N82" s="17"/>
      <x:c r="O82" s="17"/>
      <x:c r="P82" s="17"/>
      <x:c r="Q82" s="17"/>
    </x:row>
    <x:row r="83" ht="23" customHeight="1">
      <x:c r="A83" s="17" t="str">
        <x:v>P0-082</x:v>
      </x:c>
      <x:c r="B83" s="17" t="n">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x:c r="N83" s="17"/>
      <x:c r="O83" s="17"/>
      <x:c r="P83" s="17"/>
      <x:c r="Q83" s="17"/>
    </x:row>
    <x:row r="84" ht="23" customHeight="1">
      <x:c r="A84" s="17" t="str">
        <x:v>P0-083</x:v>
      </x:c>
      <x:c r="B84" s="17" t="n">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x:c r="N84" s="17"/>
      <x:c r="O84" s="17"/>
      <x:c r="P84" s="17"/>
      <x:c r="Q84" s="17"/>
    </x:row>
    <x:row r="85" ht="23" customHeight="1">
      <x:c r="A85" s="17" t="str">
        <x:v>P0-084</x:v>
      </x:c>
      <x:c r="B85" s="17" t="n">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x:c r="N85" s="17"/>
      <x:c r="O85" s="17"/>
      <x:c r="P85" s="17"/>
      <x:c r="Q85" s="17"/>
    </x:row>
    <x:row r="86" ht="23" customHeight="1">
      <x:c r="A86" s="17" t="str">
        <x:v>P0-085</x:v>
      </x:c>
      <x:c r="B86" s="17" t="n">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x:c r="N86" s="17"/>
      <x:c r="O86" s="17"/>
      <x:c r="P86" s="17"/>
      <x:c r="Q86" s="17"/>
    </x:row>
    <x:row r="87" ht="23" customHeight="1">
      <x:c r="A87" s="17" t="str">
        <x:v>P0-086</x:v>
      </x:c>
      <x:c r="B87" s="17" t="n">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x:c r="N87" s="17"/>
      <x:c r="O87" s="17"/>
      <x:c r="P87" s="17"/>
      <x:c r="Q87" s="17"/>
    </x:row>
    <x:row r="88" ht="23" customHeight="1">
      <x:c r="A88" s="17" t="str">
        <x:v>P0-087</x:v>
      </x:c>
      <x:c r="B88" s="17" t="n">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x:c r="N88" s="17"/>
      <x:c r="O88" s="17"/>
      <x:c r="P88" s="17"/>
      <x:c r="Q88" s="17"/>
    </x:row>
    <x:row r="89" ht="23" customHeight="1">
      <x:c r="A89" s="17" t="str">
        <x:v>P0-088</x:v>
      </x:c>
      <x:c r="B89" s="17" t="n">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x:c r="N89" s="17"/>
      <x:c r="O89" s="17"/>
      <x:c r="P89" s="17"/>
      <x:c r="Q89" s="17"/>
    </x:row>
    <x:row r="90" ht="23" customHeight="1">
      <x:c r="A90" s="17" t="str">
        <x:v>P0-089</x:v>
      </x:c>
      <x:c r="B90" s="17" t="n">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x:c r="N90" s="17"/>
      <x:c r="O90" s="17"/>
      <x:c r="P90" s="17"/>
      <x:c r="Q90" s="17"/>
    </x:row>
    <x:row r="91" ht="23" customHeight="1">
      <x:c r="A91" s="17" t="str">
        <x:v>P0-090</x:v>
      </x:c>
      <x:c r="B91" s="17" t="n">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x:c r="N91" s="17"/>
      <x:c r="O91" s="17"/>
      <x:c r="P91" s="17"/>
      <x:c r="Q91" s="17"/>
    </x:row>
    <x:row r="92" ht="23" customHeight="1">
      <x:c r="A92" s="17" t="str">
        <x:v>P0-091</x:v>
      </x:c>
      <x:c r="B92" s="17" t="n">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x:c r="N92" s="17"/>
      <x:c r="O92" s="17"/>
      <x:c r="P92" s="17"/>
      <x:c r="Q92" s="17"/>
    </x:row>
    <x:row r="93" ht="23" customHeight="1">
      <x:c r="A93" s="17" t="str">
        <x:v>P0-092</x:v>
      </x:c>
      <x:c r="B93" s="17" t="n">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x:c r="N93" s="17"/>
      <x:c r="O93" s="17"/>
      <x:c r="P93" s="17"/>
      <x:c r="Q93" s="17"/>
    </x:row>
    <x:row r="94" ht="23" customHeight="1">
      <x:c r="A94" s="17" t="str">
        <x:v>P0-093</x:v>
      </x:c>
      <x:c r="B94" s="17" t="n">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x:c r="N94" s="17"/>
      <x:c r="O94" s="17"/>
      <x:c r="P94" s="17"/>
      <x:c r="Q94" s="17"/>
    </x:row>
    <x:row r="95" ht="23" customHeight="1">
      <x:c r="A95" s="17" t="str">
        <x:v>P0-094</x:v>
      </x:c>
      <x:c r="B95" s="17" t="n">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x:c r="N95" s="17"/>
      <x:c r="O95" s="17"/>
      <x:c r="P95" s="17"/>
      <x:c r="Q95" s="17"/>
    </x:row>
    <x:row r="96" ht="23" customHeight="1">
      <x:c r="A96" s="17" t="str">
        <x:v>P0-095</x:v>
      </x:c>
      <x:c r="B96" s="17" t="n">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x:c r="N96" s="17"/>
      <x:c r="O96" s="17"/>
      <x:c r="P96" s="17"/>
      <x:c r="Q96" s="17"/>
    </x:row>
    <x:row r="97" ht="23" customHeight="1">
      <x:c r="A97" s="17" t="str">
        <x:v>P0-096</x:v>
      </x:c>
      <x:c r="B97" s="17" t="n">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x:c r="N97" s="17"/>
      <x:c r="O97" s="17"/>
      <x:c r="P97" s="17"/>
      <x:c r="Q97" s="17"/>
    </x:row>
    <x:row r="98" ht="23" customHeight="1">
      <x:c r="A98" s="17" t="str">
        <x:v>P0-097</x:v>
      </x:c>
      <x:c r="B98" s="17" t="n">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x:c r="N98" s="17"/>
      <x:c r="O98" s="17"/>
      <x:c r="P98" s="17"/>
      <x:c r="Q98" s="17"/>
    </x:row>
    <x:row r="99" ht="23" customHeight="1">
      <x:c r="A99" s="17" t="str">
        <x:v>P0-098</x:v>
      </x:c>
      <x:c r="B99" s="17" t="n">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x:c r="N99" s="17"/>
      <x:c r="O99" s="17"/>
      <x:c r="P99" s="17"/>
      <x:c r="Q99" s="17"/>
    </x:row>
    <x:row r="100" ht="23" customHeight="1">
      <x:c r="A100" s="17" t="str">
        <x:v>P0-099</x:v>
      </x:c>
      <x:c r="B100" s="17" t="n">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x:c r="N100" s="17"/>
      <x:c r="O100" s="17"/>
      <x:c r="P100" s="17"/>
      <x:c r="Q100" s="17"/>
    </x:row>
    <x:row r="101" ht="23" customHeight="1">
      <x:c r="A101" s="17" t="str">
        <x:v>P0-100</x:v>
      </x:c>
      <x:c r="B101" s="17" t="n">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x:c r="N101" s="17"/>
      <x:c r="O101" s="17"/>
      <x:c r="P101" s="17"/>
      <x:c r="Q101" s="17"/>
    </x:row>
    <x:row r="102" ht="23" customHeight="1">
      <x:c r="A102" s="17" t="str">
        <x:v>P0-101</x:v>
      </x:c>
      <x:c r="B102" s="17" t="n">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x:c r="N102" s="17"/>
      <x:c r="O102" s="17"/>
      <x:c r="P102" s="17"/>
      <x:c r="Q102" s="17"/>
    </x:row>
    <x:row r="103" ht="23" customHeight="1">
      <x:c r="A103" s="17" t="str">
        <x:v>P0-102</x:v>
      </x:c>
      <x:c r="B103" s="17" t="n">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x:c r="N103" s="17"/>
      <x:c r="O103" s="17"/>
      <x:c r="P103" s="17"/>
      <x:c r="Q103" s="17"/>
    </x:row>
    <x:row r="104" ht="23" customHeight="1">
      <x:c r="A104" s="17" t="str">
        <x:v>P0-103</x:v>
      </x:c>
      <x:c r="B104" s="17" t="n">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x:c r="N104" s="17"/>
      <x:c r="O104" s="17"/>
      <x:c r="P104" s="17"/>
      <x:c r="Q104" s="17"/>
    </x:row>
    <x:row r="105" ht="23" customHeight="1">
      <x:c r="A105" s="17" t="str">
        <x:v>P0-104</x:v>
      </x:c>
      <x:c r="B105" s="17" t="n">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x:c r="N105" s="17"/>
      <x:c r="O105" s="17"/>
      <x:c r="P105" s="17"/>
      <x:c r="Q105" s="17"/>
    </x:row>
    <x:row r="106" ht="23" customHeight="1">
      <x:c r="A106" s="17" t="str">
        <x:v>P0-105</x:v>
      </x:c>
      <x:c r="B106" s="17" t="n">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x:c r="N106" s="17"/>
      <x:c r="O106" s="17"/>
      <x:c r="P106" s="17"/>
      <x:c r="Q106" s="17"/>
    </x:row>
    <x:row r="107" ht="23" customHeight="1">
      <x:c r="A107" s="17" t="str">
        <x:v>P0-106</x:v>
      </x:c>
      <x:c r="B107" s="17" t="n">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x:c r="N107" s="17"/>
      <x:c r="O107" s="17"/>
      <x:c r="P107" s="17"/>
      <x:c r="Q107" s="17"/>
    </x:row>
    <x:row r="108" ht="23" customHeight="1">
      <x:c r="A108" s="17" t="str">
        <x:v>P0-107</x:v>
      </x:c>
      <x:c r="B108" s="17" t="n">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x:c r="N108" s="17"/>
      <x:c r="O108" s="17"/>
      <x:c r="P108" s="17"/>
      <x:c r="Q108" s="17"/>
    </x:row>
    <x:row r="109" ht="23" customHeight="1">
      <x:c r="A109" s="17" t="str">
        <x:v>P0-108</x:v>
      </x:c>
      <x:c r="B109" s="17" t="n">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x:c r="N109" s="17"/>
      <x:c r="O109" s="17"/>
      <x:c r="P109" s="17"/>
      <x:c r="Q109" s="17"/>
    </x:row>
    <x:row r="110" ht="23" customHeight="1">
      <x:c r="A110" s="17" t="str">
        <x:v>P0-109</x:v>
      </x:c>
      <x:c r="B110" s="17" t="n">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x:c r="N110" s="17"/>
      <x:c r="O110" s="17"/>
      <x:c r="P110" s="17"/>
      <x:c r="Q110" s="17"/>
    </x:row>
    <x:row r="111" ht="23" customHeight="1">
      <x:c r="A111" s="17" t="str">
        <x:v>P0-110</x:v>
      </x:c>
      <x:c r="B111" s="17" t="n">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x:c r="N111" s="17"/>
      <x:c r="O111" s="17"/>
      <x:c r="P111" s="17"/>
      <x:c r="Q111" s="17"/>
    </x:row>
    <x:row r="112" ht="23" customHeight="1">
      <x:c r="A112" s="17" t="str">
        <x:v>P0-111</x:v>
      </x:c>
      <x:c r="B112" s="17" t="n">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x:c r="N112" s="17"/>
      <x:c r="O112" s="17"/>
      <x:c r="P112" s="17"/>
      <x:c r="Q112" s="17"/>
    </x:row>
    <x:row r="113" ht="23" customHeight="1">
      <x:c r="A113" s="17" t="str">
        <x:v>P0-112</x:v>
      </x:c>
      <x:c r="B113" s="17" t="n">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x:c r="N113" s="17"/>
      <x:c r="O113" s="17"/>
      <x:c r="P113" s="17"/>
      <x:c r="Q113" s="17"/>
    </x:row>
    <x:row r="114" ht="23" customHeight="1">
      <x:c r="A114" s="17" t="str">
        <x:v>P0-113</x:v>
      </x:c>
      <x:c r="B114" s="17" t="n">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x:c r="N114" s="17"/>
      <x:c r="O114" s="17"/>
      <x:c r="P114" s="17"/>
      <x:c r="Q114" s="17"/>
    </x:row>
    <x:row r="115" ht="23" customHeight="1">
      <x:c r="A115" s="17" t="str">
        <x:v>P0-114</x:v>
      </x:c>
      <x:c r="B115" s="17" t="n">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x:c r="N115" s="17"/>
      <x:c r="O115" s="17"/>
      <x:c r="P115" s="17"/>
      <x:c r="Q115" s="17"/>
    </x:row>
    <x:row r="116" ht="23" customHeight="1">
      <x:c r="A116" s="17" t="str">
        <x:v>P0-115</x:v>
      </x:c>
      <x:c r="B116" s="17" t="n">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x:c r="N116" s="17"/>
      <x:c r="O116" s="17"/>
      <x:c r="P116" s="17"/>
      <x:c r="Q116" s="17"/>
    </x:row>
    <x:row r="117" ht="23" customHeight="1">
      <x:c r="A117" s="17" t="str">
        <x:v>P0-116</x:v>
      </x:c>
      <x:c r="B117" s="17" t="n">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x:c r="N117" s="17"/>
      <x:c r="O117" s="17"/>
      <x:c r="P117" s="17"/>
      <x:c r="Q117" s="17"/>
    </x:row>
    <x:row r="118" ht="23" customHeight="1">
      <x:c r="A118" s="17" t="str">
        <x:v>P0-117</x:v>
      </x:c>
      <x:c r="B118" s="17" t="n">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x:c r="N118" s="17"/>
      <x:c r="O118" s="17"/>
      <x:c r="P118" s="17"/>
      <x:c r="Q118" s="17"/>
    </x:row>
    <x:row r="119" ht="23" customHeight="1">
      <x:c r="A119" s="17" t="str">
        <x:v>P0-118</x:v>
      </x:c>
      <x:c r="B119" s="17" t="n">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x:c r="N119" s="17"/>
      <x:c r="O119" s="17"/>
      <x:c r="P119" s="17"/>
      <x:c r="Q119" s="17"/>
    </x:row>
    <x:row r="120" ht="23" customHeight="1">
      <x:c r="A120" s="18" t="str">
        <x:v>P0-119</x:v>
      </x:c>
      <x:c r="B120" s="18" t="n">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x:c r="N120" s="18"/>
      <x:c r="O120" s="18"/>
      <x:c r="P120" s="18"/>
      <x:c r="Q120" s="18"/>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2b3d717da54468a"/>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row r="660">
      <x:c r="A660"/>
      <x:c r="B660"/>
      <x:c r="C660"/>
      <x:c r="D660"/>
      <x:c r="E660"/>
      <x:c r="F660"/>
      <x:c r="G660"/>
      <x:c r="H660"/>
      <x:c r="I660"/>
      <x:c r="J660"/>
      <x:c r="K660"/>
      <x:c r="L660"/>
      <x:c r="M660"/>
      <x:c r="N660"/>
      <x:c r="O660"/>
      <x:c r="P660"/>
    </x:row>
    <x:row r="661">
      <x:c r="A661"/>
      <x:c r="B661"/>
      <x:c r="C661"/>
      <x:c r="D661"/>
      <x:c r="E661"/>
      <x:c r="F661"/>
      <x:c r="G661"/>
      <x:c r="H661"/>
      <x:c r="I661"/>
      <x:c r="J661"/>
      <x:c r="K661"/>
      <x:c r="L661"/>
      <x:c r="M661"/>
      <x:c r="N661"/>
      <x:c r="O661"/>
      <x:c r="P661"/>
    </x:row>
    <x:row r="662">
      <x:c r="A662"/>
      <x:c r="B662"/>
      <x:c r="C662"/>
      <x:c r="D662"/>
      <x:c r="E662"/>
      <x:c r="F662"/>
      <x:c r="G662"/>
      <x:c r="H662"/>
      <x:c r="I662"/>
      <x:c r="J662"/>
      <x:c r="K662"/>
      <x:c r="L662"/>
      <x:c r="M662"/>
      <x:c r="N662"/>
      <x:c r="O662"/>
      <x:c r="P662"/>
    </x:row>
    <x:row r="663">
      <x:c r="A663"/>
      <x:c r="B663"/>
      <x:c r="C663"/>
      <x:c r="D663"/>
      <x:c r="E663"/>
      <x:c r="F663"/>
      <x:c r="G663"/>
      <x:c r="H663"/>
      <x:c r="I663"/>
      <x:c r="J663"/>
      <x:c r="K663"/>
      <x:c r="L663"/>
      <x:c r="M663"/>
      <x:c r="N663"/>
      <x:c r="O663"/>
      <x:c r="P663"/>
    </x:row>
    <x:row r="664">
      <x:c r="A664"/>
      <x:c r="B664"/>
      <x:c r="C664"/>
      <x:c r="D664"/>
      <x:c r="E664"/>
      <x:c r="F664"/>
      <x:c r="G664"/>
      <x:c r="H664"/>
      <x:c r="I664"/>
      <x:c r="J664"/>
      <x:c r="K664"/>
      <x:c r="L664"/>
      <x:c r="M664"/>
      <x:c r="N664"/>
      <x:c r="O664"/>
      <x:c r="P664"/>
    </x:row>
    <x:row r="665">
      <x:c r="A665"/>
      <x:c r="B665"/>
      <x:c r="C665"/>
      <x:c r="D665"/>
      <x:c r="E665"/>
      <x:c r="F665"/>
      <x:c r="G665"/>
      <x:c r="H665"/>
      <x:c r="I665"/>
      <x:c r="J665"/>
      <x:c r="K665"/>
      <x:c r="L665"/>
      <x:c r="M665"/>
      <x:c r="N665"/>
      <x:c r="O665"/>
      <x:c r="P665"/>
    </x:row>
    <x:row r="666">
      <x:c r="A666"/>
      <x:c r="B666"/>
      <x:c r="C666"/>
      <x:c r="D666"/>
      <x:c r="E666"/>
      <x:c r="F666"/>
      <x:c r="G666"/>
      <x:c r="H666"/>
      <x:c r="I666"/>
      <x:c r="J666"/>
      <x:c r="K666"/>
      <x:c r="L666"/>
      <x:c r="M666"/>
      <x:c r="N666"/>
      <x:c r="O666"/>
      <x:c r="P666"/>
    </x:row>
    <x:row r="667">
      <x:c r="A667"/>
      <x:c r="B667"/>
      <x:c r="C667"/>
      <x:c r="D667"/>
      <x:c r="E667"/>
      <x:c r="F667"/>
      <x:c r="G667"/>
      <x:c r="H667"/>
      <x:c r="I667"/>
      <x:c r="J667"/>
      <x:c r="K667"/>
      <x:c r="L667"/>
      <x:c r="M667"/>
      <x:c r="N667"/>
      <x:c r="O667"/>
      <x:c r="P667"/>
    </x:row>
    <x:row r="668">
      <x:c r="A668"/>
      <x:c r="B668"/>
      <x:c r="C668"/>
      <x:c r="D668"/>
      <x:c r="E668"/>
      <x:c r="F668"/>
      <x:c r="G668"/>
      <x:c r="H668"/>
      <x:c r="I668"/>
      <x:c r="J668"/>
      <x:c r="K668"/>
      <x:c r="L668"/>
      <x:c r="M668"/>
      <x:c r="N668"/>
      <x:c r="O668"/>
      <x:c r="P668"/>
    </x:row>
    <x:row r="669">
      <x:c r="A669"/>
      <x:c r="B669"/>
      <x:c r="C669"/>
      <x:c r="D669"/>
      <x:c r="E669"/>
      <x:c r="F669"/>
      <x:c r="G669"/>
      <x:c r="H669"/>
      <x:c r="I669"/>
      <x:c r="J669"/>
      <x:c r="K669"/>
      <x:c r="L669"/>
      <x:c r="M669"/>
      <x:c r="N669"/>
      <x:c r="O669"/>
      <x:c r="P669"/>
    </x:row>
    <x:row r="670">
      <x:c r="A670"/>
      <x:c r="B670"/>
      <x:c r="C670"/>
      <x:c r="D670"/>
      <x:c r="E670"/>
      <x:c r="F670"/>
      <x:c r="G670"/>
      <x:c r="H670"/>
      <x:c r="I670"/>
      <x:c r="J670"/>
      <x:c r="K670"/>
      <x:c r="L670"/>
      <x:c r="M670"/>
      <x:c r="N670"/>
      <x:c r="O670"/>
      <x:c r="P670"/>
    </x:row>
    <x:row r="671">
      <x:c r="A671"/>
      <x:c r="B671"/>
      <x:c r="C671"/>
      <x:c r="D671"/>
      <x:c r="E671"/>
      <x:c r="F671"/>
      <x:c r="G671"/>
      <x:c r="H671"/>
      <x:c r="I671"/>
      <x:c r="J671"/>
      <x:c r="K671"/>
      <x:c r="L671"/>
      <x:c r="M671"/>
      <x:c r="N671"/>
      <x:c r="O671"/>
      <x:c r="P671"/>
    </x:row>
    <x:row r="672">
      <x:c r="A672"/>
      <x:c r="B672"/>
      <x:c r="C672"/>
      <x:c r="D672"/>
      <x:c r="E672"/>
      <x:c r="F672"/>
      <x:c r="G672"/>
      <x:c r="H672"/>
      <x:c r="I672"/>
      <x:c r="J672"/>
      <x:c r="K672"/>
      <x:c r="L672"/>
      <x:c r="M672"/>
      <x:c r="N672"/>
      <x:c r="O672"/>
      <x:c r="P672"/>
    </x:row>
    <x:row r="673">
      <x:c r="A673"/>
      <x:c r="B673"/>
      <x:c r="C673"/>
      <x:c r="D673"/>
      <x:c r="E673"/>
      <x:c r="F673"/>
      <x:c r="G673"/>
      <x:c r="H673"/>
      <x:c r="I673"/>
      <x:c r="J673"/>
      <x:c r="K673"/>
      <x:c r="L673"/>
      <x:c r="M673"/>
      <x:c r="N673"/>
      <x:c r="O673"/>
      <x:c r="P673"/>
    </x:row>
    <x:row r="674">
      <x:c r="A674"/>
      <x:c r="B674"/>
      <x:c r="C674"/>
      <x:c r="D674"/>
      <x:c r="E674"/>
      <x:c r="F674"/>
      <x:c r="G674"/>
      <x:c r="H674"/>
      <x:c r="I674"/>
      <x:c r="J674"/>
      <x:c r="K674"/>
      <x:c r="L674"/>
      <x:c r="M674"/>
      <x:c r="N674"/>
      <x:c r="O674"/>
      <x:c r="P674"/>
    </x:row>
    <x:row r="675">
      <x:c r="A675"/>
      <x:c r="B675"/>
      <x:c r="C675"/>
      <x:c r="D675"/>
      <x:c r="E675"/>
      <x:c r="F675"/>
      <x:c r="G675"/>
      <x:c r="H675"/>
      <x:c r="I675"/>
      <x:c r="J675"/>
      <x:c r="K675"/>
      <x:c r="L675"/>
      <x:c r="M675"/>
      <x:c r="N675"/>
      <x:c r="O675"/>
      <x:c r="P675"/>
    </x:row>
    <x:row r="676">
      <x:c r="A676"/>
      <x:c r="B676"/>
      <x:c r="C676"/>
      <x:c r="D676"/>
      <x:c r="E676"/>
      <x:c r="F676"/>
      <x:c r="G676"/>
      <x:c r="H676"/>
      <x:c r="I676"/>
      <x:c r="J676"/>
      <x:c r="K676"/>
      <x:c r="L676"/>
      <x:c r="M676"/>
      <x:c r="N676"/>
      <x:c r="O676"/>
      <x:c r="P676"/>
    </x:row>
    <x:row r="677">
      <x:c r="A677"/>
      <x:c r="B677"/>
      <x:c r="C677"/>
      <x:c r="D677"/>
      <x:c r="E677"/>
      <x:c r="F677"/>
      <x:c r="G677"/>
      <x:c r="H677"/>
      <x:c r="I677"/>
      <x:c r="J677"/>
      <x:c r="K677"/>
      <x:c r="L677"/>
      <x:c r="M677"/>
      <x:c r="N677"/>
      <x:c r="O677"/>
      <x:c r="P677"/>
    </x:row>
    <x:row r="678">
      <x:c r="A678"/>
      <x:c r="B678"/>
      <x:c r="C678"/>
      <x:c r="D678"/>
      <x:c r="E678"/>
      <x:c r="F678"/>
      <x:c r="G678"/>
      <x:c r="H678"/>
      <x:c r="I678"/>
      <x:c r="J678"/>
      <x:c r="K678"/>
      <x:c r="L678"/>
      <x:c r="M678"/>
      <x:c r="N678"/>
      <x:c r="O678"/>
      <x:c r="P678"/>
    </x:row>
    <x:row r="679">
      <x:c r="A679"/>
      <x:c r="B679"/>
      <x:c r="C679"/>
      <x:c r="D679"/>
      <x:c r="E679"/>
      <x:c r="F679"/>
      <x:c r="G679"/>
      <x:c r="H679"/>
      <x:c r="I679"/>
      <x:c r="J679"/>
      <x:c r="K679"/>
      <x:c r="L679"/>
      <x:c r="M679"/>
      <x:c r="N679"/>
      <x:c r="O679"/>
      <x:c r="P679"/>
    </x:row>
    <x:row r="680">
      <x:c r="A680"/>
      <x:c r="B680"/>
      <x:c r="C680"/>
      <x:c r="D680"/>
      <x:c r="E680"/>
      <x:c r="F680"/>
      <x:c r="G680"/>
      <x:c r="H680"/>
      <x:c r="I680"/>
      <x:c r="J680"/>
      <x:c r="K680"/>
      <x:c r="L680"/>
      <x:c r="M680"/>
      <x:c r="N680"/>
      <x:c r="O680"/>
      <x:c r="P680"/>
    </x:row>
    <x:row r="681">
      <x:c r="A681"/>
      <x:c r="B681"/>
      <x:c r="C681"/>
      <x:c r="D681"/>
      <x:c r="E681"/>
      <x:c r="F681"/>
      <x:c r="G681"/>
      <x:c r="H681"/>
      <x:c r="I681"/>
      <x:c r="J681"/>
      <x:c r="K681"/>
      <x:c r="L681"/>
      <x:c r="M681"/>
      <x:c r="N681"/>
      <x:c r="O681"/>
      <x:c r="P681"/>
    </x:row>
    <x:row r="682">
      <x:c r="A682"/>
      <x:c r="B682"/>
      <x:c r="C682"/>
      <x:c r="D682"/>
      <x:c r="E682"/>
      <x:c r="F682"/>
      <x:c r="G682"/>
      <x:c r="H682"/>
      <x:c r="I682"/>
      <x:c r="J682"/>
      <x:c r="K682"/>
      <x:c r="L682"/>
      <x:c r="M682"/>
      <x:c r="N682"/>
      <x:c r="O682"/>
      <x:c r="P682"/>
    </x:row>
    <x:row r="683">
      <x:c r="A683"/>
      <x:c r="B683"/>
      <x:c r="C683"/>
      <x:c r="D683"/>
      <x:c r="E683"/>
      <x:c r="F683"/>
      <x:c r="G683"/>
      <x:c r="H683"/>
      <x:c r="I683"/>
      <x:c r="J683"/>
      <x:c r="K683"/>
      <x:c r="L683"/>
      <x:c r="M683"/>
      <x:c r="N683"/>
      <x:c r="O683"/>
      <x:c r="P683"/>
    </x:row>
    <x:row r="684">
      <x:c r="A684"/>
      <x:c r="B684"/>
      <x:c r="C684"/>
      <x:c r="D684"/>
      <x:c r="E684"/>
      <x:c r="F684"/>
      <x:c r="G684"/>
      <x:c r="H684"/>
      <x:c r="I684"/>
      <x:c r="J684"/>
      <x:c r="K684"/>
      <x:c r="L684"/>
      <x:c r="M684"/>
      <x:c r="N684"/>
      <x:c r="O684"/>
      <x:c r="P684"/>
    </x:row>
    <x:row r="685">
      <x:c r="A685"/>
      <x:c r="B685"/>
      <x:c r="C685"/>
      <x:c r="D685"/>
      <x:c r="E685"/>
      <x:c r="F685"/>
      <x:c r="G685"/>
      <x:c r="H685"/>
      <x:c r="I685"/>
      <x:c r="J685"/>
      <x:c r="K685"/>
      <x:c r="L685"/>
      <x:c r="M685"/>
      <x:c r="N685"/>
      <x:c r="O685"/>
      <x:c r="P685"/>
    </x:row>
    <x:row r="686">
      <x:c r="A686"/>
      <x:c r="B686"/>
      <x:c r="C686"/>
      <x:c r="D686"/>
      <x:c r="E686"/>
      <x:c r="F686"/>
      <x:c r="G686"/>
      <x:c r="H686"/>
      <x:c r="I686"/>
      <x:c r="J686"/>
      <x:c r="K686"/>
      <x:c r="L686"/>
      <x:c r="M686"/>
      <x:c r="N686"/>
      <x:c r="O686"/>
      <x:c r="P686"/>
    </x:row>
    <x:row r="687">
      <x:c r="A687"/>
      <x:c r="B687"/>
      <x:c r="C687"/>
      <x:c r="D687"/>
      <x:c r="E687"/>
      <x:c r="F687"/>
      <x:c r="G687"/>
      <x:c r="H687"/>
      <x:c r="I687"/>
      <x:c r="J687"/>
      <x:c r="K687"/>
      <x:c r="L687"/>
      <x:c r="M687"/>
      <x:c r="N687"/>
      <x:c r="O687"/>
      <x:c r="P687"/>
    </x:row>
    <x:row r="688">
      <x:c r="A688"/>
      <x:c r="B688"/>
      <x:c r="C688"/>
      <x:c r="D688"/>
      <x:c r="E688"/>
      <x:c r="F688"/>
      <x:c r="G688"/>
      <x:c r="H688"/>
      <x:c r="I688"/>
      <x:c r="J688"/>
      <x:c r="K688"/>
      <x:c r="L688"/>
      <x:c r="M688"/>
      <x:c r="N688"/>
      <x:c r="O688"/>
      <x:c r="P688"/>
    </x:row>
    <x:row r="689">
      <x:c r="A689"/>
      <x:c r="B689"/>
      <x:c r="C689"/>
      <x:c r="D689"/>
      <x:c r="E689"/>
      <x:c r="F689"/>
      <x:c r="G689"/>
      <x:c r="H689"/>
      <x:c r="I689"/>
      <x:c r="J689"/>
      <x:c r="K689"/>
      <x:c r="L689"/>
      <x:c r="M689"/>
      <x:c r="N689"/>
      <x:c r="O689"/>
      <x:c r="P689"/>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28a6b2761fe34e14"/>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x:c r="B106"/>
      <x:c r="C106"/>
      <x:c r="D106"/>
      <x:c r="E106"/>
      <x:c r="F106"/>
      <x:c r="G106"/>
      <x:c r="H106"/>
      <x:c r="I106"/>
      <x:c r="J106"/>
      <x:c r="K106"/>
      <x:c r="L106"/>
      <x:c r="M106"/>
      <x:c r="N106"/>
    </x:row>
    <x:row r="107">
      <x:c r="A107"/>
      <x:c r="B107"/>
      <x:c r="C107"/>
      <x:c r="D107"/>
      <x:c r="E107"/>
      <x:c r="F107"/>
      <x:c r="G107"/>
      <x:c r="H107"/>
      <x:c r="I107"/>
      <x:c r="J107"/>
      <x:c r="K107"/>
      <x:c r="L107"/>
      <x:c r="M107"/>
      <x:c r="N107"/>
    </x:row>
    <x:row r="108">
      <x:c r="A108"/>
      <x:c r="B108"/>
      <x:c r="C108"/>
      <x:c r="D108"/>
      <x:c r="E108"/>
      <x:c r="F108"/>
      <x:c r="G108"/>
      <x:c r="H108"/>
      <x:c r="I108"/>
      <x:c r="J108"/>
      <x:c r="K108"/>
      <x:c r="L108"/>
      <x:c r="M108"/>
      <x:c r="N108"/>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56b26a85f9d4748"/>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17723691af542a7"/>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终端</x:v>
      </x:c>
      <x:c r="C1" s="15" t="str">
        <x:v>页面名称</x:v>
      </x:c>
      <x:c r="D1" s="15" t="str">
        <x:v>路由</x:v>
      </x:c>
      <x:c r="E1" s="15" t="str">
        <x:v>UI资产</x:v>
      </x:c>
      <x:c r="F1" s="15" t="str">
        <x:v>阶段</x:v>
      </x:c>
      <x:c r="G1" s="15" t="str">
        <x:v>角色</x:v>
      </x:c>
      <x:c r="H1" s="15" t="str">
        <x:v>P0</x:v>
      </x:c>
      <x:c r="I1" s="15" t="str">
        <x:v>认证策略</x:v>
      </x:c>
      <x:c r="J1" s="15" t="str">
        <x:v>供应价策略</x:v>
      </x:c>
      <x:c r="K1" s="15" t="str">
        <x:v>API域</x:v>
      </x:c>
      <x:c r="L1" s="15" t="str">
        <x:v>必备页面状态</x:v>
      </x:c>
      <x:c r="M1" s="15" t="str">
        <x:v>响应式/设备</x:v>
      </x:c>
      <x:c r="N1" s="15" t="str">
        <x:v>实现状态</x:v>
      </x:c>
      <x:c r="O1" s="15" t="str">
        <x:v>验收状态</x:v>
      </x:c>
      <x:c r="P1" s="15" t="str">
        <x:v>路由测试</x:v>
      </x:c>
      <x:c r="Q1" s="16" t="str">
        <x:v>备注</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P0-007_LOCAL_PASS;P0-067_CI_PASS;P0-068_CI_PASS;P0-019_P0-071_NOT_EXECUTED</x:v>
      </x:c>
      <x:c r="P7" s="17" t="str">
        <x:v>tests/e2e/p0/p0-007-company-product-approvals.spec.ts|tests/e2e/p0/p0-067-company-workspaces.spec.ts|tests/e2e/p0/p0-068-company-workspace-completeness.spec.ts</x:v>
      </x:c>
      <x:c r="Q7" s="17" t="str">
        <x:v>独立初始三价审核队列、决定弹窗、整数分展示及失败恢复已实现；上架后调价和P0-071完整范围仍未执行；CI待执行。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供应商商品资料草稿页面和固定职能壳已实现；只提交资料字段，归属由会话派生，不显示供应价。</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P0-008_LOCAL_PASS;P0-019_P0-071_NOT_EXECUTED</x:v>
      </x:c>
      <x:c r="P19" s="17" t="str">
        <x:v>tests/e2e/p0/p0-008-supplier-pricing.spec.ts|tests/e2e/p0/p0-070-supplier-workspaces.spec.ts</x:v>
      </x:c>
      <x:c r="Q19" s="17" t="str">
        <x:v>M2-P008独立价格页覆盖校验/权限/离线/未知结果同幂等键恢复；多商品场景在未知结果恢复前冻结其他提交，避免覆盖原body/key；pnpm verify 17/17通过。</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PARTIAL_IMPLEMENTED_M2_P017</x:v>
      </x:c>
      <x:c r="O54" s="17" t="str">
        <x:v>P0-013_CI_PASS;P0-014_CI_PASS;P0-015_CI_PASS;P0-016_CI_PASS;P0-017_LOCAL_PASS;P0-021_NOT_EXECUTED;P0-088_NOT_EXECUTED</x:v>
      </x:c>
      <x:c r="P54" s="17" t="str">
        <x:v>apps/user-miniapp/test/product-detail-build.test.mjs|tests/e2e/p0/p0-013-food-detail.spec.ts|tests/e2e/p0/p0-014-fresh-detail.spec.ts|tests/e2e/p0/p0-015-apparel-detail.spec.ts|tests/e2e/p0/p0-016-digital-detail.spec.ts|tests/e2e/p0/p0-017-gift-box-detail.spec.ts</x:v>
      </x:c>
      <x:c r="Q54" s="17" t="str">
        <x:v>P013食品、P014生鲜、P015服饰、P016数码已有CI证据；P017礼盒结构化组合清单、数量、规格、有效期下限和miniapp-kit请求契约已有LOCAL_PASS；完整商品详情P0-021/P0-088、真机与交易能力仍未执行。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39ba53784de0459b"/>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c6dcc68e4824115"/>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P0编号</x:v>
      </x:c>
      <x:c r="C1" s="15" t="str">
        <x:v>阶段</x:v>
      </x:c>
      <x:c r="D1" s="15" t="str">
        <x:v>任务编号</x:v>
      </x:c>
      <x:c r="E1" s="15" t="str">
        <x:v>证据类型</x:v>
      </x:c>
      <x:c r="F1" s="15" t="str">
        <x:v>要求等级</x:v>
      </x:c>
      <x:c r="G1" s="15" t="str">
        <x:v>当前状态</x:v>
      </x:c>
      <x:c r="H1" s="15" t="str">
        <x:v>命令/步骤</x:v>
      </x:c>
      <x:c r="I1" s="15" t="str">
        <x:v>预期</x:v>
      </x:c>
      <x:c r="J1" s="15" t="str">
        <x:v>实际</x:v>
      </x:c>
      <x:c r="K1" s="15" t="str">
        <x:v>环境</x:v>
      </x:c>
      <x:c r="L1" s="15" t="str">
        <x:v>应用/浏览器版本</x:v>
      </x:c>
      <x:c r="M1" s="15" t="str">
        <x:v>执行时间</x:v>
      </x:c>
      <x:c r="N1" s="15" t="str">
        <x:v>提交SHA</x:v>
      </x:c>
      <x:c r="O1" s="15" t="str">
        <x:v>CI链接</x:v>
      </x:c>
      <x:c r="P1" s="15" t="str">
        <x:v>制品/截图</x:v>
      </x:c>
      <x:c r="Q1" s="15" t="str">
        <x:v>执行人</x:v>
      </x:c>
      <x:c r="R1" s="15" t="str">
        <x:v>新鲜度</x:v>
      </x:c>
      <x:c r="S1" s="15" t="str">
        <x:v>失败/阻塞</x:v>
      </x:c>
      <x:c r="T1" s="15" t="str">
        <x:v>需重测</x:v>
      </x:c>
      <x:c r="U1" s="16" t="str">
        <x:v>备注</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CI_PASS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46244.71050226852</x:v>
      </x:c>
      <x:c r="N13" s="17" t="str">
        <x:v>4faae84321583c28abc7532f1093c7c2bbc95de1</x:v>
      </x:c>
      <x:c r="O13" s="17" t="str">
        <x:v>https://github.com/EasyStep-lee/flt1/actions/runs/31398383884</x:v>
      </x:c>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GITHUB_ACTIONS+CODEX</x:v>
      </x:c>
      <x:c r="R13" s="17" t="str">
        <x:v>MERGED_MAIN_CI_PASS</x:v>
      </x:c>
      <x:c r="S13" s="17" t="str">
        <x:v>staging与production未执行；EXT-007正式业务模板数据未提供</x:v>
      </x:c>
      <x:c r="T13" s="17" t="str">
        <x:v>YES</x:v>
      </x:c>
      <x:c r="U13" s="17" t="str">
        <x:v>P0-012达到CI_PASS；P0-013已解锁并取得行为RED，P0-014及以后仍锁定。</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RED后GREEN；PR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RED后GREEN；PR #54精确head 9bbaa92e的CI run 31452009986通过并合并；main@f2d6c1c的CI run 31453656294通过。</x:v>
      </x:c>
      <x:c r="K15" s="17" t="str">
        <x:v>LOCAL_WINDOWS_DOCKER_MYSQL_CHROMIUM+GITHUB_ACTIONS</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GITHUB_ACTIONS+CODEX</x:v>
      </x:c>
      <x:c r="R15" s="17" t="str">
        <x:v>EXACT_HEAD_CI_AND_POST_MERGE_MAIN_CI</x:v>
      </x:c>
      <x:c r="S15" s="17" t="str">
        <x:v>staging、device与production未执行；EXT-007正式生鲜模板数据未提供</x:v>
      </x:c>
      <x:c r="T15" s="17" t="str">
        <x:v>NO</x:v>
      </x:c>
      <x:c r="U15" s="17" t="str">
        <x:v>P0-014达到CI_PASS；P0-021/P0-088完整商品详情仍未完成。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RED：apparel-template-policy运行时模块缺失导致ERR_MODULE_NOT_FOUND。GREEN：unit 3/3、focused API 15/15、全量Supertest 26文件152/152、用户小程序9/9、迁移契约2/2、P015 E2E 1/1、P0全量40/40；迁移演练empty=2/upgrade=2/restore=2/product=18/cleanup=PASS。本机完整pnpm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LOCAL_PASS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 3/3因未支持HIGH_RISK模式失败；GREEN覆盖默认关闭、资质有效期、模板、二次验证、幂等、历史、审计及停用失效；四次完整门禁分别暴露OpenAPI冻结、证据状态、历史任务指针和DTO白名单回归并修复；干净head b026a72第五次pnpm verify 17/17、P0 E2E 44/44、迁移演练和706个tracked文件秘密扫描通过。</x:v>
      </x:c>
      <x:c r="K19" s="17" t="str">
        <x:v>LOCAL_WINDOWS_DOCKER_MYSQL_CHROMIUM</x:v>
      </x:c>
      <x:c r="L19" s="17" t="str">
        <x:v>Node 22.23.1 / MySQL 8 / Chromium</x:v>
      </x:c>
      <x:c r="M19" s="17" t="n">
        <x:v>46245.50976851852</x:v>
      </x:c>
      <x:c r="N19" s="17" t="str">
        <x:v>b026a720e74df968c0ccf1e7a38975fe2bd2c281</x:v>
      </x:c>
      <x:c r="O19" s="17" t="str"/>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x:v>
      </x:c>
      <x:c r="R19" s="17" t="str">
        <x:v>FRESH_LOCAL_FULL_VERIFY</x:v>
      </x:c>
      <x:c r="S19" s="17" t="str">
        <x:v>EXT-007正式分类/资质/法务数据、staging、device和production未执行；PR CI待执行</x:v>
      </x:c>
      <x:c r="T19" s="17" t="str">
        <x:v>YES</x:v>
      </x:c>
      <x:c r="U19" s="17" t="str">
        <x:v>本地full verify已完成；必须完成精确head PR CI和自评后才可请求人工合并</x:v>
      </x:c>
    </x:row>
    <x:row r="20" ht="23" customHeight="1">
      <x:c r="A20" s="17" t="str">
        <x:v>EVD-019</x:v>
      </x:c>
      <x:c r="B20" s="17" t="str">
        <x:v>P0-019</x:v>
      </x:c>
      <x:c r="C20" s="17" t="str">
        <x:v>M2</x:v>
      </x:c>
      <x:c r="D20" s="17" t="str">
        <x:v>M2-P019</x:v>
      </x:c>
      <x:c r="E20" s="17" t="str">
        <x:v>AUTOMATED_AND_MANUAL_AS_REQUIRED</x:v>
      </x:c>
      <x:c r="F20" s="17" t="str">
        <x:v>CI_PASS</x:v>
      </x:c>
      <x:c r="G20" s="17" t="str">
        <x:v>NOT_EXECUTED</x:v>
      </x:c>
      <x:c r="H20" s="17" t="str">
        <x:v>在对应切片先登记失败测试ID，再记录focused tests与pnpm verify；真机/预发布按要求执行</x:v>
      </x:c>
      <x:c r="I20" s="17" t="str">
        <x:v>已上架商品供应价变更必须提交 SupplyPriceChangeRequest，审核通过前继续使用原价；平台零售价和集采销售价变更不产生审批单，立即或定时生效。三类变更均完整留痕且不回改历史订单。</x:v>
      </x:c>
      <x:c r="J20" s="17"/>
      <x:c r="K20" s="17"/>
      <x:c r="L20" s="17"/>
      <x:c r="M20" s="17"/>
      <x:c r="N20" s="17"/>
      <x:c r="O20" s="17"/>
      <x:c r="P20" s="17"/>
      <x:c r="Q20" s="17"/>
      <x:c r="R20" s="17" t="str">
        <x:v>NO_EVIDENCE_YET</x:v>
      </x:c>
      <x:c r="S20" s="17"/>
      <x:c r="T20" s="17" t="str">
        <x:v>YES</x:v>
      </x:c>
      <x:c r="U20" s="17" t="str">
        <x:v>不得以旧输出、字符串搜索、页面资产或模型自述替代</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x:c r="K21" s="17"/>
      <x:c r="L21" s="17"/>
      <x:c r="M21" s="17"/>
      <x:c r="N21" s="17"/>
      <x:c r="O21" s="17"/>
      <x:c r="P21" s="17"/>
      <x:c r="Q21" s="17"/>
      <x:c r="R21" s="17" t="str">
        <x:v>NO_EVIDENCE_YET</x:v>
      </x:c>
      <x:c r="S21" s="17"/>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x:c r="K22" s="17"/>
      <x:c r="L22" s="17"/>
      <x:c r="M22" s="17"/>
      <x:c r="N22" s="17"/>
      <x:c r="O22" s="17"/>
      <x:c r="P22" s="17"/>
      <x:c r="Q22" s="17"/>
      <x:c r="R22" s="17" t="str">
        <x:v>NO_EVIDENCE_YET</x:v>
      </x:c>
      <x:c r="S22" s="17"/>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x:c r="K23" s="17"/>
      <x:c r="L23" s="17"/>
      <x:c r="M23" s="17"/>
      <x:c r="N23" s="17"/>
      <x:c r="O23" s="17"/>
      <x:c r="P23" s="17"/>
      <x:c r="Q23" s="17"/>
      <x:c r="R23" s="17" t="str">
        <x:v>NO_EVIDENCE_YET</x:v>
      </x:c>
      <x:c r="S23" s="17"/>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x:c r="K24" s="17"/>
      <x:c r="L24" s="17"/>
      <x:c r="M24" s="17"/>
      <x:c r="N24" s="17"/>
      <x:c r="O24" s="17"/>
      <x:c r="P24" s="17"/>
      <x:c r="Q24" s="17"/>
      <x:c r="R24" s="17" t="str">
        <x:v>NO_EVIDENCE_YET</x:v>
      </x:c>
      <x:c r="S24" s="17"/>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x:c r="K25" s="17"/>
      <x:c r="L25" s="17"/>
      <x:c r="M25" s="17"/>
      <x:c r="N25" s="17"/>
      <x:c r="O25" s="17"/>
      <x:c r="P25" s="17"/>
      <x:c r="Q25" s="17"/>
      <x:c r="R25" s="17" t="str">
        <x:v>NO_EVIDENCE_YET</x:v>
      </x:c>
      <x:c r="S25" s="17"/>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x:c r="K26" s="17"/>
      <x:c r="L26" s="17"/>
      <x:c r="M26" s="17"/>
      <x:c r="N26" s="17"/>
      <x:c r="O26" s="17"/>
      <x:c r="P26" s="17"/>
      <x:c r="Q26" s="17"/>
      <x:c r="R26" s="17" t="str">
        <x:v>NO_EVIDENCE_YET</x:v>
      </x:c>
      <x:c r="S26" s="17"/>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x:c r="K27" s="17"/>
      <x:c r="L27" s="17"/>
      <x:c r="M27" s="17"/>
      <x:c r="N27" s="17"/>
      <x:c r="O27" s="17"/>
      <x:c r="P27" s="17"/>
      <x:c r="Q27" s="17"/>
      <x:c r="R27" s="17" t="str">
        <x:v>NO_EVIDENCE_YET</x:v>
      </x:c>
      <x:c r="S27" s="17"/>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x:c r="K28" s="17"/>
      <x:c r="L28" s="17"/>
      <x:c r="M28" s="17"/>
      <x:c r="N28" s="17"/>
      <x:c r="O28" s="17"/>
      <x:c r="P28" s="17"/>
      <x:c r="Q28" s="17"/>
      <x:c r="R28" s="17" t="str">
        <x:v>NO_EVIDENCE_YET</x:v>
      </x:c>
      <x:c r="S28" s="17"/>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x:c r="K29" s="17"/>
      <x:c r="L29" s="17"/>
      <x:c r="M29" s="17"/>
      <x:c r="N29" s="17"/>
      <x:c r="O29" s="17"/>
      <x:c r="P29" s="17"/>
      <x:c r="Q29" s="17"/>
      <x:c r="R29" s="17" t="str">
        <x:v>NO_EVIDENCE_YET</x:v>
      </x:c>
      <x:c r="S29" s="17"/>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x:c r="K30" s="17"/>
      <x:c r="L30" s="17"/>
      <x:c r="M30" s="17"/>
      <x:c r="N30" s="17"/>
      <x:c r="O30" s="17"/>
      <x:c r="P30" s="17"/>
      <x:c r="Q30" s="17"/>
      <x:c r="R30" s="17" t="str">
        <x:v>NO_EVIDENCE_YET</x:v>
      </x:c>
      <x:c r="S30" s="17"/>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x:c r="K31" s="17"/>
      <x:c r="L31" s="17"/>
      <x:c r="M31" s="17"/>
      <x:c r="N31" s="17"/>
      <x:c r="O31" s="17"/>
      <x:c r="P31" s="17"/>
      <x:c r="Q31" s="17"/>
      <x:c r="R31" s="17" t="str">
        <x:v>NO_EVIDENCE_YET</x:v>
      </x:c>
      <x:c r="S31" s="17"/>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x:c r="K32" s="17"/>
      <x:c r="L32" s="17"/>
      <x:c r="M32" s="17"/>
      <x:c r="N32" s="17"/>
      <x:c r="O32" s="17"/>
      <x:c r="P32" s="17"/>
      <x:c r="Q32" s="17"/>
      <x:c r="R32" s="17" t="str">
        <x:v>NO_EVIDENCE_YET</x:v>
      </x:c>
      <x:c r="S32" s="17"/>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x:c r="K33" s="17"/>
      <x:c r="L33" s="17"/>
      <x:c r="M33" s="17"/>
      <x:c r="N33" s="17"/>
      <x:c r="O33" s="17"/>
      <x:c r="P33" s="17"/>
      <x:c r="Q33" s="17"/>
      <x:c r="R33" s="17" t="str">
        <x:v>NO_EVIDENCE_YET</x:v>
      </x:c>
      <x:c r="S33" s="17"/>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x:c r="K34" s="17"/>
      <x:c r="L34" s="17"/>
      <x:c r="M34" s="17"/>
      <x:c r="N34" s="17"/>
      <x:c r="O34" s="17"/>
      <x:c r="P34" s="17"/>
      <x:c r="Q34" s="17"/>
      <x:c r="R34" s="17" t="str">
        <x:v>NO_EVIDENCE_YET</x:v>
      </x:c>
      <x:c r="S34" s="17"/>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x:c r="K35" s="17"/>
      <x:c r="L35" s="17"/>
      <x:c r="M35" s="17"/>
      <x:c r="N35" s="17"/>
      <x:c r="O35" s="17"/>
      <x:c r="P35" s="17"/>
      <x:c r="Q35" s="17"/>
      <x:c r="R35" s="17" t="str">
        <x:v>NO_EVIDENCE_YET</x:v>
      </x:c>
      <x:c r="S35" s="17"/>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x:c r="K36" s="17"/>
      <x:c r="L36" s="17"/>
      <x:c r="M36" s="17"/>
      <x:c r="N36" s="17"/>
      <x:c r="O36" s="17"/>
      <x:c r="P36" s="17"/>
      <x:c r="Q36" s="17"/>
      <x:c r="R36" s="17" t="str">
        <x:v>NO_EVIDENCE_YET</x:v>
      </x:c>
      <x:c r="S36" s="17"/>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x:c r="K37" s="17"/>
      <x:c r="L37" s="17"/>
      <x:c r="M37" s="17"/>
      <x:c r="N37" s="17"/>
      <x:c r="O37" s="17"/>
      <x:c r="P37" s="17"/>
      <x:c r="Q37" s="17"/>
      <x:c r="R37" s="17" t="str">
        <x:v>NO_EVIDENCE_YET</x:v>
      </x:c>
      <x:c r="S37" s="17"/>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x:c r="K38" s="17"/>
      <x:c r="L38" s="17"/>
      <x:c r="M38" s="17"/>
      <x:c r="N38" s="17"/>
      <x:c r="O38" s="17"/>
      <x:c r="P38" s="17"/>
      <x:c r="Q38" s="17"/>
      <x:c r="R38" s="17" t="str">
        <x:v>NO_EVIDENCE_YET</x:v>
      </x:c>
      <x:c r="S38" s="17"/>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x:c r="K39" s="17"/>
      <x:c r="L39" s="17"/>
      <x:c r="M39" s="17"/>
      <x:c r="N39" s="17"/>
      <x:c r="O39" s="17"/>
      <x:c r="P39" s="17"/>
      <x:c r="Q39" s="17"/>
      <x:c r="R39" s="17" t="str">
        <x:v>NO_EVIDENCE_YET</x:v>
      </x:c>
      <x:c r="S39" s="17"/>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x:c r="K40" s="17"/>
      <x:c r="L40" s="17"/>
      <x:c r="M40" s="17"/>
      <x:c r="N40" s="17"/>
      <x:c r="O40" s="17"/>
      <x:c r="P40" s="17"/>
      <x:c r="Q40" s="17"/>
      <x:c r="R40" s="17" t="str">
        <x:v>NO_EVIDENCE_YET</x:v>
      </x:c>
      <x:c r="S40" s="17"/>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x:c r="K41" s="17"/>
      <x:c r="L41" s="17"/>
      <x:c r="M41" s="17"/>
      <x:c r="N41" s="17"/>
      <x:c r="O41" s="17"/>
      <x:c r="P41" s="17"/>
      <x:c r="Q41" s="17"/>
      <x:c r="R41" s="17" t="str">
        <x:v>NO_EVIDENCE_YET</x:v>
      </x:c>
      <x:c r="S41" s="17"/>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x:c r="K42" s="17"/>
      <x:c r="L42" s="17"/>
      <x:c r="M42" s="17"/>
      <x:c r="N42" s="17"/>
      <x:c r="O42" s="17"/>
      <x:c r="P42" s="17"/>
      <x:c r="Q42" s="17"/>
      <x:c r="R42" s="17" t="str">
        <x:v>NO_EVIDENCE_YET</x:v>
      </x:c>
      <x:c r="S42" s="17"/>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x:c r="K43" s="17"/>
      <x:c r="L43" s="17"/>
      <x:c r="M43" s="17"/>
      <x:c r="N43" s="17"/>
      <x:c r="O43" s="17"/>
      <x:c r="P43" s="17"/>
      <x:c r="Q43" s="17"/>
      <x:c r="R43" s="17" t="str">
        <x:v>NO_EVIDENCE_YET</x:v>
      </x:c>
      <x:c r="S43" s="17"/>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x:c r="K44" s="17"/>
      <x:c r="L44" s="17"/>
      <x:c r="M44" s="17"/>
      <x:c r="N44" s="17"/>
      <x:c r="O44" s="17"/>
      <x:c r="P44" s="17"/>
      <x:c r="Q44" s="17"/>
      <x:c r="R44" s="17" t="str">
        <x:v>NO_EVIDENCE_YET</x:v>
      </x:c>
      <x:c r="S44" s="17"/>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x:c r="K45" s="17"/>
      <x:c r="L45" s="17"/>
      <x:c r="M45" s="17"/>
      <x:c r="N45" s="17"/>
      <x:c r="O45" s="17"/>
      <x:c r="P45" s="17"/>
      <x:c r="Q45" s="17"/>
      <x:c r="R45" s="17" t="str">
        <x:v>NO_EVIDENCE_YET</x:v>
      </x:c>
      <x:c r="S45" s="17"/>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x:c r="K49" s="17"/>
      <x:c r="L49" s="17"/>
      <x:c r="M49" s="17"/>
      <x:c r="N49" s="17"/>
      <x:c r="O49" s="17"/>
      <x:c r="P49" s="17"/>
      <x:c r="Q49" s="17"/>
      <x:c r="R49" s="17" t="str">
        <x:v>NO_EVIDENCE_YET</x:v>
      </x:c>
      <x:c r="S49" s="17"/>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x:c r="K50" s="17"/>
      <x:c r="L50" s="17"/>
      <x:c r="M50" s="17"/>
      <x:c r="N50" s="17"/>
      <x:c r="O50" s="17"/>
      <x:c r="P50" s="17"/>
      <x:c r="Q50" s="17"/>
      <x:c r="R50" s="17" t="str">
        <x:v>NO_EVIDENCE_YET</x:v>
      </x:c>
      <x:c r="S50" s="17"/>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x:c r="K51" s="17"/>
      <x:c r="L51" s="17"/>
      <x:c r="M51" s="17"/>
      <x:c r="N51" s="17"/>
      <x:c r="O51" s="17"/>
      <x:c r="P51" s="17"/>
      <x:c r="Q51" s="17"/>
      <x:c r="R51" s="17" t="str">
        <x:v>NO_EVIDENCE_YET</x:v>
      </x:c>
      <x:c r="S51" s="17"/>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x:c r="K52" s="17"/>
      <x:c r="L52" s="17"/>
      <x:c r="M52" s="17"/>
      <x:c r="N52" s="17"/>
      <x:c r="O52" s="17"/>
      <x:c r="P52" s="17"/>
      <x:c r="Q52" s="17"/>
      <x:c r="R52" s="17" t="str">
        <x:v>NO_EVIDENCE_YET</x:v>
      </x:c>
      <x:c r="S52" s="17"/>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x:c r="K53" s="17"/>
      <x:c r="L53" s="17"/>
      <x:c r="M53" s="17"/>
      <x:c r="N53" s="17"/>
      <x:c r="O53" s="17"/>
      <x:c r="P53" s="17"/>
      <x:c r="Q53" s="17"/>
      <x:c r="R53" s="17" t="str">
        <x:v>NO_EVIDENCE_YET</x:v>
      </x:c>
      <x:c r="S53" s="17"/>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x:c r="K54" s="17"/>
      <x:c r="L54" s="17"/>
      <x:c r="M54" s="17"/>
      <x:c r="N54" s="17"/>
      <x:c r="O54" s="17"/>
      <x:c r="P54" s="17"/>
      <x:c r="Q54" s="17"/>
      <x:c r="R54" s="17" t="str">
        <x:v>NO_EVIDENCE_YET</x:v>
      </x:c>
      <x:c r="S54" s="17"/>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x:c r="K55" s="17"/>
      <x:c r="L55" s="17"/>
      <x:c r="M55" s="17"/>
      <x:c r="N55" s="17"/>
      <x:c r="O55" s="17"/>
      <x:c r="P55" s="17"/>
      <x:c r="Q55" s="17"/>
      <x:c r="R55" s="17" t="str">
        <x:v>NO_EVIDENCE_YET</x:v>
      </x:c>
      <x:c r="S55" s="17"/>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x:c r="K56" s="17"/>
      <x:c r="L56" s="17"/>
      <x:c r="M56" s="17"/>
      <x:c r="N56" s="17"/>
      <x:c r="O56" s="17"/>
      <x:c r="P56" s="17"/>
      <x:c r="Q56" s="17"/>
      <x:c r="R56" s="17" t="str">
        <x:v>NO_EVIDENCE_YET</x:v>
      </x:c>
      <x:c r="S56" s="17"/>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x:c r="K57" s="17"/>
      <x:c r="L57" s="17"/>
      <x:c r="M57" s="17"/>
      <x:c r="N57" s="17"/>
      <x:c r="O57" s="17"/>
      <x:c r="P57" s="17"/>
      <x:c r="Q57" s="17"/>
      <x:c r="R57" s="17" t="str">
        <x:v>NO_EVIDENCE_YET</x:v>
      </x:c>
      <x:c r="S57" s="17"/>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x:c r="K58" s="17"/>
      <x:c r="L58" s="17"/>
      <x:c r="M58" s="17"/>
      <x:c r="N58" s="17"/>
      <x:c r="O58" s="17"/>
      <x:c r="P58" s="17"/>
      <x:c r="Q58" s="17"/>
      <x:c r="R58" s="17" t="str">
        <x:v>NO_EVIDENCE_YET</x:v>
      </x:c>
      <x:c r="S58" s="17"/>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x:c r="K59" s="17"/>
      <x:c r="L59" s="17"/>
      <x:c r="M59" s="17"/>
      <x:c r="N59" s="17"/>
      <x:c r="O59" s="17"/>
      <x:c r="P59" s="17"/>
      <x:c r="Q59" s="17"/>
      <x:c r="R59" s="17" t="str">
        <x:v>NO_EVIDENCE_YET</x:v>
      </x:c>
      <x:c r="S59" s="17"/>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x:c r="K60" s="17"/>
      <x:c r="L60" s="17"/>
      <x:c r="M60" s="17"/>
      <x:c r="N60" s="17"/>
      <x:c r="O60" s="17"/>
      <x:c r="P60" s="17"/>
      <x:c r="Q60" s="17"/>
      <x:c r="R60" s="17" t="str">
        <x:v>NO_EVIDENCE_YET</x:v>
      </x:c>
      <x:c r="S60" s="17"/>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x:c r="K61" s="17"/>
      <x:c r="L61" s="17"/>
      <x:c r="M61" s="17"/>
      <x:c r="N61" s="17"/>
      <x:c r="O61" s="17"/>
      <x:c r="P61" s="17"/>
      <x:c r="Q61" s="17"/>
      <x:c r="R61" s="17" t="str">
        <x:v>NO_EVIDENCE_YET</x:v>
      </x:c>
      <x:c r="S61" s="17"/>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x:c r="K62" s="17"/>
      <x:c r="L62" s="17"/>
      <x:c r="M62" s="17"/>
      <x:c r="N62" s="17"/>
      <x:c r="O62" s="17"/>
      <x:c r="P62" s="17"/>
      <x:c r="Q62" s="17"/>
      <x:c r="R62" s="17" t="str">
        <x:v>NO_EVIDENCE_YET</x:v>
      </x:c>
      <x:c r="S62" s="17"/>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x:c r="K63" s="17"/>
      <x:c r="L63" s="17"/>
      <x:c r="M63" s="17"/>
      <x:c r="N63" s="17"/>
      <x:c r="O63" s="17"/>
      <x:c r="P63" s="17"/>
      <x:c r="Q63" s="17"/>
      <x:c r="R63" s="17" t="str">
        <x:v>NO_EVIDENCE_YET</x:v>
      </x:c>
      <x:c r="S63" s="17"/>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x:c r="K64" s="17"/>
      <x:c r="L64" s="17"/>
      <x:c r="M64" s="17"/>
      <x:c r="N64" s="17"/>
      <x:c r="O64" s="17"/>
      <x:c r="P64" s="17"/>
      <x:c r="Q64" s="17"/>
      <x:c r="R64" s="17" t="str">
        <x:v>NO_EVIDENCE_YET</x:v>
      </x:c>
      <x:c r="S64" s="17"/>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x:c r="K65" s="17"/>
      <x:c r="L65" s="17"/>
      <x:c r="M65" s="17"/>
      <x:c r="N65" s="17"/>
      <x:c r="O65" s="17"/>
      <x:c r="P65" s="17"/>
      <x:c r="Q65" s="17"/>
      <x:c r="R65" s="17" t="str">
        <x:v>NO_EVIDENCE_YET</x:v>
      </x:c>
      <x:c r="S65" s="17"/>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x:c r="K66" s="17"/>
      <x:c r="L66" s="17"/>
      <x:c r="M66" s="17"/>
      <x:c r="N66" s="17"/>
      <x:c r="O66" s="17"/>
      <x:c r="P66" s="17"/>
      <x:c r="Q66" s="17"/>
      <x:c r="R66" s="17" t="str">
        <x:v>NO_EVIDENCE_YET</x:v>
      </x:c>
      <x:c r="S66" s="17"/>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x:c r="K72" s="17"/>
      <x:c r="L72" s="17"/>
      <x:c r="M72" s="17"/>
      <x:c r="N72" s="17"/>
      <x:c r="O72" s="17"/>
      <x:c r="P72" s="17"/>
      <x:c r="Q72" s="17"/>
      <x:c r="R72" s="17" t="str">
        <x:v>NO_EVIDENCE_YET</x:v>
      </x:c>
      <x:c r="S72" s="17"/>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x:c r="K75" s="17"/>
      <x:c r="L75" s="17"/>
      <x:c r="M75" s="17"/>
      <x:c r="N75" s="17"/>
      <x:c r="O75" s="17"/>
      <x:c r="P75" s="17"/>
      <x:c r="Q75" s="17"/>
      <x:c r="R75" s="17" t="str">
        <x:v>NO_EVIDENCE_YET</x:v>
      </x:c>
      <x:c r="S75" s="17"/>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x:c r="K76" s="17"/>
      <x:c r="L76" s="17"/>
      <x:c r="M76" s="17"/>
      <x:c r="N76" s="17"/>
      <x:c r="O76" s="17"/>
      <x:c r="P76" s="17"/>
      <x:c r="Q76" s="17"/>
      <x:c r="R76" s="17" t="str">
        <x:v>NO_EVIDENCE_YET</x:v>
      </x:c>
      <x:c r="S76" s="17"/>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x:c r="K77" s="17"/>
      <x:c r="L77" s="17"/>
      <x:c r="M77" s="17"/>
      <x:c r="N77" s="17"/>
      <x:c r="O77" s="17"/>
      <x:c r="P77" s="17"/>
      <x:c r="Q77" s="17"/>
      <x:c r="R77" s="17" t="str">
        <x:v>NO_EVIDENCE_YET</x:v>
      </x:c>
      <x:c r="S77" s="17"/>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x:c r="K78" s="17"/>
      <x:c r="L78" s="17"/>
      <x:c r="M78" s="17"/>
      <x:c r="N78" s="17"/>
      <x:c r="O78" s="17"/>
      <x:c r="P78" s="17"/>
      <x:c r="Q78" s="17"/>
      <x:c r="R78" s="17" t="str">
        <x:v>NO_EVIDENCE_YET</x:v>
      </x:c>
      <x:c r="S78" s="17"/>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x:c r="K79" s="17"/>
      <x:c r="L79" s="17"/>
      <x:c r="M79" s="17"/>
      <x:c r="N79" s="17"/>
      <x:c r="O79" s="17"/>
      <x:c r="P79" s="17"/>
      <x:c r="Q79" s="17"/>
      <x:c r="R79" s="17" t="str">
        <x:v>NO_EVIDENCE_YET</x:v>
      </x:c>
      <x:c r="S79" s="17"/>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x:c r="K80" s="17"/>
      <x:c r="L80" s="17"/>
      <x:c r="M80" s="17"/>
      <x:c r="N80" s="17"/>
      <x:c r="O80" s="17"/>
      <x:c r="P80" s="17"/>
      <x:c r="Q80" s="17"/>
      <x:c r="R80" s="17" t="str">
        <x:v>NO_EVIDENCE_YET</x:v>
      </x:c>
      <x:c r="S80" s="17"/>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x:c r="K81" s="17"/>
      <x:c r="L81" s="17"/>
      <x:c r="M81" s="17"/>
      <x:c r="N81" s="17"/>
      <x:c r="O81" s="17"/>
      <x:c r="P81" s="17"/>
      <x:c r="Q81" s="17"/>
      <x:c r="R81" s="17" t="str">
        <x:v>NO_EVIDENCE_YET</x:v>
      </x:c>
      <x:c r="S81" s="17"/>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x:c r="K82" s="17"/>
      <x:c r="L82" s="17"/>
      <x:c r="M82" s="17"/>
      <x:c r="N82" s="17"/>
      <x:c r="O82" s="17"/>
      <x:c r="P82" s="17"/>
      <x:c r="Q82" s="17"/>
      <x:c r="R82" s="17" t="str">
        <x:v>NO_EVIDENCE_YET</x:v>
      </x:c>
      <x:c r="S82" s="17"/>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x:c r="K83" s="17"/>
      <x:c r="L83" s="17"/>
      <x:c r="M83" s="17"/>
      <x:c r="N83" s="17"/>
      <x:c r="O83" s="17"/>
      <x:c r="P83" s="17"/>
      <x:c r="Q83" s="17"/>
      <x:c r="R83" s="17" t="str">
        <x:v>NO_EVIDENCE_YET</x:v>
      </x:c>
      <x:c r="S83" s="17"/>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x:c r="K84" s="17"/>
      <x:c r="L84" s="17"/>
      <x:c r="M84" s="17"/>
      <x:c r="N84" s="17"/>
      <x:c r="O84" s="17"/>
      <x:c r="P84" s="17"/>
      <x:c r="Q84" s="17"/>
      <x:c r="R84" s="17" t="str">
        <x:v>NO_EVIDENCE_YET</x:v>
      </x:c>
      <x:c r="S84" s="17"/>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x:c r="K85" s="17"/>
      <x:c r="L85" s="17"/>
      <x:c r="M85" s="17"/>
      <x:c r="N85" s="17"/>
      <x:c r="O85" s="17"/>
      <x:c r="P85" s="17"/>
      <x:c r="Q85" s="17"/>
      <x:c r="R85" s="17" t="str">
        <x:v>NO_EVIDENCE_YET</x:v>
      </x:c>
      <x:c r="S85" s="17"/>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x:c r="K86" s="17"/>
      <x:c r="L86" s="17"/>
      <x:c r="M86" s="17"/>
      <x:c r="N86" s="17"/>
      <x:c r="O86" s="17"/>
      <x:c r="P86" s="17"/>
      <x:c r="Q86" s="17"/>
      <x:c r="R86" s="17" t="str">
        <x:v>NO_EVIDENCE_YET</x:v>
      </x:c>
      <x:c r="S86" s="17"/>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x:c r="K87" s="17"/>
      <x:c r="L87" s="17"/>
      <x:c r="M87" s="17"/>
      <x:c r="N87" s="17"/>
      <x:c r="O87" s="17"/>
      <x:c r="P87" s="17"/>
      <x:c r="Q87" s="17"/>
      <x:c r="R87" s="17" t="str">
        <x:v>NO_EVIDENCE_YET</x:v>
      </x:c>
      <x:c r="S87" s="17"/>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x:c r="K88" s="17"/>
      <x:c r="L88" s="17"/>
      <x:c r="M88" s="17"/>
      <x:c r="N88" s="17"/>
      <x:c r="O88" s="17"/>
      <x:c r="P88" s="17"/>
      <x:c r="Q88" s="17"/>
      <x:c r="R88" s="17" t="str">
        <x:v>NO_EVIDENCE_YET</x:v>
      </x:c>
      <x:c r="S88" s="17"/>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x:c r="K89" s="17"/>
      <x:c r="L89" s="17"/>
      <x:c r="M89" s="17"/>
      <x:c r="N89" s="17"/>
      <x:c r="O89" s="17"/>
      <x:c r="P89" s="17"/>
      <x:c r="Q89" s="17"/>
      <x:c r="R89" s="17" t="str">
        <x:v>NO_EVIDENCE_YET</x:v>
      </x:c>
      <x:c r="S89" s="17"/>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x:c r="K90" s="17"/>
      <x:c r="L90" s="17"/>
      <x:c r="M90" s="17"/>
      <x:c r="N90" s="17"/>
      <x:c r="O90" s="17"/>
      <x:c r="P90" s="17"/>
      <x:c r="Q90" s="17"/>
      <x:c r="R90" s="17" t="str">
        <x:v>NO_EVIDENCE_YET</x:v>
      </x:c>
      <x:c r="S90" s="17"/>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x:c r="K91" s="17"/>
      <x:c r="L91" s="17"/>
      <x:c r="M91" s="17"/>
      <x:c r="N91" s="17"/>
      <x:c r="O91" s="17"/>
      <x:c r="P91" s="17"/>
      <x:c r="Q91" s="17"/>
      <x:c r="R91" s="17" t="str">
        <x:v>NO_EVIDENCE_YET</x:v>
      </x:c>
      <x:c r="S91" s="17"/>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x:c r="K92" s="17"/>
      <x:c r="L92" s="17"/>
      <x:c r="M92" s="17"/>
      <x:c r="N92" s="17"/>
      <x:c r="O92" s="17"/>
      <x:c r="P92" s="17"/>
      <x:c r="Q92" s="17"/>
      <x:c r="R92" s="17" t="str">
        <x:v>NO_EVIDENCE_YET</x:v>
      </x:c>
      <x:c r="S92" s="17"/>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x:c r="K93" s="17"/>
      <x:c r="L93" s="17"/>
      <x:c r="M93" s="17"/>
      <x:c r="N93" s="17"/>
      <x:c r="O93" s="17"/>
      <x:c r="P93" s="17"/>
      <x:c r="Q93" s="17"/>
      <x:c r="R93" s="17" t="str">
        <x:v>NO_EVIDENCE_YET</x:v>
      </x:c>
      <x:c r="S93" s="17"/>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x:c r="K94" s="17"/>
      <x:c r="L94" s="17"/>
      <x:c r="M94" s="17"/>
      <x:c r="N94" s="17"/>
      <x:c r="O94" s="17"/>
      <x:c r="P94" s="17"/>
      <x:c r="Q94" s="17"/>
      <x:c r="R94" s="17" t="str">
        <x:v>NO_EVIDENCE_YET</x:v>
      </x:c>
      <x:c r="S94" s="17"/>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x:c r="K95" s="17"/>
      <x:c r="L95" s="17"/>
      <x:c r="M95" s="17"/>
      <x:c r="N95" s="17"/>
      <x:c r="O95" s="17"/>
      <x:c r="P95" s="17"/>
      <x:c r="Q95" s="17"/>
      <x:c r="R95" s="17" t="str">
        <x:v>NO_EVIDENCE_YET</x:v>
      </x:c>
      <x:c r="S95" s="17"/>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x:c r="K96" s="17"/>
      <x:c r="L96" s="17"/>
      <x:c r="M96" s="17"/>
      <x:c r="N96" s="17"/>
      <x:c r="O96" s="17"/>
      <x:c r="P96" s="17"/>
      <x:c r="Q96" s="17"/>
      <x:c r="R96" s="17" t="str">
        <x:v>NO_EVIDENCE_YET</x:v>
      </x:c>
      <x:c r="S96" s="17"/>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x:c r="K97" s="17"/>
      <x:c r="L97" s="17"/>
      <x:c r="M97" s="17"/>
      <x:c r="N97" s="17"/>
      <x:c r="O97" s="17"/>
      <x:c r="P97" s="17"/>
      <x:c r="Q97" s="17"/>
      <x:c r="R97" s="17" t="str">
        <x:v>NO_EVIDENCE_YET</x:v>
      </x:c>
      <x:c r="S97" s="17"/>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x:c r="K98" s="17"/>
      <x:c r="L98" s="17"/>
      <x:c r="M98" s="17"/>
      <x:c r="N98" s="17"/>
      <x:c r="O98" s="17"/>
      <x:c r="P98" s="17"/>
      <x:c r="Q98" s="17"/>
      <x:c r="R98" s="17" t="str">
        <x:v>NO_EVIDENCE_YET</x:v>
      </x:c>
      <x:c r="S98" s="17"/>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x:c r="K99" s="17"/>
      <x:c r="L99" s="17"/>
      <x:c r="M99" s="17"/>
      <x:c r="N99" s="17"/>
      <x:c r="O99" s="17"/>
      <x:c r="P99" s="17"/>
      <x:c r="Q99" s="17"/>
      <x:c r="R99" s="17" t="str">
        <x:v>NO_EVIDENCE_YET</x:v>
      </x:c>
      <x:c r="S99" s="17"/>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x:c r="K100" s="17"/>
      <x:c r="L100" s="17"/>
      <x:c r="M100" s="17"/>
      <x:c r="N100" s="17"/>
      <x:c r="O100" s="17"/>
      <x:c r="P100" s="17"/>
      <x:c r="Q100" s="17"/>
      <x:c r="R100" s="17" t="str">
        <x:v>NO_EVIDENCE_YET</x:v>
      </x:c>
      <x:c r="S100" s="17"/>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x:c r="K101" s="17"/>
      <x:c r="L101" s="17"/>
      <x:c r="M101" s="17"/>
      <x:c r="N101" s="17"/>
      <x:c r="O101" s="17"/>
      <x:c r="P101" s="17"/>
      <x:c r="Q101" s="17"/>
      <x:c r="R101" s="17" t="str">
        <x:v>NO_EVIDENCE_YET</x:v>
      </x:c>
      <x:c r="S101" s="17"/>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x:c r="K102" s="17"/>
      <x:c r="L102" s="17"/>
      <x:c r="M102" s="17"/>
      <x:c r="N102" s="17"/>
      <x:c r="O102" s="17"/>
      <x:c r="P102" s="17"/>
      <x:c r="Q102" s="17"/>
      <x:c r="R102" s="17" t="str">
        <x:v>NO_EVIDENCE_YET</x:v>
      </x:c>
      <x:c r="S102" s="17"/>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x:c r="K103" s="17"/>
      <x:c r="L103" s="17"/>
      <x:c r="M103" s="17"/>
      <x:c r="N103" s="17"/>
      <x:c r="O103" s="17"/>
      <x:c r="P103" s="17"/>
      <x:c r="Q103" s="17"/>
      <x:c r="R103" s="17" t="str">
        <x:v>NO_EVIDENCE_YET</x:v>
      </x:c>
      <x:c r="S103" s="17"/>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x:c r="K104" s="17"/>
      <x:c r="L104" s="17"/>
      <x:c r="M104" s="17"/>
      <x:c r="N104" s="17"/>
      <x:c r="O104" s="17"/>
      <x:c r="P104" s="17"/>
      <x:c r="Q104" s="17"/>
      <x:c r="R104" s="17" t="str">
        <x:v>NO_EVIDENCE_YET</x:v>
      </x:c>
      <x:c r="S104" s="17"/>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x:c r="K105" s="17"/>
      <x:c r="L105" s="17"/>
      <x:c r="M105" s="17"/>
      <x:c r="N105" s="17"/>
      <x:c r="O105" s="17"/>
      <x:c r="P105" s="17"/>
      <x:c r="Q105" s="17"/>
      <x:c r="R105" s="17" t="str">
        <x:v>NO_EVIDENCE_YET</x:v>
      </x:c>
      <x:c r="S105" s="17"/>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x:c r="K106" s="17"/>
      <x:c r="L106" s="17"/>
      <x:c r="M106" s="17"/>
      <x:c r="N106" s="17"/>
      <x:c r="O106" s="17"/>
      <x:c r="P106" s="17"/>
      <x:c r="Q106" s="17"/>
      <x:c r="R106" s="17" t="str">
        <x:v>NO_EVIDENCE_YET</x:v>
      </x:c>
      <x:c r="S106" s="17"/>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x:c r="K107" s="17"/>
      <x:c r="L107" s="17"/>
      <x:c r="M107" s="17"/>
      <x:c r="N107" s="17"/>
      <x:c r="O107" s="17"/>
      <x:c r="P107" s="17"/>
      <x:c r="Q107" s="17"/>
      <x:c r="R107" s="17" t="str">
        <x:v>NO_EVIDENCE_YET</x:v>
      </x:c>
      <x:c r="S107" s="17"/>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x:c r="K108" s="17"/>
      <x:c r="L108" s="17"/>
      <x:c r="M108" s="17"/>
      <x:c r="N108" s="17"/>
      <x:c r="O108" s="17"/>
      <x:c r="P108" s="17"/>
      <x:c r="Q108" s="17"/>
      <x:c r="R108" s="17" t="str">
        <x:v>NO_EVIDENCE_YET</x:v>
      </x:c>
      <x:c r="S108" s="17"/>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x:c r="K109" s="17"/>
      <x:c r="L109" s="17"/>
      <x:c r="M109" s="17"/>
      <x:c r="N109" s="17"/>
      <x:c r="O109" s="17"/>
      <x:c r="P109" s="17"/>
      <x:c r="Q109" s="17"/>
      <x:c r="R109" s="17" t="str">
        <x:v>NO_EVIDENCE_YET</x:v>
      </x:c>
      <x:c r="S109" s="17"/>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x:c r="K110" s="17"/>
      <x:c r="L110" s="17"/>
      <x:c r="M110" s="17"/>
      <x:c r="N110" s="17"/>
      <x:c r="O110" s="17"/>
      <x:c r="P110" s="17"/>
      <x:c r="Q110" s="17"/>
      <x:c r="R110" s="17" t="str">
        <x:v>NO_EVIDENCE_YET</x:v>
      </x:c>
      <x:c r="S110" s="17"/>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x:c r="K111" s="17"/>
      <x:c r="L111" s="17"/>
      <x:c r="M111" s="17"/>
      <x:c r="N111" s="17"/>
      <x:c r="O111" s="17"/>
      <x:c r="P111" s="17"/>
      <x:c r="Q111" s="17"/>
      <x:c r="R111" s="17" t="str">
        <x:v>NO_EVIDENCE_YET</x:v>
      </x:c>
      <x:c r="S111" s="17"/>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x:c r="K112" s="17"/>
      <x:c r="L112" s="17"/>
      <x:c r="M112" s="17"/>
      <x:c r="N112" s="17"/>
      <x:c r="O112" s="17"/>
      <x:c r="P112" s="17"/>
      <x:c r="Q112" s="17"/>
      <x:c r="R112" s="17" t="str">
        <x:v>NO_EVIDENCE_YET</x:v>
      </x:c>
      <x:c r="S112" s="17"/>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x:c r="K113" s="17"/>
      <x:c r="L113" s="17"/>
      <x:c r="M113" s="17"/>
      <x:c r="N113" s="17"/>
      <x:c r="O113" s="17"/>
      <x:c r="P113" s="17"/>
      <x:c r="Q113" s="17"/>
      <x:c r="R113" s="17" t="str">
        <x:v>NO_EVIDENCE_YET</x:v>
      </x:c>
      <x:c r="S113" s="17"/>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x:c r="K114" s="17"/>
      <x:c r="L114" s="17"/>
      <x:c r="M114" s="17"/>
      <x:c r="N114" s="17"/>
      <x:c r="O114" s="17"/>
      <x:c r="P114" s="17"/>
      <x:c r="Q114" s="17"/>
      <x:c r="R114" s="17" t="str">
        <x:v>NO_EVIDENCE_YET</x:v>
      </x:c>
      <x:c r="S114" s="17"/>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x:c r="K115" s="17"/>
      <x:c r="L115" s="17"/>
      <x:c r="M115" s="17"/>
      <x:c r="N115" s="17"/>
      <x:c r="O115" s="17"/>
      <x:c r="P115" s="17"/>
      <x:c r="Q115" s="17"/>
      <x:c r="R115" s="17" t="str">
        <x:v>NO_EVIDENCE_YET</x:v>
      </x:c>
      <x:c r="S115" s="17"/>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x:c r="K116" s="17"/>
      <x:c r="L116" s="17"/>
      <x:c r="M116" s="17"/>
      <x:c r="N116" s="17"/>
      <x:c r="O116" s="17"/>
      <x:c r="P116" s="17"/>
      <x:c r="Q116" s="17"/>
      <x:c r="R116" s="17" t="str">
        <x:v>NO_EVIDENCE_YET</x:v>
      </x:c>
      <x:c r="S116" s="17"/>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x:c r="K117" s="17"/>
      <x:c r="L117" s="17"/>
      <x:c r="M117" s="17"/>
      <x:c r="N117" s="17"/>
      <x:c r="O117" s="17"/>
      <x:c r="P117" s="17"/>
      <x:c r="Q117" s="17"/>
      <x:c r="R117" s="17" t="str">
        <x:v>NO_EVIDENCE_YET</x:v>
      </x:c>
      <x:c r="S117" s="17"/>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x:c r="K118" s="17"/>
      <x:c r="L118" s="17"/>
      <x:c r="M118" s="17"/>
      <x:c r="N118" s="17"/>
      <x:c r="O118" s="17"/>
      <x:c r="P118" s="17"/>
      <x:c r="Q118" s="17"/>
      <x:c r="R118" s="17" t="str">
        <x:v>NO_EVIDENCE_YET</x:v>
      </x:c>
      <x:c r="S118" s="17"/>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x:c r="K119" s="17"/>
      <x:c r="L119" s="17"/>
      <x:c r="M119" s="17"/>
      <x:c r="N119" s="17"/>
      <x:c r="O119" s="17"/>
      <x:c r="P119" s="17"/>
      <x:c r="Q119" s="17"/>
      <x:c r="R119" s="17" t="str">
        <x:v>NO_EVIDENCE_YET</x:v>
      </x:c>
      <x:c r="S119" s="17"/>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x:c r="K120" s="18"/>
      <x:c r="L120" s="18"/>
      <x:c r="M120" s="18"/>
      <x:c r="N120" s="18"/>
      <x:c r="O120" s="18"/>
      <x:c r="P120" s="18"/>
      <x:c r="Q120" s="18"/>
      <x:c r="R120" s="18" t="str">
        <x:v>NO_EVIDENCE_YET</x:v>
      </x:c>
      <x:c r="S120" s="18"/>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x:c r="K121"/>
      <x:c r="L121"/>
      <x:c r="M121"/>
      <x:c r="N121"/>
      <x:c r="O121"/>
      <x:c r="P121"/>
      <x:c r="Q121"/>
      <x:c r="R121" t="str">
        <x:v>NO_EVIDENCE_YET</x:v>
      </x:c>
      <x:c r="S121"/>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e831ebcf4c874a7f"/>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0204_price_history_approval</x:v>
      </x:c>
      <x:c r="D9" s="17" t="str">
        <x:v>MIG-007</x:v>
      </x:c>
      <x:c r="E9" s="17" t="str">
        <x:v>SupplyPriceChangeRequest/PriceChangeLog</x:v>
      </x:c>
      <x:c r="F9" s="17" t="str">
        <x:v>价格治理</x:v>
      </x:c>
      <x:c r="G9" s="17" t="str">
        <x:v>由阶段切片生成Prisma migration；事务/分批策略按数据量确定</x:v>
      </x:c>
      <x:c r="H9" s="17" t="str">
        <x:v>已发布迁移不回改；失败前恢复备份或创建向前修复迁移；应用版本可回退时保持schema兼容窗口</x:v>
      </x:c>
      <x:c r="I9" s="17" t="str">
        <x:v>阶段实现时明确批次、断点、校验和</x:v>
      </x:c>
      <x:c r="J9" s="17" t="str">
        <x:v>三类价格历史与审批唯一性；prisma validate；空库/升级路径dry-run；关键不变量SQL</x:v>
      </x:c>
      <x:c r="K9" s="17" t="str">
        <x:v>BEFORE_STAGING_OR_PRODUCTION</x:v>
      </x:c>
      <x:c r="L9" s="17" t="str">
        <x:v>PLANNED</x:v>
      </x:c>
      <x:c r="M9" s="17" t="str"/>
      <x:c r="N9" s="17" t="str"/>
      <x:c r="O9" s="17" t="str"/>
      <x:c r="P9" s="17" t="str"/>
      <x:c r="Q9" s="17" t="str">
        <x:v>artifacts/verification/M2-000/m2-contract-freeze.json#migrationContract</x:v>
      </x:c>
      <x:c r="R9" s="17" t="str">
        <x:v>M2-000仅冻结迁移顺序、不变量与恢复策略；未创建或应用任何M2迁移</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row r="24">
      <x:c r="A24"/>
      <x:c r="B24"/>
      <x:c r="C24"/>
      <x:c r="D24"/>
      <x:c r="E24"/>
      <x:c r="F24"/>
      <x:c r="G24"/>
      <x:c r="H24"/>
      <x:c r="I24"/>
      <x:c r="J24"/>
      <x:c r="K24"/>
      <x:c r="L24"/>
      <x:c r="M24"/>
      <x:c r="N24"/>
      <x:c r="O24"/>
      <x:c r="P24"/>
      <x:c r="Q24"/>
      <x:c r="R24"/>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79fa4aa91c542b9"/>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category-templates+regulated-category-controls</x:v>
      </x:c>
      <x:c r="D19" s="17" t="str">
        <x:v>GET|POST|PATCH|POST|GET|POST|POST</x:v>
      </x:c>
      <x:c r="E19"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19" s="17" t="str">
        <x:v>COMPANY_PRODUCT_OPS</x:v>
      </x:c>
      <x:c r="G19" s="17" t="str">
        <x:v>CategoryTemplateCreateRequestDto|CategoryTemplatePatchRequestDto|CategoryTemplatePublishRequestDto|RegulatedCategoryEnableRequestDto|RegulatedCategoryDisableRequestDto</x:v>
      </x:c>
      <x:c r="H19" s="17" t="str">
        <x:v>CategoryTemplateListResponseDto|CategoryTemplateResponseDto|RegulatedCategoryControlListResponseDto|RegulatedCategoryControlResponseDto</x:v>
      </x:c>
      <x:c r="I19" s="17" t="str">
        <x:v>{success,data,error:{code,message,details?},requestId}</x:v>
      </x:c>
      <x:c r="J19"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19" s="17" t="str">
        <x:v>Idempotency-Key</x:v>
      </x:c>
      <x:c r="L19" s="17" t="str">
        <x:v>NEVER_RETURN；companyId/identityId/functionalAccountId由会话派生；响应只返回资质引用数和有效期；不返回供应价或资质对象引用</x:v>
      </x:c>
      <x:c r="M19" s="17" t="str">
        <x:v>N/A；本切片无金额字段</x:v>
      </x:c>
      <x:c r="N19" s="17" t="str">
        <x:v>P0-012,P0-018</x:v>
      </x:c>
      <x:c r="O19" s="17" t="str">
        <x:v>GENERATED</x:v>
      </x:c>
      <x:c r="P19" s="17" t="str">
        <x:v>IMPLEMENTED</x:v>
      </x:c>
      <x:c r="Q19" s="17" t="str">
        <x:v>IMPLEMENTED</x:v>
      </x:c>
      <x:c r="R19"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19" s="17" t="str">
        <x:v>CODEX</x:v>
      </x:c>
      <x:c r="T19" s="17" t="str">
        <x:v>模板四操作与强监管列表/启用/停用已实现；HIGH_RISK默认关闭；启停二次验证、幂等、版本冲突和审计失败显式处理；当前LOCAL_PASS</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SupplierProductDraftRequestDto</x:v>
      </x:c>
      <x:c r="H20" s="17" t="str">
        <x:v>SupplierProductResponseDto</x:v>
      </x:c>
      <x:c r="I20" s="17" t="str">
        <x:v>{success,data,error:{code,message,details?},requestId}</x:v>
      </x:c>
      <x:c r="J20" s="17" t="str">
        <x:v>CATEGORY_TEMPLATE_INVALID|PRICE_FIELD_FORBIDDEN|SUPPLIER_SCOPE_FORBIDDEN|IDEMPOTENCY_CONFLICT</x:v>
      </x:c>
      <x:c r="K20" s="17" t="str">
        <x:v>Idempotency-Key</x:v>
      </x:c>
      <x:c r="L20" s="17" t="str">
        <x:v>NEVER_RETURN; DTO白名单；对象归属校验先于查询结果返回</x:v>
      </x:c>
      <x:c r="M20" s="17" t="str">
        <x:v>本商品资料接口禁止任何价格字段；归属由固定会话派生</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确定性OpenAPI已生成；固定供应商商品职能会话、幂等和DTO白名单本地通过；CI待执行。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SupplierProductPatchRequestDto</x:v>
      </x:c>
      <x:c r="H21" s="17" t="str">
        <x:v>SupplierProductResponseDto</x:v>
      </x:c>
      <x:c r="I21" s="17" t="str">
        <x:v>{success,data,error:{code,message,details?},requestId}</x:v>
      </x:c>
      <x:c r="J21" s="17" t="str">
        <x:v>SUPPLIER_PRODUCT_NOT_FOUND|VERSION_CONFLICT|PRICE_FIELD_FORBIDDEN|IDEMPOTENCY_CONFLICT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跨供应商访问统一404且原草稿不变；确定性OpenAPI已生成；CI待执行。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SubmitProductMaterialRequestDto</x:v>
      </x:c>
      <x:c r="H22" s="17" t="str">
        <x:v>ProductMaterialApprovalResponseDto</x:v>
      </x:c>
      <x:c r="I22" s="17" t="str">
        <x:v>{success,data,error:{code,message,details?},requestId}</x:v>
      </x:c>
      <x:c r="J22" s="17" t="str">
        <x:v>SUPPLIER_PRODUCT_NOT_FOUND|STATE_TRANSITION_INVALID|VERSION_CONFLICT|IDEMPOTENCY_CONFLICT</x:v>
      </x:c>
      <x:c r="K22" s="17" t="str">
        <x:v>Idempotency-Key</x:v>
      </x:c>
      <x:c r="L22" s="17" t="str">
        <x:v>NEVER_RETURN; DTO白名单；对象归属校验先于查询结果返回</x:v>
      </x:c>
      <x:c r="M22" s="17" t="str">
        <x:v>不接收价格；只创建资料审核任务，不创建可售Product/Sku</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双审前Product/Sku计数保持0；运行时与OpenAPI本地通过；CI待执行。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SupplyPriceChangeResponse</x:v>
      </x:c>
      <x:c r="I24" s="17" t="str">
        <x:v>{success,data,error:{code,message,details?},requestId}</x:v>
      </x:c>
      <x:c r="J24" s="17" t="str">
        <x:v>SUPPLY_PRICE_REVIEW_REQUIRED|VERSION_CONFLICT</x:v>
      </x:c>
      <x:c r="K24" s="17" t="str">
        <x:v>Idempotency-Key</x:v>
      </x:c>
      <x:c r="L24" s="17" t="str">
        <x:v>ROLE_AND_SUPPLIER_SCOPE_WHITELIST; DTO白名单；对象归属校验先于查询结果返回</x:v>
      </x:c>
      <x:c r="M24" s="17" t="str">
        <x:v>金额字段整数分；服务端重算；禁止客户端提交供应价或结算快照</x:v>
      </x:c>
      <x:c r="N24" s="17" t="str">
        <x:v>P0-019,P0-071</x:v>
      </x:c>
      <x:c r="O24" s="17" t="str">
        <x:v>PLANNED</x:v>
      </x:c>
      <x:c r="P24" s="17" t="str">
        <x:v>PLANNED</x:v>
      </x:c>
      <x:c r="Q24" s="17" t="str">
        <x:v>PLANNED</x:v>
      </x:c>
      <x:c r="R24" s="17" t="str">
        <x:v>FREEZE:tests/contracts/m2-contract-freeze.contract.test.mjs;RUNTIME:TO_BE_CREATED</x:v>
      </x:c>
      <x:c r="S24" s="17" t="str">
        <x:v>CODEX</x:v>
      </x:c>
      <x:c r="T24" s="17" t="str">
        <x:v>M2-000已冻结DTO、错误码、权限、幂等和敏感字段策略；OpenAPI及运行时实现仍为PLANNED/NOT_IMPLEMENTED</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SalePricesPatchRequest</x:v>
      </x:c>
      <x:c r="H25" s="17" t="str">
        <x:v>SkuSalePricesResponse</x:v>
      </x:c>
      <x:c r="I25" s="17" t="str">
        <x:v>{success,data,error:{code,message,details?},requestId}</x:v>
      </x:c>
      <x:c r="J25" s="17" t="str">
        <x:v>PRICE_INVALID|VERSION_CONFLICT</x:v>
      </x:c>
      <x:c r="K25" s="17" t="str">
        <x:v>Idempotency-Key</x:v>
      </x:c>
      <x:c r="L25" s="17" t="str">
        <x:v>ROLE_AND_SUPPLIER_SCOPE_WHITELIST; DTO白名单；对象归属校验先于查询结果返回</x:v>
      </x:c>
      <x:c r="M25" s="17" t="str">
        <x:v>金额字段整数分；服务端重算；禁止客户端提交供应价或结算快照</x:v>
      </x:c>
      <x:c r="N25" s="17" t="str">
        <x:v>P0-019,P0-071</x:v>
      </x:c>
      <x:c r="O25" s="17" t="str">
        <x:v>PLANNED</x:v>
      </x:c>
      <x:c r="P25" s="17" t="str">
        <x:v>PLANNED</x:v>
      </x:c>
      <x:c r="Q25" s="17" t="str">
        <x:v>PLANNED</x:v>
      </x:c>
      <x:c r="R25" s="17" t="str">
        <x:v>FREEZE:tests/contracts/m2-contract-freeze.contract.test.mjs;RUNTIME:TO_BE_CREATED</x:v>
      </x:c>
      <x:c r="S25" s="17" t="str">
        <x:v>CODEX</x:v>
      </x:c>
      <x:c r="T25" s="17" t="str">
        <x:v>M2-000已冻结DTO、错误码、权限、幂等和敏感字段策略；OpenAPI及运行时实现仍为PLANNED/NOT_IMPLEMENTED</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x:v>
      </x:c>
      <x:c r="K27" s="17" t="str">
        <x:v>Idempotency-Key</x:v>
      </x:c>
      <x:c r="L27" s="17" t="str">
        <x:v>ROLE_AND_SUPPLIER_SCOPE_WHITELIST; DTO白名单；对象归属校验先于查询结果返回</x:v>
      </x:c>
      <x:c r="M27" s="17" t="str">
        <x:v>金额字段整数分；服务端重算；禁止客户端提交供应价或结算快照</x:v>
      </x:c>
      <x:c r="N27" s="17" t="str">
        <x:v>P0-007,P0-019,P0-071</x:v>
      </x:c>
      <x:c r="O27" s="17" t="str">
        <x:v>GENERATED</x:v>
      </x:c>
      <x:c r="P27" s="17" t="str">
        <x:v>IMPLEMENTED</x:v>
      </x:c>
      <x:c r="Q27" s="17" t="str">
        <x:v>IMPLEMENTED</x:v>
      </x:c>
      <x:c r="R27" s="17" t="str">
        <x:v>apps/api/test/supertest/company-product-approvals-api.test.mjs|packages/contracts/openapi.json</x:v>
      </x:c>
      <x:c r="S27" s="17" t="str">
        <x:v>CODEX</x:v>
      </x:c>
      <x:c r="T27" s="17" t="str">
        <x:v>初始三价审核队列/决定运行时和确定性OpenAPI已实现；仅COMPANY_PRICE_REVIEW可见；双审后唯一物化本地通过；CI待执行。</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x:v>
      </x:c>
      <x:c r="K31" s="17" t="str">
        <x:v>NONE</x:v>
      </x:c>
      <x:c r="L31" s="17" t="str">
        <x:v>NEVER_RETURN; DTO白名单；对象归属校验先于查询结果返回；礼盒supplierProductId内部引用不返回</x:v>
      </x:c>
      <x:c r="M31" s="17" t="str">
        <x:v>金额字段整数分；服务端重算；禁止客户端提交供应价或结算快照</x:v>
      </x:c>
      <x:c r="N31" s="17" t="str">
        <x:v>P0-013,P0-014,P0-015,P0-016,P0-017,P0-021,P0-088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apps/api/test/supertest/gift-box-product-detail-api.test.mjs|tests/contracts/m2-p013-food-detail.contract.test.mjs|tests/contracts/m2-p014-fresh-detail.contract.test.mjs|tests/contracts/m2-p015-apparel-detail.contract.test.mjs|tests/contracts/m2-p016-digital-detail.contract.test.mjs|tests/contracts/m2-p017-gift-box-detail.contract.test.mjs|tests/openapi/openapi-generation.test.mjs|packages/contracts/openapi.json</x:v>
      </x:c>
      <x:c r="S31" s="17" t="str">
        <x:v>CODEX</x:v>
      </x:c>
      <x:c r="T31" s="17" t="str">
        <x:v>P013至P016已在main取得CI证据；P017礼盒详情以结构化公开DTO展示子项、数量、规格和有效期下限，内部supplierProductId、供应价和资质引用不返回，当前为LOCAL_PASS。P0-021/P0-088其他通用详情与完整交互仍为NOT_EXECUTED。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row r="92">
      <x:c r="A92"/>
      <x:c r="B92"/>
      <x:c r="C92"/>
      <x:c r="D92"/>
      <x:c r="E92"/>
      <x:c r="F92"/>
      <x:c r="G92"/>
      <x:c r="H92"/>
      <x:c r="I92"/>
      <x:c r="J92"/>
      <x:c r="K92"/>
      <x:c r="L92"/>
      <x:c r="M92"/>
      <x:c r="N92"/>
      <x:c r="O92"/>
      <x:c r="P92"/>
      <x:c r="Q92"/>
      <x:c r="R92"/>
      <x:c r="S92"/>
      <x:c r="T92"/>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1966bafa2af4b72"/>
  </x:tableParts>
</x:worksheet>
</file>