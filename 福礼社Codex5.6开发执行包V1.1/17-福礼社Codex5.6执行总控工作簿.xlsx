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94159e99d74949a3" /></Relationships>
</file>

<file path=xl/workbook.xml><?xml version="1.0" encoding="utf-8"?>
<x:workbook xmlns:x="http://schemas.openxmlformats.org/spreadsheetml/2006/main">
  <x:sheets>
    <x:sheet xmlns:r="http://schemas.openxmlformats.org/officeDocument/2006/relationships" name="总控看板" sheetId="1" r:id="R27867cdd29114508"/>
    <x:sheet xmlns:r="http://schemas.openxmlformats.org/officeDocument/2006/relationships" name="阶段门禁" sheetId="2" r:id="Rd357a2f6d5624586"/>
    <x:sheet xmlns:r="http://schemas.openxmlformats.org/officeDocument/2006/relationships" name="任务台账" sheetId="3" r:id="R2a354e2d570a4656"/>
    <x:sheet xmlns:r="http://schemas.openxmlformats.org/officeDocument/2006/relationships" name="P0验收矩阵" sheetId="4" r:id="Rac9f87f518c74fe8"/>
    <x:sheet xmlns:r="http://schemas.openxmlformats.org/officeDocument/2006/relationships" name="字段字典" sheetId="5" r:id="R453f5094f33844d2"/>
    <x:sheet xmlns:r="http://schemas.openxmlformats.org/officeDocument/2006/relationships" name="状态机" sheetId="6" r:id="Rd6c772da4804457b"/>
    <x:sheet xmlns:r="http://schemas.openxmlformats.org/officeDocument/2006/relationships" name="权限矩阵" sheetId="7" r:id="R5524acccd1ee41fa"/>
    <x:sheet xmlns:r="http://schemas.openxmlformats.org/officeDocument/2006/relationships" name="页面映射" sheetId="8" r:id="R7f1be672a5014e4a"/>
    <x:sheet xmlns:r="http://schemas.openxmlformats.org/officeDocument/2006/relationships" name="外部依赖" sheetId="9" r:id="Rc3b6fa5b14034353"/>
    <x:sheet xmlns:r="http://schemas.openxmlformats.org/officeDocument/2006/relationships" name="测试证据" sheetId="10" r:id="Rd770c38760a84006"/>
    <x:sheet xmlns:r="http://schemas.openxmlformats.org/officeDocument/2006/relationships" name="迁移台账" sheetId="11" r:id="Rdd0880d7a42641b8"/>
    <x:sheet xmlns:r="http://schemas.openxmlformats.org/officeDocument/2006/relationships" name="API台账" sheetId="12" r:id="R0baec51876394a2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89bb8ac6d29497b" /><Relationship Type="http://schemas.openxmlformats.org/officeDocument/2006/relationships/theme" Target="/xl/theme/theme1.xml" Id="Rf39fa2ee675a46a8" /><Relationship Type="http://schemas.openxmlformats.org/officeDocument/2006/relationships/sharedStrings" Target="/xl/sharedStrings.xml" Id="R152f56cbe6294edf" /><Relationship Type="http://schemas.openxmlformats.org/officeDocument/2006/relationships/worksheet" Target="/xl/worksheets/sheet1.xml" Id="R27867cdd29114508" /><Relationship Type="http://schemas.openxmlformats.org/officeDocument/2006/relationships/worksheet" Target="/xl/worksheets/sheet2.xml" Id="Rd357a2f6d5624586" /><Relationship Type="http://schemas.openxmlformats.org/officeDocument/2006/relationships/worksheet" Target="/xl/worksheets/sheet3.xml" Id="R2a354e2d570a4656" /><Relationship Type="http://schemas.openxmlformats.org/officeDocument/2006/relationships/worksheet" Target="/xl/worksheets/sheet4.xml" Id="Rac9f87f518c74fe8" /><Relationship Type="http://schemas.openxmlformats.org/officeDocument/2006/relationships/worksheet" Target="/xl/worksheets/sheet5.xml" Id="R453f5094f33844d2" /><Relationship Type="http://schemas.openxmlformats.org/officeDocument/2006/relationships/worksheet" Target="/xl/worksheets/sheet6.xml" Id="Rd6c772da4804457b" /><Relationship Type="http://schemas.openxmlformats.org/officeDocument/2006/relationships/worksheet" Target="/xl/worksheets/sheet7.xml" Id="R5524acccd1ee41fa" /><Relationship Type="http://schemas.openxmlformats.org/officeDocument/2006/relationships/worksheet" Target="/xl/worksheets/sheet8.xml" Id="R7f1be672a5014e4a" /><Relationship Type="http://schemas.openxmlformats.org/officeDocument/2006/relationships/worksheet" Target="/xl/worksheets/sheet9.xml" Id="Rc3b6fa5b14034353" /><Relationship Type="http://schemas.openxmlformats.org/officeDocument/2006/relationships/worksheet" Target="/xl/worksheets/sheet10.xml" Id="Rd770c38760a84006" /><Relationship Type="http://schemas.openxmlformats.org/officeDocument/2006/relationships/worksheet" Target="/xl/worksheets/sheet11.xml" Id="Rdd0880d7a42641b8" /><Relationship Type="http://schemas.openxmlformats.org/officeDocument/2006/relationships/worksheet" Target="/xl/worksheets/sheet12.xml" Id="R0baec51876394a23" /><Relationship Type="http://schemas.microsoft.com/office/2017/10/relationships/person" Target="/xl/persons/person.xml" Id="R4ae162529a6344e0"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ab79ece23ea4135" /></Relationships>
</file>

<file path=xl/worksheets/_rels/sheet3.xml.rels>&#65279;<?xml version="1.0" encoding="utf-8"?><Relationships xmlns="http://schemas.openxmlformats.org/package/2006/relationships"><Relationship Type="http://schemas.openxmlformats.org/officeDocument/2006/relationships/table" Target="/xl/tables/table2.xml" Id="Rad8dadb195a84cb1" /></Relationships>
</file>

<file path=xl/worksheets/_rels/sheet4.xml.rels>&#65279;<?xml version="1.0" encoding="utf-8"?><Relationships xmlns="http://schemas.openxmlformats.org/package/2006/relationships"><Relationship Type="http://schemas.openxmlformats.org/officeDocument/2006/relationships/table" Target="/xl/tables/table3.xml" Id="Rb5d2412c29ba407f" /></Relationships>
</file>

<file path=xl/worksheets/_rels/sheet5.xml.rels>&#65279;<?xml version="1.0" encoding="utf-8"?><Relationships xmlns="http://schemas.openxmlformats.org/package/2006/relationships"><Relationship Type="http://schemas.openxmlformats.org/officeDocument/2006/relationships/table" Target="/xl/tables/table4.xml" Id="Ra26d5775b9924c94" /></Relationships>
</file>

<file path=xl/worksheets/_rels/sheet6.xml.rels>&#65279;<?xml version="1.0" encoding="utf-8"?><Relationships xmlns="http://schemas.openxmlformats.org/package/2006/relationships"><Relationship Type="http://schemas.openxmlformats.org/officeDocument/2006/relationships/table" Target="/xl/tables/table5.xml" Id="R7e441db2633e4599" /></Relationships>
</file>

<file path=xl/worksheets/_rels/sheet7.xml.rels>&#65279;<?xml version="1.0" encoding="utf-8"?><Relationships xmlns="http://schemas.openxmlformats.org/package/2006/relationships"><Relationship Type="http://schemas.openxmlformats.org/officeDocument/2006/relationships/table" Target="/xl/tables/table6.xml" Id="R12811555619d4030" /></Relationships>
</file>

<file path=xl/worksheets/_rels/sheet8.xml.rels>&#65279;<?xml version="1.0" encoding="utf-8"?><Relationships xmlns="http://schemas.openxmlformats.org/package/2006/relationships"><Relationship Type="http://schemas.openxmlformats.org/officeDocument/2006/relationships/table" Target="/xl/tables/table7.xml" Id="Rd1d181c797434959" /></Relationships>
</file>

<file path=xl/worksheets/_rels/sheet9.xml.rels>&#65279;<?xml version="1.0" encoding="utf-8"?><Relationships xmlns="http://schemas.openxmlformats.org/package/2006/relationships"><Relationship Type="http://schemas.openxmlformats.org/officeDocument/2006/relationships/table" Target="/xl/tables/table8.xml" Id="R73ac77de169440a6" /></Relationships>
</file>

<file path=xl/worksheets/_rels/sheet10.xml.rels>&#65279;<?xml version="1.0" encoding="utf-8"?><Relationships xmlns="http://schemas.openxmlformats.org/package/2006/relationships"><Relationship Type="http://schemas.openxmlformats.org/officeDocument/2006/relationships/table" Target="/xl/tables/table9.xml" Id="Ref6a1cf136034947" /></Relationships>
</file>

<file path=xl/worksheets/_rels/sheet11.xml.rels>&#65279;<?xml version="1.0" encoding="utf-8"?><Relationships xmlns="http://schemas.openxmlformats.org/package/2006/relationships"><Relationship Type="http://schemas.openxmlformats.org/officeDocument/2006/relationships/table" Target="/xl/tables/table10.xml" Id="R8f86c622e35a4ec2" /></Relationships>
</file>

<file path=xl/worksheets/_rels/sheet12.xml.rels>&#65279;<?xml version="1.0" encoding="utf-8"?><Relationships xmlns="http://schemas.openxmlformats.org/package/2006/relationships"><Relationship Type="http://schemas.openxmlformats.org/officeDocument/2006/relationships/table" Target="/xl/tables/table11.xml" Id="R261754572a254d41"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main@81e3808c CI_PASS · M2-P013 merged-main CI_PASS · M2-P014 LOCAL_PASS · Issue #53 · Draft PR待创建 · P0-015及以后锁定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39</x:v>
      </x:c>
      <x:c r="E6" s="83"/>
      <x:c r="F6" s="187"/>
      <x:c r="G6" s="109" t="n">
        <x:f>COUNTIF('P0验收矩阵'!$I$2:$I$120,"LOCAL_PASS")+COUNTIF('P0验收矩阵'!$I$2:$I$120,"CI_PASS")+COUNTIF('P0验收矩阵'!$I$2:$I$120,"STAGING_PASS")+COUNTIF('P0验收矩阵'!$I$2:$I$120,"DEVICE_PASS")+COUNTIF('P0验收矩阵'!$I$2:$I$120,"PRODUCTION_PASS")</x:f>
        <x:v>23</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10</x:v>
      </x:c>
      <x:c r="E13" s="152" t="n">
        <x:f>COUNTIF('P0验收矩阵'!$C$2:$C$120,A13)</x:f>
        <x:v>18</x:v>
      </x:c>
      <x:c r="F13" s="152" t="n">
        <x:f>COUNTIFS('P0验收矩阵'!$C$2:$C$120,A13,'P0验收矩阵'!$I$2:$I$120,"LOCAL_PASS")+COUNTIFS('P0验收矩阵'!$C$2:$C$120,A13,'P0验收矩阵'!$I$2:$I$120,"CI_PASS")+COUNTIFS('P0验收矩阵'!$C$2:$C$120,A13,'P0验收矩阵'!$I$2:$I$120,"STAGING_PASS")+COUNTIFS('P0验收矩阵'!$C$2:$C$120,A13,'P0验收矩阵'!$I$2:$I$120,"DEVICE_PASS")+COUNTIFS('P0验收矩阵'!$C$2:$C$120,A13,'P0验收矩阵'!$I$2:$I$120,"PRODUCTION_PASS")</x:f>
        <x:v>9</x:v>
      </x:c>
      <x:c r="G13" s="152" t="str">
        <x:f>INDEX('阶段门禁'!$N$2:$N$8,MATCH(A13,'阶段门禁'!$A$2:$A$8,0))</x:f>
        <x:v>IN_PROGRESS</x:v>
      </x:c>
      <x:c r="H13" s="152" t="str">
        <x:f>INDEX('阶段门禁'!$O$2:$O$8,MATCH(A13,'阶段门禁'!$A$2:$A$8,0))</x:f>
        <x:v>LOCAL_PASS</x:v>
      </x:c>
      <x:c r="I13" s="152" t="str">
        <x:f>IF(G13="GATE_PASSED","PASSED",IF(G13="IN_PROGRESS","PR门禁待完成","LOCKED"))</x:f>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96</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22</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PASS；M2-P006至M2-P013已合并且main CI PASS；M2-P014本地RED→GREEN完成并等待Draft PR精确head CI，P0-015及以后保持锁定。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x:c r="Q4" s="17"/>
      <x:c r="R4" s="17" t="str">
        <x:v>M2-P006至M2-P013已在main取得CI_PASS；M2-P014完成RED→GREEN、focused/API/P0和MySQL迁移演练并取得LOCAL_PASS，Draft PR最终head CI、人工合并和合并后main CI待执行；M2-P015及以后保持锁定。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dab79ece23ea4135"/>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46244.71050226852</x:v>
      </x:c>
      <x:c r="Y38" s="17" t="str">
        <x:v>PR #50精确head 4faae843 CI通过并按人工授权合并为main@9a85a641；合并后main CI run 31398383884通过。staging与production未执行。</x:v>
      </x:c>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按原子提交回退；迁移仅向前修复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LOCAL_PASS</x:v>
      </x:c>
      <x:c r="O40" s="17" t="str">
        <x:v>CODEX</x:v>
      </x:c>
      <x:c r="P40" s="17" t="str">
        <x:v>https://github.com/EasyStep-lee/flt1/issues/53</x:v>
      </x:c>
      <x:c r="Q40" s="17" t="str">
        <x:v>codex/m2-m2-p014</x:v>
      </x:c>
      <x:c r="R40" s="17" t="str">
        <x:v>codex/m2-fresh-detail</x:v>
      </x:c>
      <x:c r="S40" s="17" t="str">
        <x:v>6653da31537e8daa76c4d15d07dcaeb9ed634680</x:v>
      </x:c>
      <x:c r="T40" s="17"/>
      <x:c r="U40" s="17"/>
      <x:c r="V40" s="17" t="str">
        <x:v>NO</x:v>
      </x:c>
      <x:c r="W40" s="17" t="str">
        <x:v>按原子提交回退；迁移仅向前修复</x:v>
      </x:c>
      <x:c r="X40" s="17" t="n">
        <x:v>46245.092777777776</x:v>
      </x:c>
      <x:c r="Y40" s="17" t="str">
        <x:v>行为RED已确认；FRESH模板、温区/称重枚举、供应商字段校验、公司售后规则、公开DTO白名单、公司模板预置和用户小程序生鲜详情已通过focused/API/P0/迁移及pnpm verify 17/17。首次完整门禁lint失败后已修正无用常量并重跑通过；Draft PR最终head CI、人工合并、合并后main CI、staging与production未执行；P015保持锁定。</x:v>
      </x:c>
    </x:row>
    <x:row r="41" ht="23" customHeight="1">
      <x:c r="A41" s="17" t="str">
        <x:v>M2-P015</x:v>
      </x:c>
      <x:c r="B41" s="17" t="n">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NOT_STARTED</x:v>
      </x:c>
      <x:c r="N41" s="17" t="str">
        <x:v>NOT_EXECUTED</x:v>
      </x:c>
      <x:c r="O41" s="17" t="str">
        <x:v>UNASSIGNED</x:v>
      </x:c>
      <x:c r="P41" s="17"/>
      <x:c r="Q41" s="17" t="str">
        <x:v>codex/m2-m2-p015</x:v>
      </x:c>
      <x:c r="R41" s="17"/>
      <x:c r="S41" s="17"/>
      <x:c r="T41" s="17"/>
      <x:c r="U41" s="17"/>
      <x:c r="V41" s="17" t="str">
        <x:v>NO</x:v>
      </x:c>
      <x:c r="W41" s="17" t="str">
        <x:v>按原子提交回退；迁移仅向前修复</x:v>
      </x:c>
      <x:c r="X41" s="17"/>
      <x:c r="Y41" s="17"/>
    </x:row>
    <x:row r="42" ht="23" customHeight="1">
      <x:c r="A42" s="17" t="str">
        <x:v>M2-P016</x:v>
      </x:c>
      <x:c r="B42" s="17" t="n">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NOT_STARTED</x:v>
      </x:c>
      <x:c r="N42" s="17" t="str">
        <x:v>NOT_EXECUTED</x:v>
      </x:c>
      <x:c r="O42" s="17" t="str">
        <x:v>UNASSIGNED</x:v>
      </x:c>
      <x:c r="P42" s="17"/>
      <x:c r="Q42" s="17" t="str">
        <x:v>codex/m2-m2-p016</x:v>
      </x:c>
      <x:c r="R42" s="17"/>
      <x:c r="S42" s="17"/>
      <x:c r="T42" s="17"/>
      <x:c r="U42" s="17"/>
      <x:c r="V42" s="17" t="str">
        <x:v>NO</x:v>
      </x:c>
      <x:c r="W42" s="17" t="str">
        <x:v>按原子提交回退；迁移仅向前修复</x:v>
      </x:c>
      <x:c r="X42" s="17"/>
      <x:c r="Y42" s="17"/>
    </x:row>
    <x:row r="43" ht="23" customHeight="1">
      <x:c r="A43" s="17" t="str">
        <x:v>M2-P017</x:v>
      </x:c>
      <x:c r="B43" s="17" t="n">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x:c r="Q43" s="17" t="str">
        <x:v>codex/m2-m2-p017</x:v>
      </x:c>
      <x:c r="R43" s="17"/>
      <x:c r="S43" s="17"/>
      <x:c r="T43" s="17"/>
      <x:c r="U43" s="17"/>
      <x:c r="V43" s="17" t="str">
        <x:v>NO</x:v>
      </x:c>
      <x:c r="W43" s="17" t="str">
        <x:v>按原子提交回退；迁移仅向前修复</x:v>
      </x:c>
      <x:c r="X43" s="17"/>
      <x:c r="Y43" s="17"/>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ad8dadb195a84cb1"/>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x:c r="P9" s="17" t="n">
        <x:v>46244.05306712963</x:v>
      </x:c>
      <x:c r="Q9" s="17" t="str">
        <x:v>PR #42精确head CI及合并后main@590a770 CI run 31346326144成功；多商品未知结果保护已进入main。</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46244.71050226852</x:v>
      </x:c>
      <x:c r="Q13" s="17" t="str">
        <x:v>PR #50精确head CI与合并后main CI run 31398383884通过；模板版本化、旧版不可变和当前发布绑定均为CI_PASS。staging与production未执行。</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LOCAL_PASS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3a0f3fece98ede567afb0c1710e5c6c5ce0cd69c</x:v>
      </x:c>
      <x:c r="O15" s="17" t="str">
        <x:v>CODEX</x:v>
      </x:c>
      <x:c r="P15" s="17" t="n">
        <x:v>46245.092777777776</x:v>
      </x:c>
      <x:c r="Q15" s="17" t="str">
        <x:v>生鲜七项商品字段、三项SKU规格、两项枚举、公司售后规则和五个详情模块已通过本地行为/API/小程序/P0、真实MySQL迁移演练及pnpm verify 17/17；P0 E2E 39/39、迁移完整性17/17、秘密扫描657个跟踪文件通过。CI、staging、device、production未执行。</x:v>
      </x:c>
    </x:row>
    <x:row r="16" ht="23" customHeight="1">
      <x:c r="A16" s="17" t="str">
        <x:v>P0-015</x:v>
      </x:c>
      <x:c r="B16" s="17" t="n">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NOT_EXECUTED</x:v>
      </x:c>
      <x:c r="J16" s="17" t="str">
        <x:v>NEG-M2-015-01|NEG-M2-015-02|NEG-M2-015-03</x:v>
      </x:c>
      <x:c r="K16" s="17" t="str">
        <x:v>N/A</x:v>
      </x:c>
      <x:c r="L16" s="17" t="str">
        <x:v>APPAREL_REQUIRED_FIELD_MISSING；APPAREL_SKU_DUPLICATE；APPAREL_HISTORY_REWRITE</x:v>
      </x:c>
      <x:c r="M16" s="17" t="str">
        <x:v>artifacts/verification/M2-000/m2-contract-freeze.json#negativeTests</x:v>
      </x:c>
      <x:c r="N16" s="17"/>
      <x:c r="O16" s="17"/>
      <x:c r="P16" s="17"/>
      <x:c r="Q16" s="17" t="str">
        <x:v>M2-000仅冻结测试ID、失败行为和证据要求；业务切片须逐项先RED再实现；当前仍为NOT_EXECUTED</x:v>
      </x:c>
    </x:row>
    <x:row r="17" ht="23" customHeight="1">
      <x:c r="A17" s="17" t="str">
        <x:v>P0-016</x:v>
      </x:c>
      <x:c r="B17" s="17" t="n">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NOT_EXECUTED</x:v>
      </x:c>
      <x:c r="J17" s="17" t="str">
        <x:v>NEG-M2-016-01|NEG-M2-016-02|NEG-M2-016-03</x:v>
      </x:c>
      <x:c r="K17" s="17" t="str">
        <x:v>N/A</x:v>
      </x:c>
      <x:c r="L17" s="17" t="str">
        <x:v>DIGITAL_REQUIRED_FIELD_MISSING；DIGITAL_MODEL_DUPLICATE；DIGITAL_HISTORY_REWRITE</x:v>
      </x:c>
      <x:c r="M17" s="17" t="str">
        <x:v>artifacts/verification/M2-000/m2-contract-freeze.json#negativeTests</x:v>
      </x:c>
      <x:c r="N17" s="17"/>
      <x:c r="O17" s="17"/>
      <x:c r="P17" s="17"/>
      <x:c r="Q17" s="17" t="str">
        <x:v>M2-000仅冻结测试ID、失败行为和证据要求；业务切片须逐项先RED再实现；当前仍为NOT_EXECUTED</x:v>
      </x:c>
    </x:row>
    <x:row r="18" ht="23" customHeight="1">
      <x:c r="A18" s="17" t="str">
        <x:v>P0-017</x:v>
      </x:c>
      <x:c r="B18" s="17" t="n">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NEG-M2-017-01|NEG-M2-017-02|NEG-M2-017-03</x:v>
      </x:c>
      <x:c r="K18" s="17" t="str">
        <x:v>N/A</x:v>
      </x:c>
      <x:c r="L18" s="17" t="str">
        <x:v>BUNDLE_ITEM_MISSING；BUNDLE_CROSS_SUPPLIER；BUNDLE_HISTORY_REWRITE</x:v>
      </x:c>
      <x:c r="M18" s="17" t="str">
        <x:v>artifacts/verification/M2-000/m2-contract-freeze.json#negativeTests</x:v>
      </x:c>
      <x:c r="N18" s="17"/>
      <x:c r="O18" s="17"/>
      <x:c r="P18" s="17"/>
      <x:c r="Q18" s="17" t="str">
        <x:v>M2-000仅冻结测试ID、失败行为和证据要求；业务切片须逐项先RED再实现；当前仍为NOT_EXECUTED</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5d2412c29ba407f"/>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and FRESH each enforce their frozen product fields and three SKU dimensions</x:v>
      </x:c>
      <x:c r="L242" s="17" t="str">
        <x:v>按实体version或审计日志保留变更证据</x:v>
      </x:c>
      <x:c r="M242" s="4" t="str">
        <x:v>M2</x:v>
      </x:c>
      <x:c r="N242" s="4" t="str">
        <x:v>P0-012,P0-013,P0-014,P0-015,P0-016,P0-017,P0-018</x:v>
      </x:c>
      <x:c r="O242" s="4" t="str">
        <x:v>综合方案§13核心数据模型</x:v>
      </x:c>
      <x:c r="P242" s="4" t="str">
        <x:v>IMPLEMENTED_P0_014</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the GENERIC|FOOD|FRESH profile discriminator cannot be overwritten</x:v>
      </x:c>
      <x:c r="L247" s="17" t="str">
        <x:v>按实体version或审计日志保留变更证据</x:v>
      </x:c>
      <x:c r="M247" s="4" t="str">
        <x:v>M2</x:v>
      </x:c>
      <x:c r="N247" s="4" t="str">
        <x:v>P0-012,P0-013,P0-014,P0-015,P0-016,P0-017,P0-018</x:v>
      </x:c>
      <x:c r="O247" s="4" t="str">
        <x:v>综合方案§13核心数据模型</x:v>
      </x:c>
      <x:c r="P247" s="4" t="str">
        <x:v>IMPLEMENTED_P0_014</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26d5775b9924c94"/>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e441db2633e4599"/>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2811555619d4030"/>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P0-007_CI_PASS;P0-011_CI_PASS;P0-012_CI_PASS;P0-013_CI_PASS;P0-014_LOCAL_PASS;P0-067_CI_PASS;P0-068_CI_PASS</x:v>
      </x:c>
      <x:c r="P6" s="17" t="str">
        <x:v>tests/e2e/p0/p0-007-company-product-approvals.spec.ts|tests/e2e/p0/p0-011-category-tree.spec.ts|tests/e2e/p0/p0-012-category-template.spec.ts|tests/e2e/p0/p0-013-food-detail.spec.ts|tests/e2e/p0/p0-014-fresh-detail.spec.ts|tests/e2e/p0/p0-067-company-workspaces.spec.ts|tests/e2e/p0/p0-068-company-workspace-completeness.spec.ts</x:v>
      </x:c>
      <x:c r="Q6" s="17" t="str">
        <x:v>商品资料审核、分类树和版本化模板位于同一固定商品运营职能页面但保持独立区块；P013食品模板已CI_PASS，P014新增正式生鲜模板预置并为LOCAL_PASS；供应价始终NEVER_RETURN。</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P0-007_LOCAL_PASS;P0-067_CI_PASS;P0-068_CI_PASS;P0-019_P0-071_NOT_EXECUTED</x:v>
      </x:c>
      <x:c r="P7" s="17" t="str">
        <x:v>tests/e2e/p0/p0-007-company-product-approvals.spec.ts|tests/e2e/p0/p0-067-company-workspaces.spec.ts|tests/e2e/p0/p0-068-company-workspace-completeness.spec.ts</x:v>
      </x:c>
      <x:c r="Q7" s="17" t="str">
        <x:v>独立初始三价审核队列、决定弹窗、整数分展示及失败恢复已实现；上架后调价和P0-071完整范围仍未执行；CI待执行。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P0-008_LOCAL_PASS;P0-019_P0-071_NOT_EXECUTED</x:v>
      </x:c>
      <x:c r="P19" s="17" t="str">
        <x:v>tests/e2e/p0/p0-008-supplier-pricing.spec.ts|tests/e2e/p0/p0-070-supplier-workspaces.spec.ts</x:v>
      </x:c>
      <x:c r="Q19" s="17" t="str">
        <x:v>M2-P008独立价格页覆盖校验/权限/离线/未知结果同幂等键恢复；多商品场景在未知结果恢复前冻结其他提交，避免覆盖原body/key；pnpm verify 17/17通过。</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PARTIAL_IMPLEMENTED_M2_P014</x:v>
      </x:c>
      <x:c r="O54" s="17" t="str">
        <x:v>P0-013_CI_PASS;P0-014_LOCAL_PASS;P0-021_NOT_EXECUTED;P0-088_NOT_EXECUTED</x:v>
      </x:c>
      <x:c r="P54" s="17" t="str">
        <x:v>apps/user-miniapp/test/product-detail-build.test.mjs|tests/e2e/p0/p0-013-food-detail.spec.ts|tests/e2e/p0/p0-014-fresh-detail.spec.ts</x:v>
      </x:c>
      <x:c r="Q54" s="17" t="str">
        <x:v>P013食品和P014生鲜详情区块、SKU规格、固定提示/售后、加载/错误/重试及miniapp-kit请求契约已实现；完整商品详情P0-021/P0-088、真机与交易能力仍未执行。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d1d181c797434959"/>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3ac77de169440a6"/>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CI_PASS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46244.71050226852</x:v>
      </x:c>
      <x:c r="N13" s="17" t="str">
        <x:v>4faae84321583c28abc7532f1093c7c2bbc95de1</x:v>
      </x:c>
      <x:c r="O13" s="17" t="str">
        <x:v>https://github.com/EasyStep-lee/flt1/actions/runs/31398383884</x:v>
      </x:c>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GITHUB_ACTIONS+CODEX</x:v>
      </x:c>
      <x:c r="R13" s="17" t="str">
        <x:v>MERGED_MAIN_CI_PASS</x:v>
      </x:c>
      <x:c r="S13" s="17" t="str">
        <x:v>staging与production未执行；EXT-007正式业务模板数据未提供</x:v>
      </x:c>
      <x:c r="T13" s="17" t="str">
        <x:v>YES</x:v>
      </x:c>
      <x:c r="U13" s="17" t="str">
        <x:v>P0-012达到CI_PASS；P0-013已解锁并取得行为RED，P0-014及以后仍锁定。</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RED后GREEN；PR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LOCAL_PASS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2/2；迁移演练empty=2/upgrade=2/restore=2/product=17/cleanup=PASS；OpenAPI字节一致。首次pnpm verify因两个未使用历史常量在lint失败，修正后基于3a0f3fe重跑17/17、P0 E2E 39/39、秘密扫描657文件通过。</x:v>
      </x:c>
      <x:c r="K15" s="17" t="str">
        <x:v>LOCAL_WINDOWS_DOCKER_MYSQL_CHROMIUM</x:v>
      </x:c>
      <x:c r="L15" s="17" t="str">
        <x:v>Node 22.23.1 / MySQL 8 / Chromium</x:v>
      </x:c>
      <x:c r="M15" s="17" t="n">
        <x:v>46245.092777777776</x:v>
      </x:c>
      <x:c r="N15" s="17" t="str">
        <x:v>3a0f3fece98ede567afb0c1710e5c6c5ce0cd69c</x:v>
      </x:c>
      <x:c r="O15" s="17"/>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FULL_GATE_CURRENT_EVIDENCE_HEAD</x:v>
      </x:c>
      <x:c r="S15" s="17" t="str">
        <x:v>Draft PR最终head CI、人工合并、合并后main CI、staging、device与production未执行；EXT-007正式生鲜模板数据未提供</x:v>
      </x:c>
      <x:c r="T15" s="17" t="str">
        <x:v>YES</x:v>
      </x:c>
      <x:c r="U15" s="17" t="str">
        <x:v>仅P0-014本地实现；P0-021/P0-088完整商品详情未完成，M2-P015不得开始。</x:v>
      </x:c>
    </x:row>
    <x:row r="16" ht="23" customHeight="1">
      <x:c r="A16" s="17" t="str">
        <x:v>EVD-015</x:v>
      </x:c>
      <x:c r="B16" s="17" t="str">
        <x:v>P0-015</x:v>
      </x:c>
      <x:c r="C16" s="17" t="str">
        <x:v>M2</x:v>
      </x:c>
      <x:c r="D16" s="17" t="str">
        <x:v>M2-P015</x:v>
      </x:c>
      <x:c r="E16" s="17" t="str">
        <x:v>AUTOMATED_AND_MANUAL_AS_REQUIRED</x:v>
      </x:c>
      <x:c r="F16" s="17" t="str">
        <x:v>CI_PASS</x:v>
      </x:c>
      <x:c r="G16" s="17" t="str">
        <x:v>NOT_EXECUTED</x:v>
      </x:c>
      <x:c r="H16" s="17" t="str">
        <x:v>在对应切片先登记失败测试ID，再记录focused tests与pnpm verify；真机/预发布按要求执行</x:v>
      </x:c>
      <x:c r="I16" s="17" t="str">
        <x:v>颜色尺码 SKU、材质、尺码表和洗护说明完整。</x:v>
      </x:c>
      <x:c r="J16" s="17"/>
      <x:c r="K16" s="17"/>
      <x:c r="L16" s="17"/>
      <x:c r="M16" s="17"/>
      <x:c r="N16" s="17"/>
      <x:c r="O16" s="17"/>
      <x:c r="P16" s="17"/>
      <x:c r="Q16" s="17"/>
      <x:c r="R16" s="17" t="str">
        <x:v>NO_EVIDENCE_YET</x:v>
      </x:c>
      <x:c r="S16" s="17"/>
      <x:c r="T16" s="17" t="str">
        <x:v>YES</x:v>
      </x:c>
      <x:c r="U16" s="17" t="str">
        <x:v>不得以旧输出、字符串搜索、页面资产或模型自述替代</x:v>
      </x:c>
    </x:row>
    <x:row r="17" ht="23" customHeight="1">
      <x:c r="A17" s="17" t="str">
        <x:v>EVD-016</x:v>
      </x:c>
      <x:c r="B17" s="17" t="str">
        <x:v>P0-016</x:v>
      </x:c>
      <x:c r="C17" s="17" t="str">
        <x:v>M2</x:v>
      </x:c>
      <x:c r="D17" s="17" t="str">
        <x:v>M2-P016</x:v>
      </x:c>
      <x:c r="E17" s="17" t="str">
        <x:v>AUTOMATED_AND_MANUAL_AS_REQUIRED</x:v>
      </x:c>
      <x:c r="F17" s="17" t="str">
        <x:v>CI_PASS</x:v>
      </x:c>
      <x:c r="G17" s="17" t="str">
        <x:v>NOT_EXECUTED</x:v>
      </x:c>
      <x:c r="H17" s="17" t="str">
        <x:v>在对应切片先登记失败测试ID，再记录focused tests与pnpm verify；真机/预发布按要求执行</x:v>
      </x:c>
      <x:c r="I17" s="17" t="str">
        <x:v>型号、参数、能效、包装清单和保修信息完整。</x:v>
      </x:c>
      <x:c r="J17" s="17"/>
      <x:c r="K17" s="17"/>
      <x:c r="L17" s="17"/>
      <x:c r="M17" s="17"/>
      <x:c r="N17" s="17"/>
      <x:c r="O17" s="17"/>
      <x:c r="P17" s="17"/>
      <x:c r="Q17" s="17"/>
      <x:c r="R17" s="17" t="str">
        <x:v>NO_EVIDENCE_YET</x:v>
      </x:c>
      <x:c r="S17" s="17"/>
      <x:c r="T17" s="17" t="str">
        <x:v>YES</x:v>
      </x:c>
      <x:c r="U17" s="17" t="str">
        <x:v>不得以旧输出、字符串搜索、页面资产或模型自述替代</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x:c r="K18" s="17"/>
      <x:c r="L18" s="17"/>
      <x:c r="M18" s="17"/>
      <x:c r="N18" s="17"/>
      <x:c r="O18" s="17"/>
      <x:c r="P18" s="17"/>
      <x:c r="Q18" s="17"/>
      <x:c r="R18" s="17" t="str">
        <x:v>NO_EVIDENCE_YET</x:v>
      </x:c>
      <x:c r="S18" s="17"/>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f6a1cf136034947"/>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x:v>
      </x:c>
      <x:c r="D6" s="17" t="str">
        <x:v>MIG-007</x:v>
      </x:c>
      <x:c r="E6" s="17" t="str">
        <x:v>Category/CategoryHistory/CategoryCommand/CategoryTemplate/CategoryTemplateHistory/CategoryTemplateCommand/CategoryTemplate.profile</x:v>
      </x:c>
      <x:c r="F6" s="17" t="str">
        <x:v>三级分类树、模板版本及食品/生鲜类型</x:v>
      </x:c>
      <x:c r="G6" s="17" t="str">
        <x:v>先建立公司范围三级分类与引用保护；再增加模板版本、唯一槽位和商品复合外键；P013增加GENERIC|FOOD不可变profile；P014以前向迁移将CHECK扩展为GENERIC|FOOD|FRESH并重建已发布模板更新保护触发器</x:v>
      </x:c>
      <x:c r="H6" s="17" t="str">
        <x:v>已发布迁移不回改；失败前恢复备份或创建向前修复迁移；应用版本可回退时保持schema兼容窗口</x:v>
      </x:c>
      <x:c r="I6" s="17" t="str">
        <x:v>既有模板自动回填GENERIC；无正式FOOD/FRESH数据回填；正式数据由授权运营/合规录入</x:v>
      </x:c>
      <x:c r="J6" s="17" t="str">
        <x:v>同公司启用末级绑定；模板状态机/唯一槽位/不可变历史/当前发布绑定；profile CHECK与已发布不可变；prisma validate；空库/升级/恢复dry-run；真实MySQL关键不变量探针</x:v>
      </x:c>
      <x:c r="K6" s="17" t="str">
        <x:v>BEFORE_STAGING_OR_PRODUCTION</x:v>
      </x:c>
      <x:c r="L6" s="17" t="str">
        <x:v>LOCAL_PASS</x:v>
      </x:c>
      <x:c r="M6" s="17" t="n">
        <x:v>46245.092777777776</x:v>
      </x:c>
      <x:c r="N6" s="17"/>
      <x:c r="O6" s="17"/>
      <x:c r="P6" s="17" t="str">
        <x:v>6653da31537e8daa76c4d15d07dcaeb9ed634680</x:v>
      </x:c>
      <x:c r="Q6" s="17" t="str">
        <x:v>packages/db/prisma/migrations/20260810062000_m2_category_tree/migration.sql|packages/db/prisma/migrations/20260810094000_m2_category_templates/migration.sql|packages/db/prisma/migrations/20260810110000_m2_food_template_profile/migration.sql|packages/db/prisma/migrations/20260810213000_m2_fresh_template_profile/migration.sql|tests/migrations/m2-p012-category-template-migration.contract.test.mjs|tests/migrations/m2-p013-food-template-migration.contract.test.mjs|tests/migrations/m2-p014-fresh-template-migration.contract.test.mjs|artifacts/verification/M2-P014/fresh-detail.json</x:v>
      </x:c>
      <x:c r="R6" s="17" t="str">
        <x:v>四个已发布前向迁移组成分类/模板逻辑迁移组；本地演练empty=2/upgrade=2/restore=2/product=17/cleanup=PASS并实际拒绝非法profile和已发布profile/JSON改写；staging/production未应用。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x:c r="O7" s="17"/>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x:c r="O8" s="17"/>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f86c622e35a4ec2"/>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CategoryQuery(status?)</x:v>
      </x:c>
      <x:c r="H17" s="17" t="str">
        <x:v>CategoryTreeResponseDto</x:v>
      </x:c>
      <x:c r="I17" s="17" t="str">
        <x:v>{success,data,error:{code,message,details?},requestId}</x:v>
      </x:c>
      <x:c r="J17" s="17" t="str">
        <x:v>COMMON_AUTH_VALIDATION_ERRORS</x:v>
      </x:c>
      <x:c r="K17" s="17" t="str">
        <x:v>NONE</x:v>
      </x:c>
      <x:c r="L17" s="17" t="str">
        <x:v>NEVER_RETURN; DTO白名单；companyId和职能均从会话派生；不返回供应价</x:v>
      </x:c>
      <x:c r="M17" s="17" t="str">
        <x:v>不适用金额；禁止客户端提交companyId/functionalAccountId</x:v>
      </x:c>
      <x:c r="N17" s="17" t="str">
        <x:v>P0-011</x:v>
      </x:c>
      <x:c r="O17" s="17" t="str">
        <x:v>GENERATED</x:v>
      </x:c>
      <x:c r="P17" s="17" t="str">
        <x:v>IMPLEMENTED</x:v>
      </x:c>
      <x:c r="Q17" s="17" t="str">
        <x:v>IMPLEMENTED</x:v>
      </x:c>
      <x:c r="R17" s="17" t="str">
        <x:v>FREEZE:tests/contracts/m2-contract-freeze.contract.test.mjs;RUNTIME:apps/api/test/supertest/categories-api.test.mjs|tests/contracts/m2-p011-category-tree.contract.test.mjs</x:v>
      </x:c>
      <x:c r="S17" s="17" t="str">
        <x:v>CODEX</x:v>
      </x:c>
      <x:c r="T17" s="17" t="str">
        <x:v>递归树按sortWeight/name/id确定性排序；仅COMPANY_PRODUCT_OPS固定职能可访问；OpenAPI与生成类型已更新。</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CategoryCreateRequestDto</x:v>
      </x:c>
      <x:c r="H18" s="17" t="str">
        <x:v>CategoryResponseDto</x:v>
      </x:c>
      <x:c r="I18" s="17" t="str">
        <x:v>{success,data,error:{code,message,details?},requestId}</x:v>
      </x:c>
      <x:c r="J18" s="17" t="str">
        <x:v>CATEGORY_PARENT_INVALID|CATEGORY_LEVEL_INVALID|CATEGORY_DUPLICATE|IDEMPOTENCY_CONFLICT</x:v>
      </x:c>
      <x:c r="K18" s="17" t="str">
        <x:v>Idempotency-Key</x:v>
      </x:c>
      <x:c r="L18" s="17" t="str">
        <x:v>NEVER_RETURN; DTO白名单；companyId和操作者均从会话派生；不返回供应价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PATCH/DELETE同路径categoryId补充管理操作已实现；版本冲突、幂等重放/冲突、引用删除保护和追加审计均有运行证据。</x:v>
      </x:c>
    </x:row>
    <x:row r="19" ht="23" customHeight="1">
      <x:c r="A19" s="17" t="str">
        <x:v>API-018</x:v>
      </x:c>
      <x:c r="B19" s="17" t="str">
        <x:v>M2</x:v>
      </x:c>
      <x:c r="C19" s="17" t="str">
        <x:v>category-templates</x:v>
      </x:c>
      <x:c r="D19" s="17" t="str">
        <x:v>GET|POST|PATCH|POST</x:v>
      </x:c>
      <x:c r="E19" s="17" t="str">
        <x:v>/v1/company/categories/{categoryId}/template-versions|/v1/company/category-template-versions/{templateId}|/v1/company/category-template-versions/{templateId}/publish</x:v>
      </x:c>
      <x:c r="F19" s="17" t="str">
        <x:v>COMPANY_PRODUCT_OPS</x:v>
      </x:c>
      <x:c r="G19" s="17" t="str">
        <x:v>CategoryTemplateCreateRequestDto|CategoryTemplatePatchRequestDto|CategoryTemplatePublishRequestDto</x:v>
      </x:c>
      <x:c r="H19" s="17" t="str">
        <x:v>CategoryTemplateListResponseDto|CategoryTemplateResponseDto</x:v>
      </x:c>
      <x:c r="I19" s="17" t="str">
        <x:v>{success,data,error:{code,message,details?},requestId}</x:v>
      </x:c>
      <x:c r="J19" s="17" t="str">
        <x:v>TEMPLATE_SCHEMA_INVALID|TEMPLATE_NOT_FOUND|TEMPLATE_DRAFT_EXISTS|TEMPLATE_IMMUTABLE|TEMPLATE_VERSION_INACTIVE|VERSION_CONFLICT|IDEMPOTENCY_CONFLICT</x:v>
      </x:c>
      <x:c r="K19" s="17" t="str">
        <x:v>Idempotency-Key</x:v>
      </x:c>
      <x:c r="L19" s="17" t="str">
        <x:v>NEVER_RETURN; DTO白名单；companyId和职能从会话派生；不返回供应价/functionalAccountId</x:v>
      </x:c>
      <x:c r="M19" s="17" t="str">
        <x:v>N/A；本切片无金额字段</x:v>
      </x:c>
      <x:c r="N19" s="17" t="str">
        <x:v>P0-012,P0-018</x:v>
      </x:c>
      <x:c r="O19" s="17" t="str">
        <x:v>GENERATED</x:v>
      </x:c>
      <x:c r="P19" s="17" t="str">
        <x:v>IMPLEMENTED</x:v>
      </x:c>
      <x:c r="Q19" s="17" t="str">
        <x:v>IMPLEMENTED</x:v>
      </x:c>
      <x:c r="R19" s="17" t="str">
        <x:v>FREEZE:tests/contracts/m2-contract-freeze.contract.test.mjs;RUNTIME:apps/api/test/supertest/category-templates-api.test.mjs|tests/contracts/m2-p012-category-template.contract.test.mjs</x:v>
      </x:c>
      <x:c r="S19" s="17" t="str">
        <x:v>CODEX</x:v>
      </x:c>
      <x:c r="T19" s="17" t="str">
        <x:v>查询/创建草稿/修改草稿/发布四操作已实现；发布原子退役旧版并追加历史；P0-018只复用模板契约且强监管开关仍未实现</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确定性OpenAPI已生成；固定供应商商品职能会话、幂等与DTO白名单通过本地测试；CI待执行。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确定性OpenAPI已生成；固定供应商商品职能会话、幂等与DTO白名单通过本地测试；CI待执行。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确定性OpenAPI已生成；固定供应商商品职能会话、幂等与DTO白名单通过本地测试；CI待执行。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GENERATED</x:v>
      </x:c>
      <x:c r="P27" s="17" t="str">
        <x:v>IMPLEMENTED</x:v>
      </x:c>
      <x:c r="Q27" s="17" t="str">
        <x:v>IMPLEMENTED</x:v>
      </x:c>
      <x:c r="R27" s="17" t="str">
        <x:v>apps/api/test/supertest/company-product-approvals-api.test.mjs|packages/contracts/openapi.json</x:v>
      </x:c>
      <x:c r="S27" s="17" t="str">
        <x:v>CODEX</x:v>
      </x:c>
      <x:c r="T27" s="17" t="str">
        <x:v>初始三价审核队列/决定运行时和确定性OpenAPI已实现；仅COMPANY_PRICE_REVIEW可见；双审后唯一物化本地通过；CI待执行。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ProductIdPath</x:v>
      </x:c>
      <x:c r="H31" s="17" t="str">
        <x:v>PublicFoodProductDetailResponseDto</x:v>
      </x:c>
      <x:c r="I31" s="17" t="str">
        <x:v>{success,data,error:{code,message,details?},requestId}</x:v>
      </x:c>
      <x:c r="J31" s="17" t="str">
        <x:v>INVALID_INPUT|PRODUCT_NOT_FOUND|PRODUCT_NOT_SALEABLE|TEMPLATE_SCHEMA_INVALID|TEMPLATE_DATA_INVALID|REGULATORY_WARNING_REQUIRED|FRESH_REQUIRED_FIELD_MISSING|FRESH_WEIGHT_RULE_INVALID|FRESH_HISTORY_REWRITE</x:v>
      </x:c>
      <x:c r="K31" s="17" t="str">
        <x:v>NONE</x:v>
      </x:c>
      <x:c r="L31" s="17" t="str">
        <x:v>NEVER_RETURN; DTO白名单；对象归属校验先于查询结果返回</x:v>
      </x:c>
      <x:c r="M31" s="17" t="str">
        <x:v>金额字段整数分；服务端重算；禁止客户端提交供应价或结算快照</x:v>
      </x:c>
      <x:c r="N31" s="17" t="str">
        <x:v>P0-013,P0-014,P0-021,P0-088</x:v>
      </x:c>
      <x:c r="O31" s="17" t="str">
        <x:v>GENERATED</x:v>
      </x:c>
      <x:c r="P31" s="17" t="str">
        <x:v>IMPLEMENTED</x:v>
      </x:c>
      <x:c r="Q31" s="17" t="str">
        <x:v>IMPLEMENTED</x:v>
      </x:c>
      <x:c r="R31" s="17" t="str">
        <x:v>apps/api/test/supertest/food-product-detail-api.test.mjs|apps/api/test/supertest/fresh-product-detail-api.test.mjs|tests/contracts/m2-p013-food-detail.contract.test.mjs|tests/contracts/m2-p014-fresh-detail.contract.test.mjs|tests/openapi/openapi-generation.test.mjs|packages/contracts/openapi.json</x:v>
      </x:c>
      <x:c r="S31" s="17" t="str">
        <x:v>CODEX</x:v>
      </x:c>
      <x:c r="T31" s="17" t="str">
        <x:v>P013食品详情已CI_PASS；P014细化生鲜详情子集：七项模板字段、三项SKU规格、温区/称重枚举、公司统一销售与售后主体。P0-021/P0-088其他通用详情与完整交互仍为NOT_EXECUTED。</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SUPPLIER_NOT_ACTIVE|SUPPLIER_SCOPE_FORBIDDEN|PRODUCT_NOT_SALEABLE|FORBIDDEN_CAPABILITY</x:v>
      </x:c>
      <x:c r="K32" s="17" t="str">
        <x:v>NONE</x:v>
      </x:c>
      <x:c r="L32" s="17" t="str">
        <x:v>NEVER_RETURN; DTO白名单；供应价、结算、供应商私有字段和店铺语义均不返回</x:v>
      </x:c>
      <x:c r="M32" s="17" t="str">
        <x:v>金额字段整数分；只返回当前零售销售价；禁止客户端提交供应价或结算快照</x:v>
      </x:c>
      <x:c r="N32" s="17" t="str">
        <x:v>P0-010,P0-089</x:v>
      </x:c>
      <x:c r="O32" s="17" t="str">
        <x:v>GENERATED</x:v>
      </x:c>
      <x:c r="P32" s="17" t="str">
        <x:v>IMPLEMENTED</x:v>
      </x:c>
      <x:c r="Q32" s="17" t="str">
        <x:v>IMPLEMENTED</x:v>
      </x:c>
      <x:c r="R32" s="17" t="str">
        <x:v>apps/api/test/supertest/public-catalog-api.test.mjs|apps/api/test/unit/public-catalog-prisma-repository.test.mjs|tests/contracts/m2-p010-public-catalog.contract.test.mjs|apps/user-miniapp/test/supplier-products-build.test.mjs</x:v>
      </x:c>
      <x:c r="S32" s="17" t="str">
        <x:v>CODEX</x:v>
      </x:c>
      <x:c r="T32" s="17" t="str">
        <x:v>M2-P010完成公开同源在售商品查询与响应白名单；保留M3归属，因为PAGE-054完整P0-089、真机与交易入口仍在M3执行。</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61754572a254d41"/>
  </x:tableParts>
</x:worksheet>
</file>