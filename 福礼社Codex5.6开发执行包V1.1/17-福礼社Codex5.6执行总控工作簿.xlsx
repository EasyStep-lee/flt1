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ff2219a9180427c" /></Relationships>
</file>

<file path=xl/workbook.xml><?xml version="1.0" encoding="utf-8"?>
<x:workbook xmlns:x="http://schemas.openxmlformats.org/spreadsheetml/2006/main">
  <x:sheets>
    <x:sheet xmlns:r="http://schemas.openxmlformats.org/officeDocument/2006/relationships" name="总控看板" sheetId="1" r:id="R588d30840d8d4ac9"/>
    <x:sheet xmlns:r="http://schemas.openxmlformats.org/officeDocument/2006/relationships" name="阶段门禁" sheetId="2" r:id="Rbc62763db7204aa2"/>
    <x:sheet xmlns:r="http://schemas.openxmlformats.org/officeDocument/2006/relationships" name="任务台账" sheetId="3" r:id="R075b4320c66243ed"/>
    <x:sheet xmlns:r="http://schemas.openxmlformats.org/officeDocument/2006/relationships" name="P0验收矩阵" sheetId="4" r:id="R18c18bca46c247f2"/>
    <x:sheet xmlns:r="http://schemas.openxmlformats.org/officeDocument/2006/relationships" name="字段字典" sheetId="5" r:id="R09f53a640f994bb3"/>
    <x:sheet xmlns:r="http://schemas.openxmlformats.org/officeDocument/2006/relationships" name="状态机" sheetId="6" r:id="R3a40ce5c059b4e33"/>
    <x:sheet xmlns:r="http://schemas.openxmlformats.org/officeDocument/2006/relationships" name="权限矩阵" sheetId="7" r:id="R1c95a67c981c4a06"/>
    <x:sheet xmlns:r="http://schemas.openxmlformats.org/officeDocument/2006/relationships" name="页面映射" sheetId="8" r:id="Rea71060fb2a6445e"/>
    <x:sheet xmlns:r="http://schemas.openxmlformats.org/officeDocument/2006/relationships" name="外部依赖" sheetId="9" r:id="Raee055e3de094c66"/>
    <x:sheet xmlns:r="http://schemas.openxmlformats.org/officeDocument/2006/relationships" name="测试证据" sheetId="10" r:id="R648f2604c0f54859"/>
    <x:sheet xmlns:r="http://schemas.openxmlformats.org/officeDocument/2006/relationships" name="迁移台账" sheetId="11" r:id="Rb455abec274e4da1"/>
    <x:sheet xmlns:r="http://schemas.openxmlformats.org/officeDocument/2006/relationships" name="API台账" sheetId="12" r:id="R76e87490a3fe4ff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9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3bc9542b6884342" /><Relationship Type="http://schemas.openxmlformats.org/officeDocument/2006/relationships/theme" Target="/xl/theme/theme1.xml" Id="Re8df76a4bf6243f2" /><Relationship Type="http://schemas.openxmlformats.org/officeDocument/2006/relationships/sharedStrings" Target="/xl/sharedStrings.xml" Id="R2245d97c7746477b" /><Relationship Type="http://schemas.openxmlformats.org/officeDocument/2006/relationships/worksheet" Target="/xl/worksheets/sheet1.xml" Id="R588d30840d8d4ac9" /><Relationship Type="http://schemas.openxmlformats.org/officeDocument/2006/relationships/worksheet" Target="/xl/worksheets/sheet2.xml" Id="Rbc62763db7204aa2" /><Relationship Type="http://schemas.openxmlformats.org/officeDocument/2006/relationships/worksheet" Target="/xl/worksheets/sheet3.xml" Id="R075b4320c66243ed" /><Relationship Type="http://schemas.openxmlformats.org/officeDocument/2006/relationships/worksheet" Target="/xl/worksheets/sheet4.xml" Id="R18c18bca46c247f2" /><Relationship Type="http://schemas.openxmlformats.org/officeDocument/2006/relationships/worksheet" Target="/xl/worksheets/sheet5.xml" Id="R09f53a640f994bb3" /><Relationship Type="http://schemas.openxmlformats.org/officeDocument/2006/relationships/worksheet" Target="/xl/worksheets/sheet6.xml" Id="R3a40ce5c059b4e33" /><Relationship Type="http://schemas.openxmlformats.org/officeDocument/2006/relationships/worksheet" Target="/xl/worksheets/sheet7.xml" Id="R1c95a67c981c4a06" /><Relationship Type="http://schemas.openxmlformats.org/officeDocument/2006/relationships/worksheet" Target="/xl/worksheets/sheet8.xml" Id="Rea71060fb2a6445e" /><Relationship Type="http://schemas.openxmlformats.org/officeDocument/2006/relationships/worksheet" Target="/xl/worksheets/sheet9.xml" Id="Raee055e3de094c66" /><Relationship Type="http://schemas.openxmlformats.org/officeDocument/2006/relationships/worksheet" Target="/xl/worksheets/sheet10.xml" Id="R648f2604c0f54859" /><Relationship Type="http://schemas.openxmlformats.org/officeDocument/2006/relationships/worksheet" Target="/xl/worksheets/sheet11.xml" Id="Rb455abec274e4da1" /><Relationship Type="http://schemas.openxmlformats.org/officeDocument/2006/relationships/worksheet" Target="/xl/worksheets/sheet12.xml" Id="R76e87490a3fe4ff1" /></Relationships>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4" name="FieldDictionary" displayName="FieldDictionary" ref="A1:P659" headerRowCount="1" totalsRowCount="0" totalsRowShown="0">
  <x:tableColumns count="16">
    <x:tableColumn id="1" name="Entity"/>
    <x:tableColumn id="2" name="字段"/>
    <x:tableColumn id="3" name="方案原定义"/>
    <x:tableColumn id="4" name="字段顺序"/>
    <x:tableColumn id="5" name="建议类型"/>
    <x:tableColumn id="6" name="必填"/>
    <x:tableColumn id="7" name="单位/格式"/>
    <x:tableColumn id="8" name="敏感等级"/>
    <x:tableColumn id="9" name="可见范围"/>
    <x:tableColumn id="10" name="禁止暴露"/>
    <x:tableColumn id="11" name="校验规则"/>
    <x:tableColumn id="12" name="历史规则"/>
    <x:tableColumn id="13" name="阶段"/>
    <x:tableColumn id="14" name="P0"/>
    <x:tableColumn id="15" name="来源"/>
    <x:tableColumn id="16" name="状态"/>
  </x:tableColumns>
  <x:tableStyleInfo name="TableStyleMedium2" showFirstColumn="0" showLastColumn="0" showRowStripes="1" showColumnStripes="0"/>
</x:table>
</file>

<file path=xl/tables/table5.xml><?xml version="1.0" encoding="utf-8"?>
<x:table xmlns:x="http://schemas.openxmlformats.org/spreadsheetml/2006/main" id="5" name="StateMachines" displayName="StateMachines" ref="A1:N105" headerRowCount="1" totalsRowCount="0" totalsRowShown="0">
  <x:tableColumns count="14">
    <x:tableColumn id="1" name="StateMachine"/>
    <x:tableColumn id="2" name="阶段"/>
    <x:tableColumn id="3" name="当前状态"/>
    <x:tableColumn id="4" name="事件"/>
    <x:tableColumn id="5" name="下一状态"/>
    <x:tableColumn id="6" name="允许角色"/>
    <x:tableColumn id="7" name="守卫条件"/>
    <x:tableColumn id="8" name="副作用"/>
    <x:tableColumn id="9" name="幂等"/>
    <x:tableColumn id="10" name="非法迁移"/>
    <x:tableColumn id="11" name="并发控制"/>
    <x:tableColumn id="12" name="历史保留"/>
    <x:tableColumn id="13" name="P0"/>
    <x:tableColumn id="14" name="状态"/>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10" name="MigrationLedger" displayName="MigrationLedger" ref="A1:R23" headerRowCount="1" totalsRowCount="0" totalsRowShown="0">
  <x:tableColumns count="18">
    <x:tableColumn id="1" name="MigrationID"/>
    <x:tableColumn id="2" name="阶段"/>
    <x:tableColumn id="3" name="计划名称"/>
    <x:tableColumn id="4" name="依赖"/>
    <x:tableColumn id="5" name="对象"/>
    <x:tableColumn id="6" name="目的"/>
    <x:tableColumn id="7" name="正向步骤"/>
    <x:tableColumn id="8" name="回退/恢复"/>
    <x:tableColumn id="9" name="数据回填"/>
    <x:tableColumn id="10" name="验证"/>
    <x:tableColumn id="11" name="需备份"/>
    <x:tableColumn id="12" name="状态"/>
    <x:tableColumn id="13" name="本地执行"/>
    <x:tableColumn id="14" name="预发布执行"/>
    <x:tableColumn id="15" name="生产执行"/>
    <x:tableColumn id="16" name="提交SHA"/>
    <x:tableColumn id="17" name="证据链接"/>
    <x:tableColumn id="18" name="备注"/>
  </x:tableColumns>
  <x:tableStyleInfo name="TableStyleMedium2" showFirstColumn="0" showLastColumn="0" showRowStripes="1" showColumnStripes="0"/>
</x:table>
</file>

<file path=xl/tables/table11.xml><?xml version="1.0" encoding="utf-8"?>
<x:table xmlns:x="http://schemas.openxmlformats.org/spreadsheetml/2006/main" id="11" name="ApiLedger" displayName="ApiLedger" ref="A1:T90" headerRowCount="1" totalsRowCount="0" totalsRowShown="0">
  <x:tableColumns count="20">
    <x:tableColumn id="1" name="ContractID"/>
    <x:tableColumn id="2" name="阶段"/>
    <x:tableColumn id="3" name="领域"/>
    <x:tableColumn id="4" name="方法"/>
    <x:tableColumn id="5" name="路径"/>
    <x:tableColumn id="6" name="角色"/>
    <x:tableColumn id="7" name="请求DTO"/>
    <x:tableColumn id="8" name="响应DTO"/>
    <x:tableColumn id="9" name="统一响应"/>
    <x:tableColumn id="10" name="错误码"/>
    <x:tableColumn id="11" name="幂等"/>
    <x:tableColumn id="12" name="敏感字段策略"/>
    <x:tableColumn id="13" name="金额规则"/>
    <x:tableColumn id="14" name="P0"/>
    <x:tableColumn id="15" name="OpenAPI状态"/>
    <x:tableColumn id="16" name="DTO状态"/>
    <x:tableColumn id="17" name="错误码状态"/>
    <x:tableColumn id="18" name="契约测试"/>
    <x:tableColumn id="19" name="负责人"/>
    <x:tableColumn id="20" name="备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864f4613edbf422f" /></Relationships>
</file>

<file path=xl/worksheets/_rels/sheet3.xml.rels>&#65279;<?xml version="1.0" encoding="utf-8"?><Relationships xmlns="http://schemas.openxmlformats.org/package/2006/relationships"><Relationship Type="http://schemas.openxmlformats.org/officeDocument/2006/relationships/table" Target="/xl/tables/table2.xml" Id="R0d46e6c2791e46c4" /></Relationships>
</file>

<file path=xl/worksheets/_rels/sheet4.xml.rels>&#65279;<?xml version="1.0" encoding="utf-8"?><Relationships xmlns="http://schemas.openxmlformats.org/package/2006/relationships"><Relationship Type="http://schemas.openxmlformats.org/officeDocument/2006/relationships/table" Target="/xl/tables/table3.xml" Id="Rac21d4aff24a409f" /></Relationships>
</file>

<file path=xl/worksheets/_rels/sheet5.xml.rels>&#65279;<?xml version="1.0" encoding="utf-8"?><Relationships xmlns="http://schemas.openxmlformats.org/package/2006/relationships"><Relationship Type="http://schemas.openxmlformats.org/officeDocument/2006/relationships/table" Target="/xl/tables/table4.xml" Id="Rbb686eaf3df741b6" /></Relationships>
</file>

<file path=xl/worksheets/_rels/sheet6.xml.rels>&#65279;<?xml version="1.0" encoding="utf-8"?><Relationships xmlns="http://schemas.openxmlformats.org/package/2006/relationships"><Relationship Type="http://schemas.openxmlformats.org/officeDocument/2006/relationships/table" Target="/xl/tables/table5.xml" Id="R6d419ac596d04c86" /></Relationships>
</file>

<file path=xl/worksheets/_rels/sheet7.xml.rels>&#65279;<?xml version="1.0" encoding="utf-8"?><Relationships xmlns="http://schemas.openxmlformats.org/package/2006/relationships"><Relationship Type="http://schemas.openxmlformats.org/officeDocument/2006/relationships/table" Target="/xl/tables/table6.xml" Id="R9bf857a8b1d84fa2" /></Relationships>
</file>

<file path=xl/worksheets/_rels/sheet8.xml.rels>&#65279;<?xml version="1.0" encoding="utf-8"?><Relationships xmlns="http://schemas.openxmlformats.org/package/2006/relationships"><Relationship Type="http://schemas.openxmlformats.org/officeDocument/2006/relationships/table" Target="/xl/tables/table7.xml" Id="R7054ee3e02254b33" /></Relationships>
</file>

<file path=xl/worksheets/_rels/sheet9.xml.rels>&#65279;<?xml version="1.0" encoding="utf-8"?><Relationships xmlns="http://schemas.openxmlformats.org/package/2006/relationships"><Relationship Type="http://schemas.openxmlformats.org/officeDocument/2006/relationships/table" Target="/xl/tables/table8.xml" Id="R7e97098653da4d49" /></Relationships>
</file>

<file path=xl/worksheets/_rels/sheet10.xml.rels>&#65279;<?xml version="1.0" encoding="utf-8"?><Relationships xmlns="http://schemas.openxmlformats.org/package/2006/relationships"><Relationship Type="http://schemas.openxmlformats.org/officeDocument/2006/relationships/table" Target="/xl/tables/table9.xml" Id="Re9c2d4fe41914af8" /></Relationships>
</file>

<file path=xl/worksheets/_rels/sheet11.xml.rels>&#65279;<?xml version="1.0" encoding="utf-8"?><Relationships xmlns="http://schemas.openxmlformats.org/package/2006/relationships"><Relationship Type="http://schemas.openxmlformats.org/officeDocument/2006/relationships/table" Target="/xl/tables/table10.xml" Id="R69474ff2bc5b49aa" /></Relationships>
</file>

<file path=xl/worksheets/_rels/sheet12.xml.rels>&#65279;<?xml version="1.0" encoding="utf-8"?><Relationships xmlns="http://schemas.openxmlformats.org/package/2006/relationships"><Relationship Type="http://schemas.openxmlformats.org/officeDocument/2006/relationships/table" Target="/xl/tables/table11.xml" Id="R4fa27efe0333473a"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当前：M1_GATE_LOCAL_PASS_PENDING_PR · M1 业务/契约切片 15/15 已合并且候选 main CI 通过 · EXT-005 PROVIDED · PR #34 新 head CI/合并门禁待完成 · M2 LOCKED</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28</x:v>
      </x:c>
      <x:c r="E6" s="83"/>
      <x:c r="F6" s="187"/>
      <x:c r="G6" s="109" t="n">
        <x:v>14</x:v>
      </x:c>
      <x:c r="H6" s="110"/>
      <x:c r="I6" s="187"/>
      <x:c r="J6" s="138" t="n">
        <x:f>COUNTIF('外部依赖'!$F$2:$F$29,"NOT_PROVIDED")</x:f>
        <x:v>27</x:v>
      </x:c>
      <x:c r="K6" s="139" t="n">
        <x:v>27</x:v>
      </x:c>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v>13</x:v>
      </x:c>
      <x:c r="E11" s="152" t="n">
        <x:f>COUNTIF('P0验收矩阵'!$C$2:$C$120,A11)</x:f>
        <x:v>0</x:v>
      </x:c>
      <x:c r="F11" s="152" t="n">
        <x:f>COUNTIFS('P0验收矩阵'!$C$2:$C$120,A11,'P0验收矩阵'!$I$2:$I$120,"*PASS")</x:f>
        <x:v>0</x:v>
      </x:c>
      <x:c r="G11" s="152" t="str">
        <x:v>GATE_PASSED</x:v>
      </x:c>
      <x:c r="H11" s="152" t="str">
        <x:v>CI_PASS</x:v>
      </x:c>
      <x:c r="I11" s="152" t="str">
        <x:v>PASSED</x:v>
      </x:c>
      <x:c r="J11" s="187"/>
      <x:c r="K11" s="187"/>
      <x:c r="L11" s="187"/>
    </x:row>
    <x:row r="12" ht="24" customHeight="1">
      <x:c r="A12" s="152" t="str">
        <x:v>M1</x:v>
      </x:c>
      <x:c r="B12" s="152" t="str">
        <x:v>账号、权限与供应商</x:v>
      </x:c>
      <x:c r="C12" s="152" t="n">
        <x:f>COUNTIF('任务台账'!$C$2:$C$150,A12)</x:f>
        <x:v>16</x:v>
      </x:c>
      <x:c r="D12" s="152" t="n">
        <x:v>15</x:v>
      </x:c>
      <x:c r="E12" s="152" t="n">
        <x:v>14</x:v>
      </x:c>
      <x:c r="F12" s="152" t="n">
        <x:v>14</x:v>
      </x:c>
      <x:c r="G12" s="152" t="str">
        <x:v>IN_PROGRESS</x:v>
      </x:c>
      <x:c r="H12" s="152" t="str">
        <x:v>LOCAL_PASS</x:v>
      </x:c>
      <x:c r="I12" s="152" t="str">
        <x:v>LOCKED</x:v>
      </x:c>
      <x:c r="J12" s="187"/>
      <x:c r="K12" s="187"/>
      <x:c r="L12" s="187"/>
    </x:row>
    <x:row r="13" ht="24" customHeight="1">
      <x:c r="A13" s="152" t="str">
        <x:v>M2</x:v>
      </x:c>
      <x:c r="B13" s="152" t="str">
        <x:v>分类、商品、价格与库存</x:v>
      </x:c>
      <x:c r="C13" s="152" t="n">
        <x:f>COUNTIF('任务台账'!$C$2:$C$150,A13)</x:f>
        <x:v>20</x:v>
      </x:c>
      <x:c r="D13" s="152" t="n">
        <x:f>COUNTIFS('任务台账'!$C$2:$C$150,A13,'任务台账'!$M$2:$M$150,"DONE")</x:f>
        <x:v>0</x:v>
      </x:c>
      <x:c r="E13" s="152" t="n">
        <x:f>COUNTIF('P0验收矩阵'!$C$2:$C$120,A13)</x:f>
        <x:v>18</x:v>
      </x:c>
      <x:c r="F13" s="152" t="n">
        <x:f>COUNTIFS('P0验收矩阵'!$C$2:$C$120,A13,'P0验收矩阵'!$I$2:$I$120,"*PASS")</x:f>
        <x:v>0</x:v>
      </x:c>
      <x:c r="G13" s="152" t="str">
        <x:f>INDEX('任务台账'!$M$2:$M$150,MATCH(A13&amp;"-GATE",'任务台账'!$A$2:$A$150,0))</x:f>
        <x:v>NOT_STARTED</x:v>
      </x:c>
      <x:c r="H13" s="152" t="str">
        <x:f>INDEX('任务台账'!$N$2:$N$150,MATCH(A13&amp;"-GATE",'任务台账'!$A$2:$A$150,0))</x:f>
        <x:v>NOT_EXECUTED</x:v>
      </x:c>
      <x:c r="I13" s="152" t="str">
        <x:f>IF(INDEX('任务台账'!$M$2:$M$150,MATCH("M1-GATE",'任务台账'!$A$2:$A$150,0))="DONE","READY","LOCKED")</x:f>
        <x:v>LOCKED</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COUNTIFS('P0验收矩阵'!$C$2:$C$120,A14,'P0验收矩阵'!$I$2:$I$120,"*PASS")</x:f>
        <x:v>0</x:v>
      </x:c>
      <x:c r="G14" s="152" t="str">
        <x:f>INDEX('任务台账'!$M$2:$M$150,MATCH(A14&amp;"-GATE",'任务台账'!$A$2:$A$150,0))</x:f>
        <x:v>NOT_STARTED</x:v>
      </x:c>
      <x:c r="H14" s="152" t="str">
        <x:f>INDEX('任务台账'!$N$2:$N$150,MATCH(A14&amp;"-GATE",'任务台账'!$A$2:$A$150,0))</x:f>
        <x:v>NOT_EXECUTED</x:v>
      </x:c>
      <x:c r="I14" s="152" t="str">
        <x:f>IF(INDEX('任务台账'!$M$2:$M$150,MATCH("M2-GATE",'任务台账'!$A$2:$A$150,0))="DONE","READY","LOCKED")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COUNTIFS('P0验收矩阵'!$C$2:$C$120,A15,'P0验收矩阵'!$I$2:$I$120,"*PASS")</x:f>
        <x:v>0</x:v>
      </x:c>
      <x:c r="G15" s="152" t="str">
        <x:f>INDEX('任务台账'!$M$2:$M$150,MATCH(A15&amp;"-GATE",'任务台账'!$A$2:$A$150,0))</x:f>
        <x:v>NOT_STARTED</x:v>
      </x:c>
      <x:c r="H15" s="152" t="str">
        <x:f>INDEX('任务台账'!$N$2:$N$150,MATCH(A15&amp;"-GATE",'任务台账'!$A$2:$A$150,0))</x:f>
        <x:v>NOT_EXECUTED</x:v>
      </x:c>
      <x:c r="I15" s="152" t="str">
        <x:f>IF(INDEX('任务台账'!$M$2:$M$150,MATCH("M3-GATE",'任务台账'!$A$2:$A$150,0))="DONE","READY","LOCKED")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COUNTIFS('P0验收矩阵'!$C$2:$C$120,A16,'P0验收矩阵'!$I$2:$I$120,"*PASS")</x:f>
        <x:v>0</x:v>
      </x:c>
      <x:c r="G16" s="152" t="str">
        <x:f>INDEX('任务台账'!$M$2:$M$150,MATCH(A16&amp;"-GATE",'任务台账'!$A$2:$A$150,0))</x:f>
        <x:v>NOT_STARTED</x:v>
      </x:c>
      <x:c r="H16" s="152" t="str">
        <x:f>INDEX('任务台账'!$N$2:$N$150,MATCH(A16&amp;"-GATE",'任务台账'!$A$2:$A$150,0))</x:f>
        <x:v>NOT_EXECUTED</x:v>
      </x:c>
      <x:c r="I16" s="152" t="str">
        <x:f>IF(INDEX('任务台账'!$M$2:$M$150,MATCH("M4-GATE",'任务台账'!$A$2:$A$150,0))="DONE","READY","LOCKED")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COUNTIFS('P0验收矩阵'!$C$2:$C$120,A17,'P0验收矩阵'!$I$2:$I$120,"*PASS")</x:f>
        <x:v>0</x:v>
      </x:c>
      <x:c r="G17" s="152" t="str">
        <x:f>INDEX('任务台账'!$M$2:$M$150,MATCH(A17&amp;"-GATE",'任务台账'!$A$2:$A$150,0))</x:f>
        <x:v>NOT_STARTED</x:v>
      </x:c>
      <x:c r="H17" s="152" t="str">
        <x:f>INDEX('任务台账'!$N$2:$N$150,MATCH(A17&amp;"-GATE",'任务台账'!$A$2:$A$150,0))</x:f>
        <x:v>NOT_EXECUTED</x:v>
      </x:c>
      <x:c r="I17" s="152" t="str">
        <x:f>IF(INDEX('任务台账'!$M$2:$M$150,MATCH("M5-GATE",'任务台账'!$A$2:$A$150,0))="DONE","READY","LOCKED")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105</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14</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M1：15 个业务/契约切片均已合并，候选 main 4ff0258 的 CI 通过；EXT-005 已由授权人员以脱敏回执确认；M1-GATE 等待 PR #34 新 head CI、精确 head 合并授权和合并后 main CI，阶段尚未 PASS，M2 LOCKED。</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IN_PROGRESS</x:v>
      </x:c>
      <x:c r="O3" s="17" t="str">
        <x:v>LOCAL_PASS</x:v>
      </x:c>
      <x:c r="P3" s="17" t="str"/>
      <x:c r="Q3" s="17" t="str"/>
      <x:c r="R3" s="17" t="str">
        <x:v>15个M1前置任务、14项主P0和关键不变量已有候选main@4ff0258技术证据；EXT-005已以脱敏回执PROVIDED，当前等待PR #34新head CI、用户精确head授权合并和合并后main CI，阶段尚未PASS且M2未解锁。</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LOCKED</x:v>
      </x:c>
      <x:c r="O4" s="17" t="str">
        <x:v>NOT_EXECUTED</x:v>
      </x:c>
      <x:c r="P4" s="17" t="str"/>
      <x:c r="Q4" s="17" t="str"/>
      <x:c r="R4" s="17" t="str"/>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t="str"/>
      <x:c r="Q5" s="17" t="str"/>
      <x:c r="R5" s="17" t="str"/>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864f4613edbf422f"/>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IN_PROGRESS</x:v>
      </x:c>
      <x:c r="N30" s="17" t="str">
        <x:v>LOCAL_PASS</x:v>
      </x:c>
      <x:c r="O30" s="17" t="str">
        <x:v>CODEX</x:v>
      </x:c>
      <x:c r="P30" s="17" t="str">
        <x:v>https://github.com/EasyStep-lee/flt1/issues/33</x:v>
      </x:c>
      <x:c r="Q30" s="17" t="str">
        <x:v>codex/m1-m1</x:v>
      </x:c>
      <x:c r="R30" s="17" t="str">
        <x:v>codex/m1-m1-gate</x:v>
      </x:c>
      <x:c r="S30" s="17" t="str"/>
      <x:c r="T30" s="17" t="n">
        <x:v>34</x:v>
      </x:c>
      <x:c r="U30" s="17" t="str">
        <x:v>NOT_EXECUTED</x:v>
      </x:c>
      <x:c r="V30" s="17" t="str">
        <x:v>YES</x:v>
      </x:c>
      <x:c r="W30" s="17" t="str">
        <x:v>按原子提交回退；迁移仅向前修复</x:v>
      </x:c>
      <x:c r="X30" s="191" t="n">
        <x:v>46243.172002314815</x:v>
      </x:c>
      <x:c r="Y30" s="17" t="str">
        <x:v>EXT-005已由授权人员以脱敏回执标记PROVIDED；本地证据待最终全量复核且PR #34新head CI、用户精确head授权合并和合并后main CI尚未完成，M2继续锁定。</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NOT_STARTED</x:v>
      </x:c>
      <x:c r="N31" s="17" t="str">
        <x:v>NOT_EXECUTED</x:v>
      </x:c>
      <x:c r="O31" s="17" t="str">
        <x:v>UNASSIGNED</x:v>
      </x:c>
      <x:c r="P31" s="17" t="str"/>
      <x:c r="Q31" s="17" t="str">
        <x:v>codex/m2-m2</x:v>
      </x:c>
      <x:c r="R31" s="17" t="str"/>
      <x:c r="S31" s="17" t="str"/>
      <x:c r="T31" s="17" t="str"/>
      <x:c r="U31" s="17" t="str"/>
      <x:c r="V31" s="17" t="str">
        <x:v>NO</x:v>
      </x:c>
      <x:c r="W31" s="17" t="str">
        <x:v>按原子提交回退；迁移仅向前修复</x:v>
      </x:c>
      <x:c r="X31" s="17" t="str"/>
      <x:c r="Y31" s="17" t="str"/>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NOT_STARTED</x:v>
      </x:c>
      <x:c r="N32" s="17" t="str">
        <x:v>NOT_EXECUTED</x:v>
      </x:c>
      <x:c r="O32" s="17" t="str">
        <x:v>UNASSIGNED</x:v>
      </x:c>
      <x:c r="P32" s="17" t="str"/>
      <x:c r="Q32" s="17" t="str">
        <x:v>codex/m2-m2-p006</x:v>
      </x:c>
      <x:c r="R32" s="17" t="str"/>
      <x:c r="S32" s="17" t="str"/>
      <x:c r="T32" s="17" t="str"/>
      <x:c r="U32" s="17" t="str"/>
      <x:c r="V32" s="17" t="str">
        <x:v>NO</x:v>
      </x:c>
      <x:c r="W32" s="17" t="str">
        <x:v>按原子提交回退；迁移仅向前修复</x:v>
      </x:c>
      <x:c r="X32" s="17" t="str"/>
      <x:c r="Y32" s="17" t="str"/>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NOT_STARTED</x:v>
      </x:c>
      <x:c r="N33" s="17" t="str">
        <x:v>NOT_EXECUTED</x:v>
      </x:c>
      <x:c r="O33" s="17" t="str">
        <x:v>UNASSIGNED</x:v>
      </x:c>
      <x:c r="P33" s="17" t="str"/>
      <x:c r="Q33" s="17" t="str">
        <x:v>codex/m2-m2-p007</x:v>
      </x:c>
      <x:c r="R33" s="17" t="str"/>
      <x:c r="S33" s="17" t="str"/>
      <x:c r="T33" s="17" t="str"/>
      <x:c r="U33" s="17" t="str"/>
      <x:c r="V33" s="17" t="str">
        <x:v>NO</x:v>
      </x:c>
      <x:c r="W33" s="17" t="str">
        <x:v>按原子提交回退；迁移仅向前修复</x:v>
      </x:c>
      <x:c r="X33" s="17" t="str"/>
      <x:c r="Y33" s="17" t="str"/>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NOT_STARTED</x:v>
      </x:c>
      <x:c r="N34" s="17" t="str">
        <x:v>NOT_EXECUTED</x:v>
      </x:c>
      <x:c r="O34" s="17" t="str">
        <x:v>UNASSIGNED</x:v>
      </x:c>
      <x:c r="P34" s="17" t="str"/>
      <x:c r="Q34" s="17" t="str">
        <x:v>codex/m2-m2-p008</x:v>
      </x:c>
      <x:c r="R34" s="17" t="str"/>
      <x:c r="S34" s="17" t="str"/>
      <x:c r="T34" s="17" t="str"/>
      <x:c r="U34" s="17" t="str"/>
      <x:c r="V34" s="17" t="str">
        <x:v>NO</x:v>
      </x:c>
      <x:c r="W34" s="17" t="str">
        <x:v>按原子提交回退；迁移仅向前修复</x:v>
      </x:c>
      <x:c r="X34" s="17" t="str"/>
      <x:c r="Y34" s="17" t="str"/>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NOT_STARTED</x:v>
      </x:c>
      <x:c r="N35" s="17" t="str">
        <x:v>NOT_EXECUTED</x:v>
      </x:c>
      <x:c r="O35" s="17" t="str">
        <x:v>UNASSIGNED</x:v>
      </x:c>
      <x:c r="P35" s="17" t="str"/>
      <x:c r="Q35" s="17" t="str">
        <x:v>codex/m2-m2-p009</x:v>
      </x:c>
      <x:c r="R35" s="17" t="str"/>
      <x:c r="S35" s="17" t="str"/>
      <x:c r="T35" s="17" t="str"/>
      <x:c r="U35" s="17" t="str"/>
      <x:c r="V35" s="17" t="str">
        <x:v>NO</x:v>
      </x:c>
      <x:c r="W35" s="17" t="str">
        <x:v>按原子提交回退；迁移仅向前修复</x:v>
      </x:c>
      <x:c r="X35" s="17" t="str"/>
      <x:c r="Y35" s="17" t="str"/>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NOT_STARTED</x:v>
      </x:c>
      <x:c r="N36" s="17" t="str">
        <x:v>NOT_EXECUTED</x:v>
      </x:c>
      <x:c r="O36" s="17" t="str">
        <x:v>UNASSIGNED</x:v>
      </x:c>
      <x:c r="P36" s="17" t="str"/>
      <x:c r="Q36" s="17" t="str">
        <x:v>codex/m2-m2-p010</x:v>
      </x:c>
      <x:c r="R36" s="17" t="str"/>
      <x:c r="S36" s="17" t="str"/>
      <x:c r="T36" s="17" t="str"/>
      <x:c r="U36" s="17" t="str"/>
      <x:c r="V36" s="17" t="str">
        <x:v>NO</x:v>
      </x:c>
      <x:c r="W36" s="17" t="str">
        <x:v>按原子提交回退；迁移仅向前修复</x:v>
      </x:c>
      <x:c r="X36" s="17" t="str"/>
      <x:c r="Y36" s="17" t="str"/>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NOT_STARTED</x:v>
      </x:c>
      <x:c r="N37" s="17" t="str">
        <x:v>NOT_EXECUTED</x:v>
      </x:c>
      <x:c r="O37" s="17" t="str">
        <x:v>UNASSIGNED</x:v>
      </x:c>
      <x:c r="P37" s="17" t="str"/>
      <x:c r="Q37" s="17" t="str">
        <x:v>codex/m2-m2-p011</x:v>
      </x:c>
      <x:c r="R37" s="17" t="str"/>
      <x:c r="S37" s="17" t="str"/>
      <x:c r="T37" s="17" t="str"/>
      <x:c r="U37" s="17" t="str"/>
      <x:c r="V37" s="17" t="str">
        <x:v>NO</x:v>
      </x:c>
      <x:c r="W37" s="17" t="str">
        <x:v>按原子提交回退；迁移仅向前修复</x:v>
      </x:c>
      <x:c r="X37" s="17" t="str"/>
      <x:c r="Y37" s="17" t="str"/>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NOT_STARTED</x:v>
      </x:c>
      <x:c r="N38" s="17" t="str">
        <x:v>NOT_EXECUTED</x:v>
      </x:c>
      <x:c r="O38" s="17" t="str">
        <x:v>UNASSIGNED</x:v>
      </x:c>
      <x:c r="P38" s="17" t="str"/>
      <x:c r="Q38" s="17" t="str">
        <x:v>codex/m2-m2-p012</x:v>
      </x:c>
      <x:c r="R38" s="17" t="str"/>
      <x:c r="S38" s="17" t="str"/>
      <x:c r="T38" s="17" t="str"/>
      <x:c r="U38" s="17" t="str"/>
      <x:c r="V38" s="17" t="str">
        <x:v>NO</x:v>
      </x:c>
      <x:c r="W38" s="17" t="str">
        <x:v>按原子提交回退；迁移仅向前修复</x:v>
      </x:c>
      <x:c r="X38" s="17" t="str"/>
      <x:c r="Y38" s="17" t="str"/>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NOT_STARTED</x:v>
      </x:c>
      <x:c r="N39" s="17" t="str">
        <x:v>NOT_EXECUTED</x:v>
      </x:c>
      <x:c r="O39" s="17" t="str">
        <x:v>UNASSIGNED</x:v>
      </x:c>
      <x:c r="P39" s="17" t="str"/>
      <x:c r="Q39" s="17" t="str">
        <x:v>codex/m2-m2-p013</x:v>
      </x:c>
      <x:c r="R39" s="17" t="str"/>
      <x:c r="S39" s="17" t="str"/>
      <x:c r="T39" s="17" t="str"/>
      <x:c r="U39" s="17" t="str"/>
      <x:c r="V39" s="17" t="str">
        <x:v>NO</x:v>
      </x:c>
      <x:c r="W39" s="17" t="str">
        <x:v>按原子提交回退；迁移仅向前修复</x:v>
      </x:c>
      <x:c r="X39" s="17" t="str"/>
      <x:c r="Y39" s="17" t="str"/>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NOT_STARTED</x:v>
      </x:c>
      <x:c r="N40" s="17" t="str">
        <x:v>NOT_EXECUTED</x:v>
      </x:c>
      <x:c r="O40" s="17" t="str">
        <x:v>UNASSIGNED</x:v>
      </x:c>
      <x:c r="P40" s="17" t="str"/>
      <x:c r="Q40" s="17" t="str">
        <x:v>codex/m2-m2-p014</x:v>
      </x:c>
      <x:c r="R40" s="17" t="str"/>
      <x:c r="S40" s="17" t="str"/>
      <x:c r="T40" s="17" t="str"/>
      <x:c r="U40" s="17" t="str"/>
      <x:c r="V40" s="17" t="str">
        <x:v>NO</x:v>
      </x:c>
      <x:c r="W40" s="17" t="str">
        <x:v>按原子提交回退；迁移仅向前修复</x:v>
      </x:c>
      <x:c r="X40" s="17" t="str"/>
      <x:c r="Y40" s="17" t="str"/>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NOT_STARTED</x:v>
      </x:c>
      <x:c r="N41" s="17" t="str">
        <x:v>NOT_EXECUTED</x:v>
      </x:c>
      <x:c r="O41" s="17" t="str">
        <x:v>UNASSIGNED</x:v>
      </x:c>
      <x:c r="P41" s="17" t="str"/>
      <x:c r="Q41" s="17" t="str">
        <x:v>codex/m2-m2-p015</x:v>
      </x:c>
      <x:c r="R41" s="17" t="str"/>
      <x:c r="S41" s="17" t="str"/>
      <x:c r="T41" s="17" t="str"/>
      <x:c r="U41" s="17" t="str"/>
      <x:c r="V41" s="17" t="str">
        <x:v>NO</x:v>
      </x:c>
      <x:c r="W41" s="17" t="str">
        <x:v>按原子提交回退；迁移仅向前修复</x:v>
      </x:c>
      <x:c r="X41" s="17" t="str"/>
      <x:c r="Y41" s="17" t="str"/>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NOT_STARTED</x:v>
      </x:c>
      <x:c r="N42" s="17" t="str">
        <x:v>NOT_EXECUTED</x:v>
      </x:c>
      <x:c r="O42" s="17" t="str">
        <x:v>UNASSIGNED</x:v>
      </x:c>
      <x:c r="P42" s="17" t="str"/>
      <x:c r="Q42" s="17" t="str">
        <x:v>codex/m2-m2-p016</x:v>
      </x:c>
      <x:c r="R42" s="17" t="str"/>
      <x:c r="S42" s="17" t="str"/>
      <x:c r="T42" s="17" t="str"/>
      <x:c r="U42" s="17" t="str"/>
      <x:c r="V42" s="17" t="str">
        <x:v>NO</x:v>
      </x:c>
      <x:c r="W42" s="17" t="str">
        <x:v>按原子提交回退；迁移仅向前修复</x:v>
      </x:c>
      <x:c r="X42" s="17" t="str"/>
      <x:c r="Y42" s="17" t="str"/>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NOT_STARTED</x:v>
      </x:c>
      <x:c r="N43" s="17" t="str">
        <x:v>NOT_EXECUTED</x:v>
      </x:c>
      <x:c r="O43" s="17" t="str">
        <x:v>UNASSIGNED</x:v>
      </x:c>
      <x:c r="P43" s="17" t="str"/>
      <x:c r="Q43" s="17" t="str">
        <x:v>codex/m2-m2-p017</x:v>
      </x:c>
      <x:c r="R43" s="17" t="str"/>
      <x:c r="S43" s="17" t="str"/>
      <x:c r="T43" s="17" t="str"/>
      <x:c r="U43" s="17" t="str"/>
      <x:c r="V43" s="17" t="str">
        <x:v>NO</x:v>
      </x:c>
      <x:c r="W43" s="17" t="str">
        <x:v>按原子提交回退；迁移仅向前修复</x:v>
      </x:c>
      <x:c r="X43" s="17" t="str"/>
      <x:c r="Y43" s="17" t="str"/>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x:v>
      </x:c>
      <x:c r="M44" s="17" t="str">
        <x:v>NOT_STARTED</x:v>
      </x:c>
      <x:c r="N44" s="17" t="str">
        <x:v>NOT_EXECUTED</x:v>
      </x:c>
      <x:c r="O44" s="17" t="str">
        <x:v>UNASSIGNED</x:v>
      </x:c>
      <x:c r="P44" s="17" t="str"/>
      <x:c r="Q44" s="17" t="str">
        <x:v>codex/m2-m2-p018</x:v>
      </x:c>
      <x:c r="R44" s="17" t="str"/>
      <x:c r="S44" s="17" t="str"/>
      <x:c r="T44" s="17" t="str"/>
      <x:c r="U44" s="17" t="str"/>
      <x:c r="V44" s="17" t="str">
        <x:v>NO</x:v>
      </x:c>
      <x:c r="W44" s="17" t="str">
        <x:v>按原子提交回退；迁移仅向前修复</x:v>
      </x:c>
      <x:c r="X44" s="17" t="str"/>
      <x:c r="Y44" s="17" t="str"/>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NOT_STARTED</x:v>
      </x:c>
      <x:c r="N45" s="17" t="str">
        <x:v>NOT_EXECUTED</x:v>
      </x:c>
      <x:c r="O45" s="17" t="str">
        <x:v>UNASSIGNED</x:v>
      </x:c>
      <x:c r="P45" s="17" t="str"/>
      <x:c r="Q45" s="17" t="str">
        <x:v>codex/m2-m2-p019</x:v>
      </x:c>
      <x:c r="R45" s="17" t="str"/>
      <x:c r="S45" s="17" t="str"/>
      <x:c r="T45" s="17" t="str"/>
      <x:c r="U45" s="17" t="str"/>
      <x:c r="V45" s="17" t="str">
        <x:v>NO</x:v>
      </x:c>
      <x:c r="W45" s="17" t="str">
        <x:v>按原子提交回退；迁移仅向前修复</x:v>
      </x:c>
      <x:c r="X45" s="17" t="str"/>
      <x:c r="Y45" s="17" t="str"/>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NOT_STARTED</x:v>
      </x:c>
      <x:c r="N46" s="17" t="str">
        <x:v>NOT_EXECUTED</x:v>
      </x:c>
      <x:c r="O46" s="17" t="str">
        <x:v>UNASSIGNED</x:v>
      </x:c>
      <x:c r="P46" s="17" t="str"/>
      <x:c r="Q46" s="17" t="str">
        <x:v>codex/m2-m2-p021</x:v>
      </x:c>
      <x:c r="R46" s="17" t="str"/>
      <x:c r="S46" s="17" t="str"/>
      <x:c r="T46" s="17" t="str"/>
      <x:c r="U46" s="17" t="str"/>
      <x:c r="V46" s="17" t="str">
        <x:v>NO</x:v>
      </x:c>
      <x:c r="W46" s="17" t="str">
        <x:v>按原子提交回退；迁移仅向前修复</x:v>
      </x:c>
      <x:c r="X46" s="17" t="str"/>
      <x:c r="Y46" s="17" t="str"/>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NOT_STARTED</x:v>
      </x:c>
      <x:c r="N47" s="17" t="str">
        <x:v>NOT_EXECUTED</x:v>
      </x:c>
      <x:c r="O47" s="17" t="str">
        <x:v>UNASSIGNED</x:v>
      </x:c>
      <x:c r="P47" s="17" t="str"/>
      <x:c r="Q47" s="17" t="str">
        <x:v>codex/m2-m2-p061</x:v>
      </x:c>
      <x:c r="R47" s="17" t="str"/>
      <x:c r="S47" s="17" t="str"/>
      <x:c r="T47" s="17" t="str"/>
      <x:c r="U47" s="17" t="str"/>
      <x:c r="V47" s="17" t="str">
        <x:v>NO</x:v>
      </x:c>
      <x:c r="W47" s="17" t="str">
        <x:v>按原子提交回退；迁移仅向前修复</x:v>
      </x:c>
      <x:c r="X47" s="17" t="str"/>
      <x:c r="Y47" s="17" t="str"/>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NOT_STARTED</x:v>
      </x:c>
      <x:c r="N48" s="17" t="str">
        <x:v>NOT_EXECUTED</x:v>
      </x:c>
      <x:c r="O48" s="17" t="str">
        <x:v>UNASSIGNED</x:v>
      </x:c>
      <x:c r="P48" s="17" t="str"/>
      <x:c r="Q48" s="17" t="str">
        <x:v>codex/m2-m2-p063</x:v>
      </x:c>
      <x:c r="R48" s="17" t="str"/>
      <x:c r="S48" s="17" t="str"/>
      <x:c r="T48" s="17" t="str"/>
      <x:c r="U48" s="17" t="str"/>
      <x:c r="V48" s="17" t="str">
        <x:v>NO</x:v>
      </x:c>
      <x:c r="W48" s="17" t="str">
        <x:v>按原子提交回退；迁移仅向前修复</x:v>
      </x:c>
      <x:c r="X48" s="17" t="str"/>
      <x:c r="Y48" s="17" t="str"/>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NOT_STARTED</x:v>
      </x:c>
      <x:c r="N49" s="17" t="str">
        <x:v>NOT_EXECUTED</x:v>
      </x:c>
      <x:c r="O49" s="17" t="str">
        <x:v>UNASSIGNED</x:v>
      </x:c>
      <x:c r="P49" s="17" t="str"/>
      <x:c r="Q49" s="17" t="str">
        <x:v>codex/m2-m2-p071</x:v>
      </x:c>
      <x:c r="R49" s="17" t="str"/>
      <x:c r="S49" s="17" t="str"/>
      <x:c r="T49" s="17" t="str"/>
      <x:c r="U49" s="17" t="str"/>
      <x:c r="V49" s="17" t="str">
        <x:v>NO</x:v>
      </x:c>
      <x:c r="W49" s="17" t="str">
        <x:v>按原子提交回退；迁移仅向前修复</x:v>
      </x:c>
      <x:c r="X49" s="17" t="str"/>
      <x:c r="Y49" s="17" t="str"/>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NOT_STARTED</x:v>
      </x:c>
      <x:c r="N50" s="17" t="str">
        <x:v>NOT_EXECUTED</x:v>
      </x:c>
      <x:c r="O50" s="17" t="str">
        <x:v>UNASSIGNED</x:v>
      </x:c>
      <x:c r="P50" s="17" t="str"/>
      <x:c r="Q50" s="17" t="str">
        <x:v>codex/m2-m2</x:v>
      </x:c>
      <x:c r="R50" s="17" t="str"/>
      <x:c r="S50" s="17" t="str"/>
      <x:c r="T50" s="17" t="str"/>
      <x:c r="U50" s="17" t="str"/>
      <x:c r="V50" s="17" t="str">
        <x:v>YES</x:v>
      </x:c>
      <x:c r="W50" s="17" t="str">
        <x:v>按原子提交回退；迁移仅向前修复</x:v>
      </x:c>
      <x:c r="X50" s="17" t="str"/>
      <x:c r="Y50" s="17" t="str"/>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t="str"/>
      <x:c r="Q51" s="17" t="str">
        <x:v>codex/m3-m3</x:v>
      </x:c>
      <x:c r="R51" s="17" t="str"/>
      <x:c r="S51" s="17" t="str"/>
      <x:c r="T51" s="17" t="str"/>
      <x:c r="U51" s="17" t="str"/>
      <x:c r="V51" s="17" t="str">
        <x:v>NO</x:v>
      </x:c>
      <x:c r="W51" s="17" t="str">
        <x:v>按原子提交回退；迁移仅向前修复</x:v>
      </x:c>
      <x:c r="X51" s="17" t="str"/>
      <x:c r="Y51" s="17" t="str"/>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t="str"/>
      <x:c r="Q52" s="17" t="str">
        <x:v>codex/m3-m3-p020</x:v>
      </x:c>
      <x:c r="R52" s="17" t="str"/>
      <x:c r="S52" s="17" t="str"/>
      <x:c r="T52" s="17" t="str"/>
      <x:c r="U52" s="17" t="str"/>
      <x:c r="V52" s="17" t="str">
        <x:v>NO</x:v>
      </x:c>
      <x:c r="W52" s="17" t="str">
        <x:v>按原子提交回退；迁移仅向前修复</x:v>
      </x:c>
      <x:c r="X52" s="17" t="str"/>
      <x:c r="Y52" s="17" t="str"/>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t="str"/>
      <x:c r="Q53" s="17" t="str">
        <x:v>codex/m3-m3-p022</x:v>
      </x:c>
      <x:c r="R53" s="17" t="str"/>
      <x:c r="S53" s="17" t="str"/>
      <x:c r="T53" s="17" t="str"/>
      <x:c r="U53" s="17" t="str"/>
      <x:c r="V53" s="17" t="str">
        <x:v>NO</x:v>
      </x:c>
      <x:c r="W53" s="17" t="str">
        <x:v>按原子提交回退；迁移仅向前修复</x:v>
      </x:c>
      <x:c r="X53" s="17" t="str"/>
      <x:c r="Y53" s="17" t="str"/>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t="str"/>
      <x:c r="Q54" s="17" t="str">
        <x:v>codex/m3-m3-p023</x:v>
      </x:c>
      <x:c r="R54" s="17" t="str"/>
      <x:c r="S54" s="17" t="str"/>
      <x:c r="T54" s="17" t="str"/>
      <x:c r="U54" s="17" t="str"/>
      <x:c r="V54" s="17" t="str">
        <x:v>NO</x:v>
      </x:c>
      <x:c r="W54" s="17" t="str">
        <x:v>按原子提交回退；迁移仅向前修复</x:v>
      </x:c>
      <x:c r="X54" s="17" t="str"/>
      <x:c r="Y54" s="17" t="str"/>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t="str"/>
      <x:c r="Q55" s="17" t="str">
        <x:v>codex/m3-m3-p024</x:v>
      </x:c>
      <x:c r="R55" s="17" t="str"/>
      <x:c r="S55" s="17" t="str"/>
      <x:c r="T55" s="17" t="str"/>
      <x:c r="U55" s="17" t="str"/>
      <x:c r="V55" s="17" t="str">
        <x:v>YES</x:v>
      </x:c>
      <x:c r="W55" s="17" t="str">
        <x:v>按原子提交回退；迁移仅向前修复</x:v>
      </x:c>
      <x:c r="X55" s="17" t="str"/>
      <x:c r="Y55" s="17" t="str"/>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t="str"/>
      <x:c r="Q56" s="17" t="str">
        <x:v>codex/m3-m3-p025</x:v>
      </x:c>
      <x:c r="R56" s="17" t="str"/>
      <x:c r="S56" s="17" t="str"/>
      <x:c r="T56" s="17" t="str"/>
      <x:c r="U56" s="17" t="str"/>
      <x:c r="V56" s="17" t="str">
        <x:v>NO</x:v>
      </x:c>
      <x:c r="W56" s="17" t="str">
        <x:v>按原子提交回退；迁移仅向前修复</x:v>
      </x:c>
      <x:c r="X56" s="17" t="str"/>
      <x:c r="Y56" s="17" t="str"/>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t="str"/>
      <x:c r="Q57" s="17" t="str">
        <x:v>codex/m3-m3-p026</x:v>
      </x:c>
      <x:c r="R57" s="17" t="str"/>
      <x:c r="S57" s="17" t="str"/>
      <x:c r="T57" s="17" t="str"/>
      <x:c r="U57" s="17" t="str"/>
      <x:c r="V57" s="17" t="str">
        <x:v>YES</x:v>
      </x:c>
      <x:c r="W57" s="17" t="str">
        <x:v>按原子提交回退；迁移仅向前修复</x:v>
      </x:c>
      <x:c r="X57" s="17" t="str"/>
      <x:c r="Y57" s="17" t="str"/>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t="str"/>
      <x:c r="Q59" s="17" t="str">
        <x:v>codex/m3-m3-p028</x:v>
      </x:c>
      <x:c r="R59" s="17" t="str"/>
      <x:c r="S59" s="17" t="str"/>
      <x:c r="T59" s="17" t="str"/>
      <x:c r="U59" s="17" t="str"/>
      <x:c r="V59" s="17" t="str">
        <x:v>YES</x:v>
      </x:c>
      <x:c r="W59" s="17" t="str">
        <x:v>按原子提交回退；迁移仅向前修复</x:v>
      </x:c>
      <x:c r="X59" s="17" t="str"/>
      <x:c r="Y59" s="17" t="str"/>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t="str"/>
      <x:c r="Q60" s="17" t="str">
        <x:v>codex/m3-m3-p029</x:v>
      </x:c>
      <x:c r="R60" s="17" t="str"/>
      <x:c r="S60" s="17" t="str"/>
      <x:c r="T60" s="17" t="str"/>
      <x:c r="U60" s="17" t="str"/>
      <x:c r="V60" s="17" t="str">
        <x:v>NO</x:v>
      </x:c>
      <x:c r="W60" s="17" t="str">
        <x:v>按原子提交回退；迁移仅向前修复</x:v>
      </x:c>
      <x:c r="X60" s="17" t="str"/>
      <x:c r="Y60" s="17" t="str"/>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t="str"/>
      <x:c r="Q61" s="17" t="str">
        <x:v>codex/m3-m3-p030</x:v>
      </x:c>
      <x:c r="R61" s="17" t="str"/>
      <x:c r="S61" s="17" t="str"/>
      <x:c r="T61" s="17" t="str"/>
      <x:c r="U61" s="17" t="str"/>
      <x:c r="V61" s="17" t="str">
        <x:v>NO</x:v>
      </x:c>
      <x:c r="W61" s="17" t="str">
        <x:v>按原子提交回退；迁移仅向前修复</x:v>
      </x:c>
      <x:c r="X61" s="17" t="str"/>
      <x:c r="Y61" s="17" t="str"/>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t="str"/>
      <x:c r="Q62" s="17" t="str">
        <x:v>codex/m3-m3-p031</x:v>
      </x:c>
      <x:c r="R62" s="17" t="str"/>
      <x:c r="S62" s="17" t="str"/>
      <x:c r="T62" s="17" t="str"/>
      <x:c r="U62" s="17" t="str"/>
      <x:c r="V62" s="17" t="str">
        <x:v>NO</x:v>
      </x:c>
      <x:c r="W62" s="17" t="str">
        <x:v>按原子提交回退；迁移仅向前修复</x:v>
      </x:c>
      <x:c r="X62" s="17" t="str"/>
      <x:c r="Y62" s="17" t="str"/>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t="str"/>
      <x:c r="Q63" s="17" t="str">
        <x:v>codex/m3-m3-p051</x:v>
      </x:c>
      <x:c r="R63" s="17" t="str"/>
      <x:c r="S63" s="17" t="str"/>
      <x:c r="T63" s="17" t="str"/>
      <x:c r="U63" s="17" t="str"/>
      <x:c r="V63" s="17" t="str">
        <x:v>YES</x:v>
      </x:c>
      <x:c r="W63" s="17" t="str">
        <x:v>按原子提交回退；迁移仅向前修复</x:v>
      </x:c>
      <x:c r="X63" s="17" t="str"/>
      <x:c r="Y63" s="17" t="str"/>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t="str"/>
      <x:c r="Q64" s="17" t="str">
        <x:v>codex/m3-m3-p052</x:v>
      </x:c>
      <x:c r="R64" s="17" t="str"/>
      <x:c r="S64" s="17" t="str"/>
      <x:c r="T64" s="17" t="str"/>
      <x:c r="U64" s="17" t="str"/>
      <x:c r="V64" s="17" t="str">
        <x:v>YES</x:v>
      </x:c>
      <x:c r="W64" s="17" t="str">
        <x:v>按原子提交回退；迁移仅向前修复</x:v>
      </x:c>
      <x:c r="X64" s="17" t="str"/>
      <x:c r="Y64" s="17" t="str"/>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0d46e6c2791e46c4"/>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NOT_EXECUTED</x:v>
      </x:c>
      <x:c r="J7" s="17" t="str">
        <x:v>TO_BE_CREATED</x:v>
      </x:c>
      <x:c r="K7" s="17" t="str">
        <x:v>N/A</x:v>
      </x:c>
      <x:c r="L7" s="17" t="str">
        <x:v>越权；重复请求；非法状态；敏感字段泄露；失败恢复（按适用性执行）</x:v>
      </x:c>
      <x:c r="M7" s="17" t="str"/>
      <x:c r="N7" s="17" t="str"/>
      <x:c r="O7" s="17" t="str"/>
      <x:c r="P7" s="17" t="str"/>
      <x:c r="Q7" s="17" t="str"/>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NOT_EXECUTED</x:v>
      </x:c>
      <x:c r="J8" s="17" t="str">
        <x:v>TO_BE_CREATED</x:v>
      </x:c>
      <x:c r="K8" s="17" t="str">
        <x:v>N/A</x:v>
      </x:c>
      <x:c r="L8" s="17" t="str">
        <x:v>越权；重复请求；非法状态；敏感字段泄露；失败恢复（按适用性执行）</x:v>
      </x:c>
      <x:c r="M8" s="17" t="str"/>
      <x:c r="N8" s="17" t="str"/>
      <x:c r="O8" s="17" t="str"/>
      <x:c r="P8" s="17" t="str"/>
      <x:c r="Q8" s="17" t="str"/>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NOT_EXECUTED</x:v>
      </x:c>
      <x:c r="J9" s="17" t="str">
        <x:v>TO_BE_CREATED</x:v>
      </x:c>
      <x:c r="K9" s="17" t="str">
        <x:v>N/A</x:v>
      </x:c>
      <x:c r="L9" s="17" t="str">
        <x:v>越权；重复请求；非法状态；敏感字段泄露；失败恢复（按适用性执行）</x:v>
      </x:c>
      <x:c r="M9" s="17" t="str"/>
      <x:c r="N9" s="17" t="str"/>
      <x:c r="O9" s="17" t="str"/>
      <x:c r="P9" s="17" t="str"/>
      <x:c r="Q9" s="17" t="str"/>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NOT_EXECUTED</x:v>
      </x:c>
      <x:c r="J10" s="17" t="str">
        <x:v>TO_BE_CREATED</x:v>
      </x:c>
      <x:c r="K10" s="17" t="str">
        <x:v>N/A</x:v>
      </x:c>
      <x:c r="L10" s="17" t="str">
        <x:v>越权；重复请求；非法状态；敏感字段泄露；失败恢复（按适用性执行）</x:v>
      </x:c>
      <x:c r="M10" s="17" t="str"/>
      <x:c r="N10" s="17" t="str"/>
      <x:c r="O10" s="17" t="str"/>
      <x:c r="P10" s="17" t="str"/>
      <x:c r="Q10" s="17" t="str"/>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NOT_EXECUTED</x:v>
      </x:c>
      <x:c r="J11" s="17" t="str">
        <x:v>TO_BE_CREATED</x:v>
      </x:c>
      <x:c r="K11" s="17" t="str">
        <x:v>N/A</x:v>
      </x:c>
      <x:c r="L11" s="17" t="str">
        <x:v>越权；重复请求；非法状态；敏感字段泄露；失败恢复（按适用性执行）</x:v>
      </x:c>
      <x:c r="M11" s="17" t="str"/>
      <x:c r="N11" s="17" t="str"/>
      <x:c r="O11" s="17" t="str"/>
      <x:c r="P11" s="17" t="str"/>
      <x:c r="Q11" s="17" t="str"/>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NOT_EXECUTED</x:v>
      </x:c>
      <x:c r="J12" s="17" t="str">
        <x:v>TO_BE_CREATED</x:v>
      </x:c>
      <x:c r="K12" s="17" t="str">
        <x:v>N/A</x:v>
      </x:c>
      <x:c r="L12" s="17" t="str">
        <x:v>越权；重复请求；非法状态；敏感字段泄露；失败恢复（按适用性执行）</x:v>
      </x:c>
      <x:c r="M12" s="17" t="str"/>
      <x:c r="N12" s="17" t="str"/>
      <x:c r="O12" s="17" t="str"/>
      <x:c r="P12" s="17" t="str"/>
      <x:c r="Q12" s="17" t="str"/>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NOT_EXECUTED</x:v>
      </x:c>
      <x:c r="J13" s="17" t="str">
        <x:v>TO_BE_CREATED</x:v>
      </x:c>
      <x:c r="K13" s="17" t="str">
        <x:v>N/A</x:v>
      </x:c>
      <x:c r="L13" s="17" t="str">
        <x:v>越权；重复请求；非法状态；敏感字段泄露；失败恢复（按适用性执行）</x:v>
      </x:c>
      <x:c r="M13" s="17" t="str"/>
      <x:c r="N13" s="17" t="str"/>
      <x:c r="O13" s="17" t="str"/>
      <x:c r="P13" s="17" t="str"/>
      <x:c r="Q13" s="17" t="str"/>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NOT_EXECUTED</x:v>
      </x:c>
      <x:c r="J14" s="17" t="str">
        <x:v>TO_BE_CREATED</x:v>
      </x:c>
      <x:c r="K14" s="17" t="str">
        <x:v>N/A</x:v>
      </x:c>
      <x:c r="L14" s="17" t="str">
        <x:v>越权；重复请求；非法状态；敏感字段泄露；失败恢复（按适用性执行）</x:v>
      </x:c>
      <x:c r="M14" s="17" t="str"/>
      <x:c r="N14" s="17" t="str"/>
      <x:c r="O14" s="17" t="str"/>
      <x:c r="P14" s="17" t="str"/>
      <x:c r="Q14" s="17" t="str"/>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NOT_EXECUTED</x:v>
      </x:c>
      <x:c r="J15" s="17" t="str">
        <x:v>TO_BE_CREATED</x:v>
      </x:c>
      <x:c r="K15" s="17" t="str">
        <x:v>N/A</x:v>
      </x:c>
      <x:c r="L15" s="17" t="str">
        <x:v>越权；重复请求；非法状态；敏感字段泄露；失败恢复（按适用性执行）</x:v>
      </x:c>
      <x:c r="M15" s="17" t="str"/>
      <x:c r="N15" s="17" t="str"/>
      <x:c r="O15" s="17" t="str"/>
      <x:c r="P15" s="17" t="str"/>
      <x:c r="Q15" s="17" t="str"/>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NOT_EXECUTED</x:v>
      </x:c>
      <x:c r="J16" s="17" t="str">
        <x:v>TO_BE_CREATED</x:v>
      </x:c>
      <x:c r="K16" s="17" t="str">
        <x:v>N/A</x:v>
      </x:c>
      <x:c r="L16" s="17" t="str">
        <x:v>越权；重复请求；非法状态；敏感字段泄露；失败恢复（按适用性执行）</x:v>
      </x:c>
      <x:c r="M16" s="17" t="str"/>
      <x:c r="N16" s="17" t="str"/>
      <x:c r="O16" s="17" t="str"/>
      <x:c r="P16" s="17" t="str"/>
      <x:c r="Q16" s="17" t="str"/>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NOT_EXECUTED</x:v>
      </x:c>
      <x:c r="J17" s="17" t="str">
        <x:v>TO_BE_CREATED</x:v>
      </x:c>
      <x:c r="K17" s="17" t="str">
        <x:v>N/A</x:v>
      </x:c>
      <x:c r="L17" s="17" t="str">
        <x:v>越权；重复请求；非法状态；敏感字段泄露；失败恢复（按适用性执行）</x:v>
      </x:c>
      <x:c r="M17" s="17" t="str"/>
      <x:c r="N17" s="17" t="str"/>
      <x:c r="O17" s="17" t="str"/>
      <x:c r="P17" s="17" t="str"/>
      <x:c r="Q17" s="17" t="str"/>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NOT_EXECUTED</x:v>
      </x:c>
      <x:c r="J18" s="17" t="str">
        <x:v>TO_BE_CREATED</x:v>
      </x:c>
      <x:c r="K18" s="17" t="str">
        <x:v>N/A</x:v>
      </x:c>
      <x:c r="L18" s="17" t="str">
        <x:v>越权；重复请求；非法状态；敏感字段泄露；失败恢复（按适用性执行）</x:v>
      </x:c>
      <x:c r="M18" s="17" t="str"/>
      <x:c r="N18" s="17" t="str"/>
      <x:c r="O18" s="17" t="str"/>
      <x:c r="P18" s="17" t="str"/>
      <x:c r="Q18" s="17" t="str"/>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NOT_EXECUTED</x:v>
      </x:c>
      <x:c r="J19" s="17" t="str">
        <x:v>TO_BE_CREATED</x:v>
      </x:c>
      <x:c r="K19" s="17" t="str">
        <x:v>N/A</x:v>
      </x:c>
      <x:c r="L19" s="17" t="str">
        <x:v>越权；重复请求；非法状态；敏感字段泄露；失败恢复（按适用性执行）</x:v>
      </x:c>
      <x:c r="M19" s="17" t="str"/>
      <x:c r="N19" s="17" t="str"/>
      <x:c r="O19" s="17" t="str"/>
      <x:c r="P19" s="17" t="str"/>
      <x:c r="Q19" s="17" t="str"/>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NOT_EXECUTED</x:v>
      </x:c>
      <x:c r="J20" s="17" t="str">
        <x:v>TO_BE_CREATED</x:v>
      </x:c>
      <x:c r="K20" s="17" t="str">
        <x:v>N/A</x:v>
      </x:c>
      <x:c r="L20" s="17" t="str">
        <x:v>越权；重复请求；非法状态；敏感字段泄露；失败恢复（按适用性执行）</x:v>
      </x:c>
      <x:c r="M20" s="17" t="str"/>
      <x:c r="N20" s="17" t="str"/>
      <x:c r="O20" s="17" t="str"/>
      <x:c r="P20" s="17" t="str"/>
      <x:c r="Q20" s="17" t="str"/>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NOT_EXECUTED</x:v>
      </x:c>
      <x:c r="J22" s="17" t="str">
        <x:v>TO_BE_CREATED</x:v>
      </x:c>
      <x:c r="K22" s="17" t="str">
        <x:v>N/A</x:v>
      </x:c>
      <x:c r="L22" s="17" t="str">
        <x:v>越权；重复请求；非法状态；敏感字段泄露；失败恢复（按适用性执行）</x:v>
      </x:c>
      <x:c r="M22" s="17" t="str"/>
      <x:c r="N22" s="17" t="str"/>
      <x:c r="O22" s="17" t="str"/>
      <x:c r="P22" s="17" t="str"/>
      <x:c r="Q22" s="17" t="str"/>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t="str"/>
      <x:c r="N23" s="17" t="str"/>
      <x:c r="O23" s="17" t="str"/>
      <x:c r="P23" s="17" t="str"/>
      <x:c r="Q23" s="17" t="str"/>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t="str"/>
      <x:c r="N24" s="17" t="str"/>
      <x:c r="O24" s="17" t="str"/>
      <x:c r="P24" s="17" t="str"/>
      <x:c r="Q24" s="17" t="str"/>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t="str"/>
      <x:c r="N25" s="17" t="str"/>
      <x:c r="O25" s="17" t="str"/>
      <x:c r="P25" s="17" t="str"/>
      <x:c r="Q25" s="17" t="str"/>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t="str"/>
      <x:c r="N26" s="17" t="str"/>
      <x:c r="O26" s="17" t="str"/>
      <x:c r="P26" s="17" t="str"/>
      <x:c r="Q26" s="17" t="str"/>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t="str"/>
      <x:c r="N27" s="17" t="str"/>
      <x:c r="O27" s="17" t="str"/>
      <x:c r="P27" s="17" t="str"/>
      <x:c r="Q27" s="17" t="str"/>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t="str"/>
      <x:c r="N30" s="17" t="str"/>
      <x:c r="O30" s="17" t="str"/>
      <x:c r="P30" s="17" t="str"/>
      <x:c r="Q30" s="17" t="str"/>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t="str"/>
      <x:c r="N31" s="17" t="str"/>
      <x:c r="O31" s="17" t="str"/>
      <x:c r="P31" s="17" t="str"/>
      <x:c r="Q31" s="17" t="str"/>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t="str"/>
      <x:c r="N32" s="17" t="str"/>
      <x:c r="O32" s="17" t="str"/>
      <x:c r="P32" s="17" t="str"/>
      <x:c r="Q32" s="17" t="str"/>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t="str"/>
      <x:c r="N52" s="17" t="str"/>
      <x:c r="O52" s="17" t="str"/>
      <x:c r="P52" s="17" t="str"/>
      <x:c r="Q52" s="17" t="str"/>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t="str"/>
      <x:c r="N53" s="17" t="str"/>
      <x:c r="O53" s="17" t="str"/>
      <x:c r="P53" s="17" t="str"/>
      <x:c r="Q53" s="17" t="str"/>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NOT_EXECUTED</x:v>
      </x:c>
      <x:c r="J62" s="17" t="str">
        <x:v>TO_BE_CREATED</x:v>
      </x:c>
      <x:c r="K62" s="17" t="str">
        <x:v>N/A</x:v>
      </x:c>
      <x:c r="L62" s="17" t="str">
        <x:v>越权；重复请求；非法状态；敏感字段泄露；失败恢复（按适用性执行）</x:v>
      </x:c>
      <x:c r="M62" s="17" t="str"/>
      <x:c r="N62" s="17" t="str"/>
      <x:c r="O62" s="17" t="str"/>
      <x:c r="P62" s="17" t="str"/>
      <x:c r="Q62" s="17" t="str"/>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NOT_EXECUTED</x:v>
      </x:c>
      <x:c r="J64" s="17" t="str">
        <x:v>TO_BE_CREATED</x:v>
      </x:c>
      <x:c r="K64" s="17" t="str">
        <x:v>N/A</x:v>
      </x:c>
      <x:c r="L64" s="17" t="str">
        <x:v>越权；重复请求；非法状态；敏感字段泄露；失败恢复（按适用性执行）</x:v>
      </x:c>
      <x:c r="M64" s="17" t="str"/>
      <x:c r="N64" s="17" t="str"/>
      <x:c r="O64" s="17" t="str"/>
      <x:c r="P64" s="17" t="str"/>
      <x:c r="Q64" s="17" t="str"/>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NOT_EXECUTED</x:v>
      </x:c>
      <x:c r="J72" s="17" t="str">
        <x:v>TO_BE_CREATED</x:v>
      </x:c>
      <x:c r="K72" s="17" t="str">
        <x:v>N/A</x:v>
      </x:c>
      <x:c r="L72" s="17" t="str">
        <x:v>越权；重复请求；非法状态；敏感字段泄露；失败恢复（按适用性执行）</x:v>
      </x:c>
      <x:c r="M72" s="17" t="str"/>
      <x:c r="N72" s="17" t="str"/>
      <x:c r="O72" s="17" t="str"/>
      <x:c r="P72" s="17" t="str"/>
      <x:c r="Q72" s="17" t="str"/>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c21d4aff24a409f"/>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字段</x:v>
      </x:c>
      <x:c r="C1" s="15" t="str">
        <x:v>方案原定义</x:v>
      </x:c>
      <x:c r="D1" s="15" t="str">
        <x:v>字段顺序</x:v>
      </x:c>
      <x:c r="E1" s="15" t="str">
        <x:v>建议类型</x:v>
      </x:c>
      <x:c r="F1" s="15" t="str">
        <x:v>必填</x:v>
      </x:c>
      <x:c r="G1" s="15" t="str">
        <x:v>单位/格式</x:v>
      </x:c>
      <x:c r="H1" s="15" t="str">
        <x:v>敏感等级</x:v>
      </x:c>
      <x:c r="I1" s="15" t="str">
        <x:v>可见范围</x:v>
      </x:c>
      <x:c r="J1" s="15" t="str">
        <x:v>禁止暴露</x:v>
      </x:c>
      <x:c r="K1" s="15" t="str">
        <x:v>校验规则</x:v>
      </x:c>
      <x:c r="L1" s="15" t="str">
        <x:v>历史规则</x:v>
      </x:c>
      <x:c r="M1" s="15" t="str">
        <x:v>阶段</x:v>
      </x:c>
      <x:c r="N1" s="15" t="str">
        <x:v>P0</x:v>
      </x:c>
      <x:c r="O1" s="15" t="str">
        <x:v>来源</x:v>
      </x:c>
      <x:c r="P1" s="16" t="str">
        <x:v>状态</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String/UUID</x:v>
      </x:c>
      <x:c r="F233" s="4" t="str">
        <x:v>YES</x:v>
      </x:c>
      <x:c r="G233" s="4" t="str">
        <x:v>待M阶段冻结</x:v>
      </x:c>
      <x:c r="H233" s="17" t="str">
        <x:v>INTERNAL</x:v>
      </x:c>
      <x:c r="I233" s="17" t="str">
        <x:v>按资源权限与数据域访问；公开DTO另行白名单</x:v>
      </x:c>
      <x:c r="J233" s="17" t="str">
        <x:v>数据库实体不得直接序列化为响应</x:v>
      </x:c>
      <x:c r="K233" s="17" t="str">
        <x:v>DTO白名单；长度/枚举/归属/状态校验；禁止信任客户端派生值</x:v>
      </x:c>
      <x:c r="L233" s="17" t="str">
        <x:v>按实体version或审计日志保留变更证据</x:v>
      </x:c>
      <x:c r="M233" s="4" t="str">
        <x:v>M2</x:v>
      </x:c>
      <x:c r="N233" s="4" t="str">
        <x:v>P0-011</x:v>
      </x:c>
      <x:c r="O233" s="4" t="str">
        <x:v>综合方案§13核心数据模型</x:v>
      </x:c>
      <x:c r="P233" s="4" t="str">
        <x:v>DRAFT_FROM_SCHEME</x:v>
      </x:c>
    </x:row>
    <x:row r="234" ht="23" customHeight="1">
      <x:c r="A234" s="4" t="str">
        <x:v>Category</x:v>
      </x:c>
      <x:c r="B234" s="4" t="str">
        <x:v>parentId</x:v>
      </x:c>
      <x:c r="C234" s="17" t="str">
        <x:v>parentId</x:v>
      </x:c>
      <x:c r="D234" s="4" t="str">
        <x:v>2</x:v>
      </x:c>
      <x:c r="E234" s="4" t="str">
        <x:v>String/UUID</x:v>
      </x:c>
      <x:c r="F234" s="4" t="str">
        <x:v>YES</x:v>
      </x:c>
      <x:c r="G234" s="4" t="str">
        <x:v>待M阶段冻结</x:v>
      </x:c>
      <x:c r="H234" s="17" t="str">
        <x:v>INTERNAL</x:v>
      </x:c>
      <x:c r="I234" s="17" t="str">
        <x:v>按资源权限与数据域访问；公开DTO另行白名单</x:v>
      </x:c>
      <x:c r="J234" s="17" t="str">
        <x:v>数据库实体不得直接序列化为响应</x:v>
      </x:c>
      <x:c r="K234" s="17" t="str">
        <x:v>DTO白名单；长度/枚举/归属/状态校验；禁止信任客户端派生值</x:v>
      </x:c>
      <x:c r="L234" s="17" t="str">
        <x:v>按实体version或审计日志保留变更证据</x:v>
      </x:c>
      <x:c r="M234" s="4" t="str">
        <x:v>M2</x:v>
      </x:c>
      <x:c r="N234" s="4" t="str">
        <x:v>P0-011</x:v>
      </x:c>
      <x:c r="O234" s="4" t="str">
        <x:v>综合方案§13核心数据模型</x:v>
      </x:c>
      <x:c r="P234" s="4" t="str">
        <x:v>DRAFT_FROM_SCHEME</x:v>
      </x:c>
    </x:row>
    <x:row r="235" ht="23" customHeight="1">
      <x:c r="A235" s="4" t="str">
        <x:v>Category</x:v>
      </x:c>
      <x:c r="B235" s="4" t="str">
        <x:v>name</x:v>
      </x:c>
      <x:c r="C235" s="17" t="str">
        <x:v>name</x:v>
      </x:c>
      <x:c r="D235" s="4" t="str">
        <x:v>3</x:v>
      </x:c>
      <x:c r="E235" s="4" t="str">
        <x:v>String</x:v>
      </x:c>
      <x:c r="F235" s="4" t="str">
        <x:v>YES</x:v>
      </x:c>
      <x:c r="G235" s="4" t="str">
        <x:v>待M阶段冻结</x:v>
      </x:c>
      <x:c r="H235" s="17" t="str">
        <x:v>INTERNAL</x:v>
      </x:c>
      <x:c r="I235" s="17" t="str">
        <x:v>按资源权限与数据域访问；公开DTO另行白名单</x:v>
      </x:c>
      <x:c r="J235" s="17" t="str">
        <x:v>数据库实体不得直接序列化为响应</x:v>
      </x:c>
      <x:c r="K235" s="17" t="str">
        <x:v>DTO白名单；长度/枚举/归属/状态校验；禁止信任客户端派生值</x:v>
      </x:c>
      <x:c r="L235" s="17" t="str">
        <x:v>按实体version或审计日志保留变更证据</x:v>
      </x:c>
      <x:c r="M235" s="4" t="str">
        <x:v>M2</x:v>
      </x:c>
      <x:c r="N235" s="4" t="str">
        <x:v>P0-011</x:v>
      </x:c>
      <x:c r="O235" s="4" t="str">
        <x:v>综合方案§13核心数据模型</x:v>
      </x:c>
      <x:c r="P235" s="4" t="str">
        <x:v>DRAFT_FROM_SCHEME</x:v>
      </x:c>
    </x:row>
    <x:row r="236" ht="23" customHeight="1">
      <x:c r="A236" s="4" t="str">
        <x:v>Category</x:v>
      </x:c>
      <x:c r="B236" s="4" t="str">
        <x:v>level</x:v>
      </x:c>
      <x:c r="C236" s="17" t="str">
        <x:v>level</x:v>
      </x:c>
      <x:c r="D236" s="4" t="str">
        <x:v>4</x:v>
      </x:c>
      <x:c r="E236" s="4" t="str">
        <x:v>Int</x:v>
      </x:c>
      <x:c r="F236" s="4" t="str">
        <x:v>YES</x:v>
      </x:c>
      <x:c r="G236" s="4" t="str">
        <x:v>待M阶段冻结</x:v>
      </x:c>
      <x:c r="H236" s="17" t="str">
        <x:v>INTERNAL</x:v>
      </x:c>
      <x:c r="I236" s="17" t="str">
        <x:v>按资源权限与数据域访问；公开DTO另行白名单</x:v>
      </x:c>
      <x:c r="J236" s="17" t="str">
        <x:v>数据库实体不得直接序列化为响应</x:v>
      </x:c>
      <x:c r="K236" s="17" t="str">
        <x:v>DTO白名单；长度/枚举/归属/状态校验；禁止信任客户端派生值</x:v>
      </x:c>
      <x:c r="L236" s="17" t="str">
        <x:v>按实体version或审计日志保留变更证据</x:v>
      </x:c>
      <x:c r="M236" s="4" t="str">
        <x:v>M2</x:v>
      </x:c>
      <x:c r="N236" s="4" t="str">
        <x:v>P0-011</x:v>
      </x:c>
      <x:c r="O236" s="4" t="str">
        <x:v>综合方案§13核心数据模型</x:v>
      </x:c>
      <x:c r="P236" s="4" t="str">
        <x:v>DRAFT_FROM_SCHEME</x:v>
      </x:c>
    </x:row>
    <x:row r="237" ht="23" customHeight="1">
      <x:c r="A237" s="4" t="str">
        <x:v>Category</x:v>
      </x:c>
      <x:c r="B237" s="4" t="str">
        <x:v>sortWeight</x:v>
      </x:c>
      <x:c r="C237" s="17" t="str">
        <x:v>sortWeight</x:v>
      </x:c>
      <x:c r="D237" s="4" t="str">
        <x:v>5</x:v>
      </x:c>
      <x:c r="E237" s="4" t="str">
        <x:v>Int</x:v>
      </x:c>
      <x:c r="F237" s="4" t="str">
        <x:v>YES</x:v>
      </x:c>
      <x:c r="G237" s="4" t="str">
        <x:v>待M阶段冻结</x:v>
      </x:c>
      <x:c r="H237" s="17" t="str">
        <x:v>INTERNAL</x:v>
      </x:c>
      <x:c r="I237" s="17" t="str">
        <x:v>按资源权限与数据域访问；公开DTO另行白名单</x:v>
      </x:c>
      <x:c r="J237" s="17" t="str">
        <x:v>数据库实体不得直接序列化为响应</x:v>
      </x:c>
      <x:c r="K237" s="17" t="str">
        <x:v>DTO白名单；长度/枚举/归属/状态校验；禁止信任客户端派生值</x:v>
      </x:c>
      <x:c r="L237" s="17" t="str">
        <x:v>按实体version或审计日志保留变更证据</x:v>
      </x:c>
      <x:c r="M237" s="4" t="str">
        <x:v>M2</x:v>
      </x:c>
      <x:c r="N237" s="4" t="str">
        <x:v>P0-011</x:v>
      </x:c>
      <x:c r="O237" s="4" t="str">
        <x:v>综合方案§13核心数据模型</x:v>
      </x:c>
      <x:c r="P237" s="4" t="str">
        <x:v>DRAFT_FROM_SCHEME</x:v>
      </x:c>
    </x:row>
    <x:row r="238" ht="23" customHeight="1">
      <x:c r="A238" s="4" t="str">
        <x:v>Category</x:v>
      </x:c>
      <x:c r="B238" s="4" t="str">
        <x:v>status</x:v>
      </x:c>
      <x:c r="C238" s="17" t="str">
        <x:v>status</x:v>
      </x:c>
      <x:c r="D238" s="4" t="str">
        <x:v>6</x:v>
      </x:c>
      <x:c r="E238" s="4" t="str">
        <x:v>Enum/String</x:v>
      </x:c>
      <x:c r="F238" s="4" t="str">
        <x:v>YES</x:v>
      </x:c>
      <x:c r="G238" s="4" t="str">
        <x:v>待M阶段冻结</x:v>
      </x:c>
      <x:c r="H238" s="17" t="str">
        <x:v>INTERNAL</x:v>
      </x:c>
      <x:c r="I238" s="17" t="str">
        <x:v>按资源权限与数据域访问；公开DTO另行白名单</x:v>
      </x:c>
      <x:c r="J238" s="17" t="str">
        <x:v>数据库实体不得直接序列化为响应</x:v>
      </x:c>
      <x:c r="K238" s="17" t="str">
        <x:v>DTO白名单；长度/枚举/归属/状态校验；禁止信任客户端派生值</x:v>
      </x:c>
      <x:c r="L238" s="17" t="str">
        <x:v>按实体version或审计日志保留变更证据</x:v>
      </x:c>
      <x:c r="M238" s="4" t="str">
        <x:v>M2</x:v>
      </x:c>
      <x:c r="N238" s="4" t="str">
        <x:v>P0-011</x:v>
      </x:c>
      <x:c r="O238" s="4" t="str">
        <x:v>综合方案§13核心数据模型</x:v>
      </x:c>
      <x:c r="P238" s="4" t="str">
        <x:v>DRAFT_FROM_SCHEME</x:v>
      </x:c>
    </x:row>
    <x:row r="239" ht="23" customHeight="1">
      <x:c r="A239" s="4" t="str">
        <x:v>CategoryTemplate</x:v>
      </x:c>
      <x:c r="B239" s="4" t="str">
        <x:v>id</x:v>
      </x:c>
      <x:c r="C239" s="17" t="str">
        <x:v>id</x:v>
      </x:c>
      <x:c r="D239" s="4" t="str">
        <x:v>1</x:v>
      </x:c>
      <x:c r="E239" s="4" t="str">
        <x:v>String/UUID</x:v>
      </x:c>
      <x:c r="F239" s="4" t="str">
        <x:v>YES</x:v>
      </x:c>
      <x:c r="G239" s="4" t="str">
        <x:v>待M阶段冻结</x:v>
      </x:c>
      <x:c r="H239" s="17" t="str">
        <x:v>PERSONAL_OR_SENSITIVE</x:v>
      </x:c>
      <x:c r="I239" s="17" t="str">
        <x:v>按角色、对象归属及配送阶段脱敏/解密</x:v>
      </x:c>
      <x:c r="J239" s="17" t="str">
        <x:v>禁止跨供应商、越阶段或批量无审批导出</x:v>
      </x:c>
      <x:c r="K239" s="17" t="str">
        <x:v>DTO白名单；长度/枚举/归属/状态校验；禁止信任客户端派生值</x:v>
      </x:c>
      <x:c r="L239" s="17" t="str">
        <x:v>按实体version或审计日志保留变更证据</x:v>
      </x:c>
      <x:c r="M239" s="4" t="str">
        <x:v>M2</x:v>
      </x:c>
      <x:c r="N239" s="4" t="str">
        <x:v>P0-012,P0-013,P0-014,P0-015,P0-016,P0-017,P0-018</x:v>
      </x:c>
      <x:c r="O239" s="4" t="str">
        <x:v>综合方案§13核心数据模型</x:v>
      </x:c>
      <x:c r="P239" s="4" t="str">
        <x:v>DRAFT_FROM_SCHEME</x:v>
      </x:c>
    </x:row>
    <x:row r="240" ht="23" customHeight="1">
      <x:c r="A240" s="4" t="str">
        <x:v>CategoryTemplate</x:v>
      </x:c>
      <x:c r="B240" s="4" t="str">
        <x:v>categoryId</x:v>
      </x:c>
      <x:c r="C240" s="17" t="str">
        <x:v>categoryId</x:v>
      </x:c>
      <x:c r="D240" s="4" t="str">
        <x:v>2</x:v>
      </x:c>
      <x:c r="E240" s="4" t="str">
        <x:v>String/UUID</x:v>
      </x:c>
      <x:c r="F240" s="4" t="str">
        <x:v>YES</x:v>
      </x:c>
      <x:c r="G240" s="4" t="str">
        <x:v>待M阶段冻结</x:v>
      </x:c>
      <x:c r="H240" s="17" t="str">
        <x:v>PERSONAL_OR_SENSITIVE</x:v>
      </x:c>
      <x:c r="I240" s="17" t="str">
        <x:v>按角色、对象归属及配送阶段脱敏/解密</x:v>
      </x:c>
      <x:c r="J240" s="17" t="str">
        <x:v>禁止跨供应商、越阶段或批量无审批导出</x:v>
      </x:c>
      <x:c r="K240" s="17" t="str">
        <x:v>DTO白名单；长度/枚举/归属/状态校验；禁止信任客户端派生值</x:v>
      </x:c>
      <x:c r="L240" s="17" t="str">
        <x:v>按实体version或审计日志保留变更证据</x:v>
      </x:c>
      <x:c r="M240" s="4" t="str">
        <x:v>M2</x:v>
      </x:c>
      <x:c r="N240" s="4" t="str">
        <x:v>P0-012,P0-013,P0-014,P0-015,P0-016,P0-017,P0-018</x:v>
      </x:c>
      <x:c r="O240" s="4" t="str">
        <x:v>综合方案§13核心数据模型</x:v>
      </x:c>
      <x:c r="P240" s="4" t="str">
        <x:v>DRAFT_FROM_SCHEME</x:v>
      </x:c>
    </x:row>
    <x:row r="241" ht="23" customHeight="1">
      <x:c r="A241" s="4" t="str">
        <x:v>CategoryTemplate</x:v>
      </x:c>
      <x:c r="B241" s="4" t="str">
        <x:v>version</x:v>
      </x:c>
      <x:c r="C241" s="17" t="str">
        <x:v>version</x:v>
      </x:c>
      <x:c r="D241" s="4" t="str">
        <x:v>3</x:v>
      </x:c>
      <x:c r="E241" s="4" t="str">
        <x:v>Int</x:v>
      </x:c>
      <x:c r="F241" s="4" t="str">
        <x:v>YES</x:v>
      </x:c>
      <x:c r="G241" s="4" t="str">
        <x:v>待M阶段冻结</x:v>
      </x:c>
      <x:c r="H241" s="17" t="str">
        <x:v>PERSONAL_OR_SENSITIVE</x:v>
      </x:c>
      <x:c r="I241" s="17" t="str">
        <x:v>按角色、对象归属及配送阶段脱敏/解密</x:v>
      </x:c>
      <x:c r="J241" s="17" t="str">
        <x:v>禁止跨供应商、越阶段或批量无审批导出</x:v>
      </x:c>
      <x:c r="K241" s="17" t="str">
        <x:v>DTO白名单；长度/枚举/归属/状态校验；禁止信任客户端派生值</x:v>
      </x:c>
      <x:c r="L241" s="17" t="str">
        <x:v>按实体version或审计日志保留变更证据</x:v>
      </x:c>
      <x:c r="M241" s="4" t="str">
        <x:v>M2</x:v>
      </x:c>
      <x:c r="N241" s="4" t="str">
        <x:v>P0-012,P0-013,P0-014,P0-015,P0-016,P0-017,P0-018</x:v>
      </x:c>
      <x:c r="O241" s="4" t="str">
        <x:v>综合方案§13核心数据模型</x:v>
      </x:c>
      <x:c r="P241" s="4" t="str">
        <x:v>DRAFT_FROM_SCHEME</x:v>
      </x:c>
    </x:row>
    <x:row r="242" ht="23" customHeight="1">
      <x:c r="A242" s="4" t="str">
        <x:v>CategoryTemplate</x:v>
      </x:c>
      <x:c r="B242" s="4" t="str">
        <x:v>fieldSchema</x:v>
      </x:c>
      <x:c r="C242" s="17" t="str">
        <x:v>fieldSchema</x:v>
      </x:c>
      <x:c r="D242" s="4" t="str">
        <x:v>4</x:v>
      </x:c>
      <x:c r="E242" s="4" t="str">
        <x:v>Json</x:v>
      </x:c>
      <x:c r="F242" s="4" t="str">
        <x:v>YES</x:v>
      </x:c>
      <x:c r="G242" s="4" t="str">
        <x:v>待M阶段冻结</x:v>
      </x:c>
      <x:c r="H242" s="17" t="str">
        <x:v>PERSONAL_OR_SENSITIVE</x:v>
      </x:c>
      <x:c r="I242" s="17" t="str">
        <x:v>按角色、对象归属及配送阶段脱敏/解密</x:v>
      </x:c>
      <x:c r="J242" s="17" t="str">
        <x:v>禁止跨供应商、越阶段或批量无审批导出</x:v>
      </x:c>
      <x:c r="K242" s="17" t="str">
        <x:v>DTO白名单；长度/枚举/归属/状态校验；禁止信任客户端派生值</x:v>
      </x:c>
      <x:c r="L242" s="17" t="str">
        <x:v>按实体version或审计日志保留变更证据</x:v>
      </x:c>
      <x:c r="M242" s="4" t="str">
        <x:v>M2</x:v>
      </x:c>
      <x:c r="N242" s="4" t="str">
        <x:v>P0-012,P0-013,P0-014,P0-015,P0-016,P0-017,P0-018</x:v>
      </x:c>
      <x:c r="O242" s="4" t="str">
        <x:v>综合方案§13核心数据模型</x:v>
      </x:c>
      <x:c r="P242" s="4" t="str">
        <x:v>DRAFT_FROM_SCHEME</x:v>
      </x:c>
    </x:row>
    <x:row r="243" ht="23" customHeight="1">
      <x:c r="A243" s="4" t="str">
        <x:v>CategoryTemplate</x:v>
      </x:c>
      <x:c r="B243" s="4" t="str">
        <x:v>skuDimensions</x:v>
      </x:c>
      <x:c r="C243" s="17" t="str">
        <x:v>skuDimensions</x:v>
      </x:c>
      <x:c r="D243" s="4" t="str">
        <x:v>5</x:v>
      </x:c>
      <x:c r="E243" s="4" t="str">
        <x:v>String</x:v>
      </x:c>
      <x:c r="F243" s="4" t="str">
        <x:v>YES</x:v>
      </x:c>
      <x:c r="G243" s="4" t="str">
        <x:v>待M阶段冻结</x:v>
      </x:c>
      <x:c r="H243" s="17" t="str">
        <x:v>PERSONAL_OR_SENSITIVE</x:v>
      </x:c>
      <x:c r="I243" s="17" t="str">
        <x:v>按角色、对象归属及配送阶段脱敏/解密</x:v>
      </x:c>
      <x:c r="J243" s="17" t="str">
        <x:v>禁止跨供应商、越阶段或批量无审批导出</x:v>
      </x:c>
      <x:c r="K243" s="17" t="str">
        <x:v>DTO白名单；长度/枚举/归属/状态校验；禁止信任客户端派生值</x:v>
      </x:c>
      <x:c r="L243" s="17" t="str">
        <x:v>按实体version或审计日志保留变更证据</x:v>
      </x:c>
      <x:c r="M243" s="4" t="str">
        <x:v>M2</x:v>
      </x:c>
      <x:c r="N243" s="4" t="str">
        <x:v>P0-012,P0-013,P0-014,P0-015,P0-016,P0-017,P0-018</x:v>
      </x:c>
      <x:c r="O243" s="4" t="str">
        <x:v>综合方案§13核心数据模型</x:v>
      </x:c>
      <x:c r="P243" s="4" t="str">
        <x:v>DRAFT_FROM_SCHEME</x:v>
      </x:c>
    </x:row>
    <x:row r="244" ht="23" customHeight="1">
      <x:c r="A244" s="4" t="str">
        <x:v>CategoryTemplate</x:v>
      </x:c>
      <x:c r="B244" s="4" t="str">
        <x:v>qualificationRules</x:v>
      </x:c>
      <x:c r="C244" s="17" t="str">
        <x:v>qualificationRules</x:v>
      </x:c>
      <x:c r="D244" s="4" t="str">
        <x:v>6</x:v>
      </x:c>
      <x:c r="E244" s="4" t="str">
        <x:v>Json</x:v>
      </x:c>
      <x:c r="F244" s="4" t="str">
        <x:v>YES</x:v>
      </x:c>
      <x:c r="G244" s="4" t="str">
        <x:v>待M阶段冻结</x:v>
      </x:c>
      <x:c r="H244" s="17" t="str">
        <x:v>PERSONAL_OR_SENSITIVE</x:v>
      </x:c>
      <x:c r="I244" s="17" t="str">
        <x:v>按角色、对象归属及配送阶段脱敏/解密</x:v>
      </x:c>
      <x:c r="J244" s="17" t="str">
        <x:v>禁止跨供应商、越阶段或批量无审批导出</x:v>
      </x:c>
      <x:c r="K244" s="17" t="str">
        <x:v>DTO白名单；长度/枚举/归属/状态校验；禁止信任客户端派生值</x:v>
      </x:c>
      <x:c r="L244" s="17" t="str">
        <x:v>按实体version或审计日志保留变更证据</x:v>
      </x:c>
      <x:c r="M244" s="4" t="str">
        <x:v>M2</x:v>
      </x:c>
      <x:c r="N244" s="4" t="str">
        <x:v>P0-012,P0-013,P0-014,P0-015,P0-016,P0-017,P0-018</x:v>
      </x:c>
      <x:c r="O244" s="4" t="str">
        <x:v>综合方案§13核心数据模型</x:v>
      </x:c>
      <x:c r="P244" s="4" t="str">
        <x:v>DRAFT_FROM_SCHEME</x:v>
      </x:c>
    </x:row>
    <x:row r="245" ht="23" customHeight="1">
      <x:c r="A245" s="4" t="str">
        <x:v>CategoryTemplate</x:v>
      </x:c>
      <x:c r="B245" s="4" t="str">
        <x:v>detailModules</x:v>
      </x:c>
      <x:c r="C245" s="17" t="str">
        <x:v>detailModules</x:v>
      </x:c>
      <x:c r="D245" s="4" t="str">
        <x:v>7</x:v>
      </x:c>
      <x:c r="E245" s="4" t="str">
        <x:v>Json</x:v>
      </x:c>
      <x:c r="F245" s="4" t="str">
        <x:v>YES</x:v>
      </x:c>
      <x:c r="G245" s="4" t="str">
        <x:v>待M阶段冻结</x:v>
      </x:c>
      <x:c r="H245" s="17" t="str">
        <x:v>PERSONAL_OR_SENSITIVE</x:v>
      </x:c>
      <x:c r="I245" s="17" t="str">
        <x:v>按角色、对象归属及配送阶段脱敏/解密</x:v>
      </x:c>
      <x:c r="J245" s="17" t="str">
        <x:v>禁止跨供应商、越阶段或批量无审批导出</x:v>
      </x:c>
      <x:c r="K245" s="17" t="str">
        <x:v>DTO白名单；长度/枚举/归属/状态校验；禁止信任客户端派生值</x:v>
      </x:c>
      <x:c r="L245" s="17" t="str">
        <x:v>按实体version或审计日志保留变更证据</x:v>
      </x:c>
      <x:c r="M245" s="4" t="str">
        <x:v>M2</x:v>
      </x:c>
      <x:c r="N245" s="4" t="str">
        <x:v>P0-012,P0-013,P0-014,P0-015,P0-016,P0-017,P0-018</x:v>
      </x:c>
      <x:c r="O245" s="4" t="str">
        <x:v>综合方案§13核心数据模型</x:v>
      </x:c>
      <x:c r="P245" s="4" t="str">
        <x:v>DRAFT_FROM_SCHEME</x:v>
      </x:c>
    </x:row>
    <x:row r="246" ht="23" customHeight="1">
      <x:c r="A246" s="4" t="str">
        <x:v>CategoryTemplate</x:v>
      </x:c>
      <x:c r="B246" s="4" t="str">
        <x:v>afterSaleRules</x:v>
      </x:c>
      <x:c r="C246" s="17" t="str">
        <x:v>afterSaleRules</x:v>
      </x:c>
      <x:c r="D246" s="4" t="str">
        <x:v>8</x:v>
      </x:c>
      <x:c r="E246" s="4" t="str">
        <x:v>Json</x:v>
      </x:c>
      <x:c r="F246" s="4" t="str">
        <x:v>YES</x:v>
      </x:c>
      <x:c r="G246" s="4" t="str">
        <x:v>待M阶段冻结</x:v>
      </x:c>
      <x:c r="H246" s="17" t="str">
        <x:v>PERSONAL_OR_SENSITIVE</x:v>
      </x:c>
      <x:c r="I246" s="17" t="str">
        <x:v>按角色、对象归属及配送阶段脱敏/解密</x:v>
      </x:c>
      <x:c r="J246" s="17" t="str">
        <x:v>禁止跨供应商、越阶段或批量无审批导出</x:v>
      </x:c>
      <x:c r="K246" s="17" t="str">
        <x:v>DTO白名单；长度/枚举/归属/状态校验；禁止信任客户端派生值</x:v>
      </x:c>
      <x:c r="L246" s="17" t="str">
        <x:v>按实体version或审计日志保留变更证据</x:v>
      </x:c>
      <x:c r="M246" s="4" t="str">
        <x:v>M2</x:v>
      </x:c>
      <x:c r="N246" s="4" t="str">
        <x:v>P0-012,P0-013,P0-014,P0-015,P0-016,P0-017,P0-018</x:v>
      </x:c>
      <x:c r="O246" s="4" t="str">
        <x:v>综合方案§13核心数据模型</x:v>
      </x:c>
      <x:c r="P246" s="4" t="str">
        <x:v>DRAFT_FROM_SCHEME</x:v>
      </x:c>
    </x:row>
    <x:row r="247" ht="23" customHeight="1">
      <x:c r="A247" s="4" t="str">
        <x:v>CategoryTemplate</x:v>
      </x:c>
      <x:c r="B247" s="4" t="str">
        <x:v>status</x:v>
      </x:c>
      <x:c r="C247" s="17" t="str">
        <x:v>status</x:v>
      </x:c>
      <x:c r="D247" s="4" t="str">
        <x:v>9</x:v>
      </x:c>
      <x:c r="E247" s="4" t="str">
        <x:v>Enum/String</x:v>
      </x:c>
      <x:c r="F247" s="4" t="str">
        <x:v>YES</x:v>
      </x:c>
      <x:c r="G247" s="4" t="str">
        <x:v>待M阶段冻结</x:v>
      </x:c>
      <x:c r="H247" s="17" t="str">
        <x:v>PERSONAL_OR_SENSITIVE</x:v>
      </x:c>
      <x:c r="I247" s="17" t="str">
        <x:v>按角色、对象归属及配送阶段脱敏/解密</x:v>
      </x:c>
      <x:c r="J247" s="17" t="str">
        <x:v>禁止跨供应商、越阶段或批量无审批导出</x:v>
      </x:c>
      <x:c r="K247" s="17" t="str">
        <x:v>DTO白名单；长度/枚举/归属/状态校验；禁止信任客户端派生值</x:v>
      </x:c>
      <x:c r="L247" s="17" t="str">
        <x:v>按实体version或审计日志保留变更证据</x:v>
      </x:c>
      <x:c r="M247" s="4" t="str">
        <x:v>M2</x:v>
      </x:c>
      <x:c r="N247" s="4" t="str">
        <x:v>P0-012,P0-013,P0-014,P0-015,P0-016,P0-017,P0-018</x:v>
      </x:c>
      <x:c r="O247" s="4" t="str">
        <x:v>综合方案§13核心数据模型</x:v>
      </x:c>
      <x:c r="P247" s="4" t="str">
        <x:v>DRAFT_FROM_SCHEME</x:v>
      </x:c>
    </x:row>
    <x:row r="248" ht="23" customHeight="1">
      <x:c r="A248" s="4" t="str">
        <x:v>SupplierProduct</x:v>
      </x:c>
      <x:c r="B248" s="4" t="str">
        <x:v>id</x:v>
      </x:c>
      <x:c r="C248" s="17" t="str">
        <x:v>id</x:v>
      </x:c>
      <x:c r="D248" s="4" t="str">
        <x:v>1</x:v>
      </x:c>
      <x:c r="E248" s="4" t="str">
        <x:v>String/UUID</x:v>
      </x:c>
      <x:c r="F248" s="4" t="str">
        <x:v>YES</x:v>
      </x:c>
      <x:c r="G248" s="4" t="str">
        <x:v>待M阶段冻结</x:v>
      </x:c>
      <x:c r="H248" s="17" t="str">
        <x:v>INTERNAL</x:v>
      </x:c>
      <x:c r="I248" s="17" t="str">
        <x:v>按资源权限与数据域访问；公开DTO另行白名单</x:v>
      </x:c>
      <x:c r="J248" s="17" t="str">
        <x:v>数据库实体不得直接序列化为响应</x:v>
      </x:c>
      <x:c r="K248" s="17" t="str">
        <x:v>DTO白名单；长度/枚举/归属/状态校验；禁止信任客户端派生值</x:v>
      </x:c>
      <x:c r="L248" s="17" t="str">
        <x:v>按实体version或审计日志保留变更证据</x:v>
      </x:c>
      <x:c r="M248" s="4" t="str">
        <x:v>M2</x:v>
      </x:c>
      <x:c r="N248" s="4" t="str">
        <x:v>P0-006,P0-007,P0-008,P0-061</x:v>
      </x:c>
      <x:c r="O248" s="4" t="str">
        <x:v>综合方案§13核心数据模型</x:v>
      </x:c>
      <x:c r="P248" s="4" t="str">
        <x:v>DRAFT_FROM_SCHEME</x:v>
      </x:c>
    </x:row>
    <x:row r="249" ht="23" customHeight="1">
      <x:c r="A249" s="4" t="str">
        <x:v>SupplierProduct</x:v>
      </x:c>
      <x:c r="B249" s="4" t="str">
        <x:v>supplierId</x:v>
      </x:c>
      <x:c r="C249" s="17" t="str">
        <x:v>supplierId</x:v>
      </x:c>
      <x:c r="D249" s="4" t="str">
        <x:v>2</x:v>
      </x:c>
      <x:c r="E249" s="4" t="str">
        <x:v>String/UUID</x:v>
      </x:c>
      <x:c r="F249" s="4" t="str">
        <x:v>YES</x:v>
      </x:c>
      <x:c r="G249" s="4" t="str">
        <x:v>待M阶段冻结</x:v>
      </x:c>
      <x:c r="H249" s="17" t="str">
        <x:v>INTERNAL</x:v>
      </x:c>
      <x:c r="I249" s="17" t="str">
        <x:v>按资源权限与数据域访问；公开DTO另行白名单</x:v>
      </x:c>
      <x:c r="J249" s="17" t="str">
        <x:v>数据库实体不得直接序列化为响应</x:v>
      </x:c>
      <x:c r="K249" s="17" t="str">
        <x:v>DTO白名单；长度/枚举/归属/状态校验；禁止信任客户端派生值</x:v>
      </x:c>
      <x:c r="L249" s="17" t="str">
        <x:v>按实体version或审计日志保留变更证据</x:v>
      </x:c>
      <x:c r="M249" s="4" t="str">
        <x:v>M2</x:v>
      </x:c>
      <x:c r="N249" s="4" t="str">
        <x:v>P0-006,P0-007,P0-008,P0-061</x:v>
      </x:c>
      <x:c r="O249" s="4" t="str">
        <x:v>综合方案§13核心数据模型</x:v>
      </x:c>
      <x:c r="P249" s="4" t="str">
        <x:v>DRAFT_FROM_SCHEME</x:v>
      </x:c>
    </x:row>
    <x:row r="250" ht="23" customHeight="1">
      <x:c r="A250" s="4" t="str">
        <x:v>SupplierProduct</x:v>
      </x:c>
      <x:c r="B250" s="4" t="str">
        <x:v>categoryId</x:v>
      </x:c>
      <x:c r="C250" s="17" t="str">
        <x:v>categoryId</x:v>
      </x:c>
      <x:c r="D250" s="4" t="str">
        <x:v>3</x:v>
      </x:c>
      <x:c r="E250" s="4" t="str">
        <x:v>String/UUID</x:v>
      </x:c>
      <x:c r="F250" s="4" t="str">
        <x:v>YES</x:v>
      </x:c>
      <x:c r="G250" s="4" t="str">
        <x:v>待M阶段冻结</x:v>
      </x:c>
      <x:c r="H250" s="17" t="str">
        <x:v>INTERNAL</x:v>
      </x:c>
      <x:c r="I250" s="17" t="str">
        <x:v>按资源权限与数据域访问；公开DTO另行白名单</x:v>
      </x:c>
      <x:c r="J250" s="17" t="str">
        <x:v>数据库实体不得直接序列化为响应</x:v>
      </x:c>
      <x:c r="K250" s="17" t="str">
        <x:v>DTO白名单；长度/枚举/归属/状态校验；禁止信任客户端派生值</x:v>
      </x:c>
      <x:c r="L250" s="17" t="str">
        <x:v>按实体version或审计日志保留变更证据</x:v>
      </x:c>
      <x:c r="M250" s="4" t="str">
        <x:v>M2</x:v>
      </x:c>
      <x:c r="N250" s="4" t="str">
        <x:v>P0-006,P0-007,P0-008,P0-061</x:v>
      </x:c>
      <x:c r="O250" s="4" t="str">
        <x:v>综合方案§13核心数据模型</x:v>
      </x:c>
      <x:c r="P250" s="4" t="str">
        <x:v>DRAFT_FROM_SCHEME</x:v>
      </x:c>
    </x:row>
    <x:row r="251" ht="23" customHeight="1">
      <x:c r="A251" s="4" t="str">
        <x:v>SupplierProduct</x:v>
      </x:c>
      <x:c r="B251" s="4" t="str">
        <x:v>templateVersion</x:v>
      </x:c>
      <x:c r="C251" s="17" t="str">
        <x:v>templateVersion</x:v>
      </x:c>
      <x:c r="D251" s="4" t="str">
        <x:v>4</x:v>
      </x:c>
      <x:c r="E251" s="4" t="str">
        <x:v>Int</x:v>
      </x:c>
      <x:c r="F251" s="4" t="str">
        <x:v>YES</x:v>
      </x:c>
      <x:c r="G251" s="4" t="str">
        <x:v>待M阶段冻结</x:v>
      </x:c>
      <x:c r="H251" s="17" t="str">
        <x:v>PERSONAL_OR_SENSITIVE</x:v>
      </x:c>
      <x:c r="I251" s="17" t="str">
        <x:v>按角色、对象归属及配送阶段脱敏/解密</x:v>
      </x:c>
      <x:c r="J251" s="17" t="str">
        <x:v>禁止跨供应商、越阶段或批量无审批导出</x:v>
      </x:c>
      <x:c r="K251" s="17" t="str">
        <x:v>DTO白名单；长度/枚举/归属/状态校验；禁止信任客户端派生值</x:v>
      </x:c>
      <x:c r="L251" s="17" t="str">
        <x:v>按实体version或审计日志保留变更证据</x:v>
      </x:c>
      <x:c r="M251" s="4" t="str">
        <x:v>M2</x:v>
      </x:c>
      <x:c r="N251" s="4" t="str">
        <x:v>P0-006,P0-007,P0-008,P0-061</x:v>
      </x:c>
      <x:c r="O251" s="4" t="str">
        <x:v>综合方案§13核心数据模型</x:v>
      </x:c>
      <x:c r="P251" s="4" t="str">
        <x:v>DRAFT_FROM_SCHEME</x:v>
      </x:c>
    </x:row>
    <x:row r="252" ht="23" customHeight="1">
      <x:c r="A252" s="4" t="str">
        <x:v>SupplierProduct</x:v>
      </x:c>
      <x:c r="B252" s="4" t="str">
        <x:v>name</x:v>
      </x:c>
      <x:c r="C252" s="17" t="str">
        <x:v>name</x:v>
      </x:c>
      <x:c r="D252" s="4" t="str">
        <x:v>5</x:v>
      </x:c>
      <x:c r="E252" s="4" t="str">
        <x:v>String</x:v>
      </x:c>
      <x:c r="F252" s="4" t="str">
        <x:v>YES</x:v>
      </x:c>
      <x:c r="G252" s="4" t="str">
        <x:v>待M阶段冻结</x:v>
      </x:c>
      <x:c r="H252" s="17" t="str">
        <x:v>INTERNAL</x:v>
      </x:c>
      <x:c r="I252" s="17" t="str">
        <x:v>按资源权限与数据域访问；公开DTO另行白名单</x:v>
      </x:c>
      <x:c r="J252" s="17" t="str">
        <x:v>数据库实体不得直接序列化为响应</x:v>
      </x:c>
      <x:c r="K252" s="17" t="str">
        <x:v>DTO白名单；长度/枚举/归属/状态校验；禁止信任客户端派生值</x:v>
      </x:c>
      <x:c r="L252" s="17" t="str">
        <x:v>按实体version或审计日志保留变更证据</x:v>
      </x:c>
      <x:c r="M252" s="4" t="str">
        <x:v>M2</x:v>
      </x:c>
      <x:c r="N252" s="4" t="str">
        <x:v>P0-006,P0-007,P0-008,P0-061</x:v>
      </x:c>
      <x:c r="O252" s="4" t="str">
        <x:v>综合方案§13核心数据模型</x:v>
      </x:c>
      <x:c r="P252" s="4" t="str">
        <x:v>DRAFT_FROM_SCHEME</x:v>
      </x:c>
    </x:row>
    <x:row r="253" ht="23" customHeight="1">
      <x:c r="A253" s="4" t="str">
        <x:v>SupplierProduct</x:v>
      </x:c>
      <x:c r="B253" s="4" t="str">
        <x:v>brand</x:v>
      </x:c>
      <x:c r="C253" s="17" t="str">
        <x:v>brand?</x:v>
      </x:c>
      <x:c r="D253" s="4" t="str">
        <x:v>6</x:v>
      </x:c>
      <x:c r="E253" s="4" t="str">
        <x:v>String</x:v>
      </x:c>
      <x:c r="F253" s="4" t="str">
        <x:v>NO</x:v>
      </x:c>
      <x:c r="G253" s="4" t="str">
        <x:v>待M阶段冻结</x:v>
      </x:c>
      <x:c r="H253" s="17" t="str">
        <x:v>INTERNAL</x:v>
      </x:c>
      <x:c r="I253" s="17" t="str">
        <x:v>按资源权限与数据域访问；公开DTO另行白名单</x:v>
      </x:c>
      <x:c r="J253" s="17" t="str">
        <x:v>数据库实体不得直接序列化为响应</x:v>
      </x:c>
      <x:c r="K253" s="17" t="str">
        <x:v>DTO白名单；长度/枚举/归属/状态校验；禁止信任客户端派生值</x:v>
      </x:c>
      <x:c r="L253" s="17" t="str">
        <x:v>按实体version或审计日志保留变更证据</x:v>
      </x:c>
      <x:c r="M253" s="4" t="str">
        <x:v>M2</x:v>
      </x:c>
      <x:c r="N253" s="4" t="str">
        <x:v>P0-006,P0-007,P0-008,P0-061</x:v>
      </x:c>
      <x:c r="O253" s="4" t="str">
        <x:v>综合方案§13核心数据模型</x:v>
      </x:c>
      <x:c r="P253" s="4" t="str">
        <x:v>DRAFT_FROM_SCHEME</x:v>
      </x:c>
    </x:row>
    <x:row r="254" ht="23" customHeight="1">
      <x:c r="A254" s="4" t="str">
        <x:v>SupplierProduct</x:v>
      </x:c>
      <x:c r="B254" s="4" t="str">
        <x:v>attributes</x:v>
      </x:c>
      <x:c r="C254" s="17" t="str">
        <x:v>attributes</x:v>
      </x:c>
      <x:c r="D254" s="4" t="str">
        <x:v>7</x:v>
      </x:c>
      <x:c r="E254" s="4" t="str">
        <x:v>Json</x:v>
      </x:c>
      <x:c r="F254" s="4" t="str">
        <x:v>YES</x:v>
      </x:c>
      <x:c r="G254" s="4" t="str">
        <x:v>待M阶段冻结</x:v>
      </x:c>
      <x:c r="H254" s="17" t="str">
        <x:v>INTERNAL</x:v>
      </x:c>
      <x:c r="I254" s="17" t="str">
        <x:v>按资源权限与数据域访问；公开DTO另行白名单</x:v>
      </x:c>
      <x:c r="J254" s="17" t="str">
        <x:v>数据库实体不得直接序列化为响应</x:v>
      </x:c>
      <x:c r="K254" s="17" t="str">
        <x:v>DTO白名单；长度/枚举/归属/状态校验；禁止信任客户端派生值</x:v>
      </x:c>
      <x:c r="L254" s="17" t="str">
        <x:v>按实体version或审计日志保留变更证据</x:v>
      </x:c>
      <x:c r="M254" s="4" t="str">
        <x:v>M2</x:v>
      </x:c>
      <x:c r="N254" s="4" t="str">
        <x:v>P0-006,P0-007,P0-008,P0-061</x:v>
      </x:c>
      <x:c r="O254" s="4" t="str">
        <x:v>综合方案§13核心数据模型</x:v>
      </x:c>
      <x:c r="P254" s="4" t="str">
        <x:v>DRAFT_FROM_SCHEME</x:v>
      </x:c>
    </x:row>
    <x:row r="255" ht="23" customHeight="1">
      <x:c r="A255" s="4" t="str">
        <x:v>SupplierProduct</x:v>
      </x:c>
      <x:c r="B255" s="4" t="str">
        <x:v>qualificationSnapshot</x:v>
      </x:c>
      <x:c r="C255" s="17" t="str">
        <x:v>qualificationSnapshot</x:v>
      </x:c>
      <x:c r="D255" s="4" t="str">
        <x:v>8</x:v>
      </x:c>
      <x:c r="E255" s="4" t="str">
        <x:v>Json</x:v>
      </x:c>
      <x:c r="F255" s="4" t="str">
        <x:v>YES</x:v>
      </x:c>
      <x:c r="G255" s="4" t="str">
        <x:v>待M阶段冻结</x:v>
      </x:c>
      <x:c r="H255" s="17" t="str">
        <x:v>INTERNAL</x:v>
      </x:c>
      <x:c r="I255" s="17" t="str">
        <x:v>按资源权限与数据域访问；公开DTO另行白名单</x:v>
      </x:c>
      <x:c r="J255" s="17" t="str">
        <x:v>数据库实体不得直接序列化为响应</x:v>
      </x:c>
      <x:c r="K255" s="17" t="str">
        <x:v>DTO白名单；长度/枚举/归属/状态校验；禁止信任客户端派生值</x:v>
      </x:c>
      <x:c r="L255" s="17" t="str">
        <x:v>按实体version或审计日志保留变更证据</x:v>
      </x:c>
      <x:c r="M255" s="4" t="str">
        <x:v>M2</x:v>
      </x:c>
      <x:c r="N255" s="4" t="str">
        <x:v>P0-006,P0-007,P0-008,P0-061</x:v>
      </x:c>
      <x:c r="O255" s="4" t="str">
        <x:v>综合方案§13核心数据模型</x:v>
      </x:c>
      <x:c r="P255" s="4" t="str">
        <x:v>DRAFT_FROM_SCHEME</x:v>
      </x:c>
    </x:row>
    <x:row r="256" ht="23" customHeight="1">
      <x:c r="A256" s="4" t="str">
        <x:v>SupplierProduct</x:v>
      </x:c>
      <x:c r="B256" s="4" t="str">
        <x:v>isRetailEnabled</x:v>
      </x:c>
      <x:c r="C256" s="17" t="str">
        <x:v>isRetailEnabled</x:v>
      </x:c>
      <x:c r="D256" s="4" t="str">
        <x:v>9</x:v>
      </x:c>
      <x:c r="E256" s="4" t="str">
        <x:v>Boolean</x:v>
      </x:c>
      <x:c r="F256" s="4" t="str">
        <x:v>YES</x:v>
      </x:c>
      <x:c r="G256" s="4" t="str">
        <x:v>待M阶段冻结</x:v>
      </x:c>
      <x:c r="H256" s="17" t="str">
        <x:v>INTERNAL</x:v>
      </x:c>
      <x:c r="I256" s="17" t="str">
        <x:v>按资源权限与数据域访问；公开DTO另行白名单</x:v>
      </x:c>
      <x:c r="J256" s="17" t="str">
        <x:v>数据库实体不得直接序列化为响应</x:v>
      </x:c>
      <x:c r="K256" s="17" t="str">
        <x:v>DTO白名单；长度/枚举/归属/状态校验；禁止信任客户端派生值</x:v>
      </x:c>
      <x:c r="L256" s="17" t="str">
        <x:v>按实体version或审计日志保留变更证据</x:v>
      </x:c>
      <x:c r="M256" s="4" t="str">
        <x:v>M2</x:v>
      </x:c>
      <x:c r="N256" s="4" t="str">
        <x:v>P0-006,P0-007,P0-008,P0-061</x:v>
      </x:c>
      <x:c r="O256" s="4" t="str">
        <x:v>综合方案§13核心数据模型</x:v>
      </x:c>
      <x:c r="P256" s="4" t="str">
        <x:v>DRAFT_FROM_SCHEME</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待M阶段冻结</x:v>
      </x:c>
      <x:c r="H257" s="17" t="str">
        <x:v>INTERNAL</x:v>
      </x:c>
      <x:c r="I257" s="17" t="str">
        <x:v>按资源权限与数据域访问；公开DTO另行白名单</x:v>
      </x:c>
      <x:c r="J257" s="17" t="str">
        <x:v>数据库实体不得直接序列化为响应</x:v>
      </x:c>
      <x:c r="K257" s="17" t="str">
        <x:v>DTO白名单；长度/枚举/归属/状态校验；禁止信任客户端派生值</x:v>
      </x:c>
      <x:c r="L257" s="17" t="str">
        <x:v>按实体version或审计日志保留变更证据</x:v>
      </x:c>
      <x:c r="M257" s="4" t="str">
        <x:v>M2</x:v>
      </x:c>
      <x:c r="N257" s="4" t="str">
        <x:v>P0-006,P0-007,P0-008,P0-061</x:v>
      </x:c>
      <x:c r="O257" s="4" t="str">
        <x:v>综合方案§13核心数据模型</x:v>
      </x:c>
      <x:c r="P257" s="4" t="str">
        <x:v>DRAFT_FROM_SCHEME</x:v>
      </x:c>
    </x:row>
    <x:row r="258" ht="23" customHeight="1">
      <x:c r="A258" s="4" t="str">
        <x:v>SupplierProduct</x:v>
      </x:c>
      <x:c r="B258" s="4" t="str">
        <x:v>enterpriseMinOrderQty</x:v>
      </x:c>
      <x:c r="C258" s="17" t="str">
        <x:v>enterpriseMinOrderQty</x:v>
      </x:c>
      <x:c r="D258" s="4" t="str">
        <x:v>11</x:v>
      </x:c>
      <x:c r="E258" s="4" t="str">
        <x:v>Int</x:v>
      </x:c>
      <x:c r="F258" s="4" t="str">
        <x:v>YES</x:v>
      </x:c>
      <x:c r="G258" s="4" t="str">
        <x:v>待M阶段冻结</x:v>
      </x:c>
      <x:c r="H258" s="17" t="str">
        <x:v>INTERNAL</x:v>
      </x:c>
      <x:c r="I258" s="17" t="str">
        <x:v>按资源权限与数据域访问；公开DTO另行白名单</x:v>
      </x:c>
      <x:c r="J258" s="17" t="str">
        <x:v>数据库实体不得直接序列化为响应</x:v>
      </x:c>
      <x:c r="K258" s="17" t="str">
        <x:v>DTO白名单；长度/枚举/归属/状态校验；禁止信任客户端派生值</x:v>
      </x:c>
      <x:c r="L258" s="17" t="str">
        <x:v>按实体version或审计日志保留变更证据</x:v>
      </x:c>
      <x:c r="M258" s="4" t="str">
        <x:v>M2</x:v>
      </x:c>
      <x:c r="N258" s="4" t="str">
        <x:v>P0-006,P0-007,P0-008,P0-061</x:v>
      </x:c>
      <x:c r="O258" s="4" t="str">
        <x:v>综合方案§13核心数据模型</x:v>
      </x:c>
      <x:c r="P258" s="4" t="str">
        <x:v>DRAFT_FROM_SCHEME</x:v>
      </x:c>
    </x:row>
    <x:row r="259" ht="23" customHeight="1">
      <x:c r="A259" s="4" t="str">
        <x:v>SupplierProduct</x:v>
      </x:c>
      <x:c r="B259" s="4" t="str">
        <x:v>enterprisePackageMultiple</x:v>
      </x:c>
      <x:c r="C259" s="17" t="str">
        <x:v>enterprisePackageMultiple</x:v>
      </x:c>
      <x:c r="D259" s="4" t="str">
        <x:v>12</x:v>
      </x:c>
      <x:c r="E259" s="4" t="str">
        <x:v>String</x:v>
      </x:c>
      <x:c r="F259" s="4" t="str">
        <x:v>YES</x:v>
      </x:c>
      <x:c r="G259" s="4" t="str">
        <x:v>待M阶段冻结</x:v>
      </x:c>
      <x:c r="H259" s="17" t="str">
        <x:v>PERSONAL_OR_SENSITIVE</x:v>
      </x:c>
      <x:c r="I259" s="17" t="str">
        <x:v>按角色、对象归属及配送阶段脱敏/解密</x:v>
      </x:c>
      <x:c r="J259" s="17" t="str">
        <x:v>禁止跨供应商、越阶段或批量无审批导出</x:v>
      </x:c>
      <x:c r="K259" s="17" t="str">
        <x:v>DTO白名单；长度/枚举/归属/状态校验；禁止信任客户端派生值</x:v>
      </x:c>
      <x:c r="L259" s="17" t="str">
        <x:v>按实体version或审计日志保留变更证据</x:v>
      </x:c>
      <x:c r="M259" s="4" t="str">
        <x:v>M2</x:v>
      </x:c>
      <x:c r="N259" s="4" t="str">
        <x:v>P0-006,P0-007,P0-008,P0-061</x:v>
      </x:c>
      <x:c r="O259" s="4" t="str">
        <x:v>综合方案§13核心数据模型</x:v>
      </x:c>
      <x:c r="P259" s="4" t="str">
        <x:v>DRAFT_FROM_SCHEME</x:v>
      </x:c>
    </x:row>
    <x:row r="260" ht="23" customHeight="1">
      <x:c r="A260" s="4" t="str">
        <x:v>SupplierProduct</x:v>
      </x:c>
      <x:c r="B260" s="4" t="str">
        <x:v>preparationMinutes</x:v>
      </x:c>
      <x:c r="C260" s="17" t="str">
        <x:v>preparationMinutes</x:v>
      </x:c>
      <x:c r="D260" s="4" t="str">
        <x:v>13</x:v>
      </x:c>
      <x:c r="E260" s="4" t="str">
        <x:v>Int</x:v>
      </x:c>
      <x:c r="F260" s="4" t="str">
        <x:v>YES</x:v>
      </x:c>
      <x:c r="G260" s="4" t="str">
        <x:v>待M阶段冻结</x:v>
      </x:c>
      <x:c r="H260" s="17" t="str">
        <x:v>INTERNAL</x:v>
      </x:c>
      <x:c r="I260" s="17" t="str">
        <x:v>按资源权限与数据域访问；公开DTO另行白名单</x:v>
      </x:c>
      <x:c r="J260" s="17" t="str">
        <x:v>数据库实体不得直接序列化为响应</x:v>
      </x:c>
      <x:c r="K260" s="17" t="str">
        <x:v>DTO白名单；长度/枚举/归属/状态校验；禁止信任客户端派生值</x:v>
      </x:c>
      <x:c r="L260" s="17" t="str">
        <x:v>按实体version或审计日志保留变更证据</x:v>
      </x:c>
      <x:c r="M260" s="4" t="str">
        <x:v>M2</x:v>
      </x:c>
      <x:c r="N260" s="4" t="str">
        <x:v>P0-006,P0-007,P0-008,P0-061</x:v>
      </x:c>
      <x:c r="O260" s="4" t="str">
        <x:v>综合方案§13核心数据模型</x:v>
      </x:c>
      <x:c r="P260" s="4" t="str">
        <x:v>DRAFT_FROM_SCHEME</x:v>
      </x:c>
    </x:row>
    <x:row r="261" ht="23" customHeight="1">
      <x:c r="A261" s="4" t="str">
        <x:v>SupplierProduct</x:v>
      </x:c>
      <x:c r="B261" s="4" t="str">
        <x:v>status</x:v>
      </x:c>
      <x:c r="C261" s="17" t="str">
        <x:v>status</x:v>
      </x:c>
      <x:c r="D261" s="4" t="str">
        <x:v>14</x:v>
      </x:c>
      <x:c r="E261" s="4" t="str">
        <x:v>Enum/String</x:v>
      </x:c>
      <x:c r="F261" s="4" t="str">
        <x:v>YES</x:v>
      </x:c>
      <x:c r="G261" s="4" t="str">
        <x:v>待M阶段冻结</x:v>
      </x:c>
      <x:c r="H261" s="17" t="str">
        <x:v>INTERNAL</x:v>
      </x:c>
      <x:c r="I261" s="17" t="str">
        <x:v>按资源权限与数据域访问；公开DTO另行白名单</x:v>
      </x:c>
      <x:c r="J261" s="17" t="str">
        <x:v>数据库实体不得直接序列化为响应</x:v>
      </x:c>
      <x:c r="K261" s="17" t="str">
        <x:v>DTO白名单；长度/枚举/归属/状态校验；禁止信任客户端派生值</x:v>
      </x:c>
      <x:c r="L261" s="17" t="str">
        <x:v>按实体version或审计日志保留变更证据</x:v>
      </x:c>
      <x:c r="M261" s="4" t="str">
        <x:v>M2</x:v>
      </x:c>
      <x:c r="N261" s="4" t="str">
        <x:v>P0-006,P0-007,P0-008,P0-061</x:v>
      </x:c>
      <x:c r="O261" s="4" t="str">
        <x:v>综合方案§13核心数据模型</x:v>
      </x:c>
      <x:c r="P261" s="4" t="str">
        <x:v>DRAFT_FROM_SCHEME</x:v>
      </x:c>
    </x:row>
    <x:row r="262" ht="23" customHeight="1">
      <x:c r="A262" s="4" t="str">
        <x:v>SupplierProduct</x:v>
      </x:c>
      <x:c r="B262" s="4" t="str">
        <x:v>version</x:v>
      </x:c>
      <x:c r="C262" s="17" t="str">
        <x:v>version</x:v>
      </x:c>
      <x:c r="D262" s="4" t="str">
        <x:v>15</x:v>
      </x:c>
      <x:c r="E262" s="4" t="str">
        <x:v>Int</x:v>
      </x:c>
      <x:c r="F262" s="4" t="str">
        <x:v>YES</x:v>
      </x:c>
      <x:c r="G262" s="4" t="str">
        <x:v>待M阶段冻结</x:v>
      </x:c>
      <x:c r="H262" s="17" t="str">
        <x:v>INTERNAL</x:v>
      </x:c>
      <x:c r="I262" s="17" t="str">
        <x:v>按资源权限与数据域访问；公开DTO另行白名单</x:v>
      </x:c>
      <x:c r="J262" s="17" t="str">
        <x:v>数据库实体不得直接序列化为响应</x:v>
      </x:c>
      <x:c r="K262" s="17" t="str">
        <x:v>DTO白名单；长度/枚举/归属/状态校验；禁止信任客户端派生值</x:v>
      </x:c>
      <x:c r="L262" s="17" t="str">
        <x:v>按实体version或审计日志保留变更证据</x:v>
      </x:c>
      <x:c r="M262" s="4" t="str">
        <x:v>M2</x:v>
      </x:c>
      <x:c r="N262" s="4" t="str">
        <x:v>P0-006,P0-007,P0-008,P0-061</x:v>
      </x:c>
      <x:c r="O262" s="4" t="str">
        <x:v>综合方案§13核心数据模型</x:v>
      </x:c>
      <x:c r="P262" s="4" t="str">
        <x:v>DRAFT_FROM_SCHEME</x:v>
      </x:c>
    </x:row>
    <x:row r="263" ht="23" customHeight="1">
      <x:c r="A263" s="4" t="str">
        <x:v>SupplierProductSku</x:v>
      </x:c>
      <x:c r="B263" s="4" t="str">
        <x:v>id</x:v>
      </x:c>
      <x:c r="C263" s="17" t="str">
        <x:v>id</x:v>
      </x:c>
      <x:c r="D263" s="4" t="str">
        <x:v>1</x:v>
      </x:c>
      <x:c r="E263" s="4" t="str">
        <x:v>String/UUID</x:v>
      </x:c>
      <x:c r="F263" s="4" t="str">
        <x:v>YES</x:v>
      </x:c>
      <x:c r="G263" s="4" t="str">
        <x:v>待M阶段冻结</x:v>
      </x:c>
      <x:c r="H263" s="17" t="str">
        <x:v>INTERNAL</x:v>
      </x:c>
      <x:c r="I263" s="17" t="str">
        <x:v>按资源权限与数据域访问；公开DTO另行白名单</x:v>
      </x:c>
      <x:c r="J263" s="17" t="str">
        <x:v>数据库实体不得直接序列化为响应</x:v>
      </x:c>
      <x:c r="K263" s="17" t="str">
        <x:v>DTO白名单；长度/枚举/归属/状态校验；禁止信任客户端派生值</x:v>
      </x:c>
      <x:c r="L263" s="17" t="str">
        <x:v>按实体version或审计日志保留变更证据</x:v>
      </x:c>
      <x:c r="M263" s="4" t="str">
        <x:v>M2</x:v>
      </x:c>
      <x:c r="N263" s="4" t="str">
        <x:v>待切片细化</x:v>
      </x:c>
      <x:c r="O263" s="4" t="str">
        <x:v>综合方案§13核心数据模型</x:v>
      </x:c>
      <x:c r="P263" s="4" t="str">
        <x:v>DRAFT_FROM_SCHEME</x:v>
      </x:c>
    </x:row>
    <x:row r="264" ht="23" customHeight="1">
      <x:c r="A264" s="4" t="str">
        <x:v>SupplierProductSku</x:v>
      </x:c>
      <x:c r="B264" s="4" t="str">
        <x:v>supplierProductId</x:v>
      </x:c>
      <x:c r="C264" s="17" t="str">
        <x:v>supplierProductId</x:v>
      </x:c>
      <x:c r="D264" s="4" t="str">
        <x:v>2</x:v>
      </x:c>
      <x:c r="E264" s="4" t="str">
        <x:v>String/UUID</x:v>
      </x:c>
      <x:c r="F264" s="4" t="str">
        <x:v>YES</x:v>
      </x:c>
      <x:c r="G264" s="4" t="str">
        <x:v>待M阶段冻结</x:v>
      </x:c>
      <x:c r="H264" s="17" t="str">
        <x:v>INTERNAL</x:v>
      </x:c>
      <x:c r="I264" s="17" t="str">
        <x:v>按资源权限与数据域访问；公开DTO另行白名单</x:v>
      </x:c>
      <x:c r="J264" s="17" t="str">
        <x:v>数据库实体不得直接序列化为响应</x:v>
      </x:c>
      <x:c r="K264" s="17" t="str">
        <x:v>DTO白名单；长度/枚举/归属/状态校验；禁止信任客户端派生值</x:v>
      </x:c>
      <x:c r="L264" s="17" t="str">
        <x:v>按实体version或审计日志保留变更证据</x:v>
      </x:c>
      <x:c r="M264" s="4" t="str">
        <x:v>M2</x:v>
      </x:c>
      <x:c r="N264" s="4" t="str">
        <x:v>待切片细化</x:v>
      </x:c>
      <x:c r="O264" s="4" t="str">
        <x:v>综合方案§13核心数据模型</x:v>
      </x:c>
      <x:c r="P264" s="4" t="str">
        <x:v>DRAFT_FROM_SCHEME</x:v>
      </x:c>
    </x:row>
    <x:row r="265" ht="23" customHeight="1">
      <x:c r="A265" s="4" t="str">
        <x:v>SupplierProductSku</x:v>
      </x:c>
      <x:c r="B265" s="4" t="str">
        <x:v>supplierSkuCode</x:v>
      </x:c>
      <x:c r="C265" s="17" t="str">
        <x:v>supplierSkuCode</x:v>
      </x:c>
      <x:c r="D265" s="4" t="str">
        <x:v>3</x:v>
      </x:c>
      <x:c r="E265" s="4" t="str">
        <x:v>String</x:v>
      </x:c>
      <x:c r="F265" s="4" t="str">
        <x:v>YES</x:v>
      </x:c>
      <x:c r="G265" s="4" t="str">
        <x:v>待M阶段冻结</x:v>
      </x:c>
      <x:c r="H265" s="17" t="str">
        <x:v>INTERNAL</x:v>
      </x:c>
      <x:c r="I265" s="17" t="str">
        <x:v>按资源权限与数据域访问；公开DTO另行白名单</x:v>
      </x:c>
      <x:c r="J265" s="17" t="str">
        <x:v>数据库实体不得直接序列化为响应</x:v>
      </x:c>
      <x:c r="K265" s="17" t="str">
        <x:v>DTO白名单；长度/枚举/归属/状态校验；禁止信任客户端派生值</x:v>
      </x:c>
      <x:c r="L265" s="17" t="str">
        <x:v>按实体version或审计日志保留变更证据</x:v>
      </x:c>
      <x:c r="M265" s="4" t="str">
        <x:v>M2</x:v>
      </x:c>
      <x:c r="N265" s="4" t="str">
        <x:v>待切片细化</x:v>
      </x:c>
      <x:c r="O265" s="4" t="str">
        <x:v>综合方案§13核心数据模型</x:v>
      </x:c>
      <x:c r="P265" s="4" t="str">
        <x:v>DRAFT_FROM_SCHEME</x:v>
      </x:c>
    </x:row>
    <x:row r="266" ht="23" customHeight="1">
      <x:c r="A266" s="4" t="str">
        <x:v>SupplierProductSku</x:v>
      </x:c>
      <x:c r="B266" s="4" t="str">
        <x:v>attributes</x:v>
      </x:c>
      <x:c r="C266" s="17" t="str">
        <x:v>attributes</x:v>
      </x:c>
      <x:c r="D266" s="4" t="str">
        <x:v>4</x:v>
      </x:c>
      <x:c r="E266" s="4" t="str">
        <x:v>Json</x:v>
      </x:c>
      <x:c r="F266" s="4" t="str">
        <x:v>YES</x:v>
      </x:c>
      <x:c r="G266" s="4" t="str">
        <x:v>待M阶段冻结</x:v>
      </x:c>
      <x:c r="H266" s="17" t="str">
        <x:v>INTERNAL</x:v>
      </x:c>
      <x:c r="I266" s="17" t="str">
        <x:v>按资源权限与数据域访问；公开DTO另行白名单</x:v>
      </x:c>
      <x:c r="J266" s="17" t="str">
        <x:v>数据库实体不得直接序列化为响应</x:v>
      </x:c>
      <x:c r="K266" s="17" t="str">
        <x:v>DTO白名单；长度/枚举/归属/状态校验；禁止信任客户端派生值</x:v>
      </x:c>
      <x:c r="L266" s="17" t="str">
        <x:v>按实体version或审计日志保留变更证据</x:v>
      </x:c>
      <x:c r="M266" s="4" t="str">
        <x:v>M2</x:v>
      </x:c>
      <x:c r="N266" s="4" t="str">
        <x:v>待切片细化</x:v>
      </x:c>
      <x:c r="O266" s="4" t="str">
        <x:v>综合方案§13核心数据模型</x:v>
      </x:c>
      <x:c r="P266" s="4" t="str">
        <x:v>DRAFT_FROM_SCHEME</x:v>
      </x:c>
    </x:row>
    <x:row r="267" ht="23" customHeight="1">
      <x:c r="A267" s="4" t="str">
        <x:v>SupplierProductSku</x:v>
      </x:c>
      <x:c r="B267" s="4" t="str">
        <x:v>requestedSupplyPrice</x:v>
      </x:c>
      <x:c r="C267" s="17" t="str">
        <x:v>requestedSupplyPrice</x:v>
      </x:c>
      <x:c r="D267" s="4" t="str">
        <x:v>5</x:v>
      </x:c>
      <x:c r="E267" s="4" t="str">
        <x:v>Int(分)</x:v>
      </x:c>
      <x:c r="F267" s="4" t="str">
        <x:v>YES</x:v>
      </x:c>
      <x:c r="G267" s="4" t="str">
        <x:v>整数分</x:v>
      </x:c>
      <x:c r="H267" s="17" t="str">
        <x:v>STRICT_INTERNAL_SUPPLY_PRICE</x:v>
      </x:c>
      <x:c r="I267" s="17" t="str">
        <x:v>仅公司价格/财务及本供应商价格/财务职能可见</x:v>
      </x:c>
      <x:c r="J267" s="17" t="str">
        <x:v>禁止出现在消费者端、企业采购端、门户公开端及非授权日志</x:v>
      </x:c>
      <x:c r="K267" s="17" t="str">
        <x:v>DTO白名单；长度/枚举/归属/状态校验；禁止信任客户端派生值</x:v>
      </x:c>
      <x:c r="L267" s="17" t="str">
        <x:v>按实体version或审计日志保留变更证据</x:v>
      </x:c>
      <x:c r="M267" s="4" t="str">
        <x:v>M2</x:v>
      </x:c>
      <x:c r="N267" s="4" t="str">
        <x:v>待切片细化</x:v>
      </x:c>
      <x:c r="O267" s="4" t="str">
        <x:v>综合方案§13核心数据模型</x:v>
      </x:c>
      <x:c r="P267" s="4" t="str">
        <x:v>DRAFT_FROM_SCHEME</x:v>
      </x:c>
    </x:row>
    <x:row r="268" ht="23" customHeight="1">
      <x:c r="A268" s="4" t="str">
        <x:v>SupplierProductSku</x:v>
      </x:c>
      <x:c r="B268" s="4" t="str">
        <x:v>requestedRetailSalePrice</x:v>
      </x:c>
      <x:c r="C268" s="17" t="str">
        <x:v>requestedRetailSalePrice</x:v>
      </x:c>
      <x:c r="D268" s="4" t="str">
        <x:v>6</x:v>
      </x:c>
      <x:c r="E268" s="4" t="str">
        <x:v>Int(分)</x:v>
      </x:c>
      <x:c r="F268" s="4" t="str">
        <x:v>YES</x:v>
      </x:c>
      <x:c r="G268" s="4" t="str">
        <x:v>整数分</x:v>
      </x:c>
      <x:c r="H268" s="17" t="str">
        <x:v>INTERNAL</x:v>
      </x:c>
      <x:c r="I268" s="17" t="str">
        <x:v>按资源权限与数据域访问；公开DTO另行白名单</x:v>
      </x:c>
      <x:c r="J268" s="17" t="str">
        <x:v>数据库实体不得直接序列化为响应</x:v>
      </x:c>
      <x:c r="K268" s="17" t="str">
        <x:v>DTO白名单；长度/枚举/归属/状态校验；禁止信任客户端派生值</x:v>
      </x:c>
      <x:c r="L268" s="17" t="str">
        <x:v>按实体version或审计日志保留变更证据</x:v>
      </x:c>
      <x:c r="M268" s="4" t="str">
        <x:v>M2</x:v>
      </x:c>
      <x:c r="N268" s="4" t="str">
        <x:v>待切片细化</x:v>
      </x:c>
      <x:c r="O268" s="4" t="str">
        <x:v>综合方案§13核心数据模型</x:v>
      </x:c>
      <x:c r="P268" s="4" t="str">
        <x:v>DRAFT_FROM_SCHEME</x:v>
      </x:c>
    </x:row>
    <x:row r="269" ht="23" customHeight="1">
      <x:c r="A269" s="4" t="str">
        <x:v>SupplierProductSku</x:v>
      </x:c>
      <x:c r="B269" s="4" t="str">
        <x:v>requestedEnterpriseSalePrice</x:v>
      </x:c>
      <x:c r="C269" s="17" t="str">
        <x:v>requestedEnterpriseSalePrice</x:v>
      </x:c>
      <x:c r="D269" s="4" t="str">
        <x:v>7</x:v>
      </x:c>
      <x:c r="E269" s="4" t="str">
        <x:v>Int(分)</x:v>
      </x:c>
      <x:c r="F269" s="4" t="str">
        <x:v>YES</x:v>
      </x:c>
      <x:c r="G269" s="4" t="str">
        <x:v>整数分</x:v>
      </x:c>
      <x:c r="H269" s="17" t="str">
        <x:v>INTERNAL</x:v>
      </x:c>
      <x:c r="I269" s="17" t="str">
        <x:v>按资源权限与数据域访问；公开DTO另行白名单</x:v>
      </x:c>
      <x:c r="J269" s="17" t="str">
        <x:v>数据库实体不得直接序列化为响应</x:v>
      </x:c>
      <x:c r="K269" s="17" t="str">
        <x:v>DTO白名单；长度/枚举/归属/状态校验；禁止信任客户端派生值</x:v>
      </x:c>
      <x:c r="L269" s="17" t="str">
        <x:v>按实体version或审计日志保留变更证据</x:v>
      </x:c>
      <x:c r="M269" s="4" t="str">
        <x:v>M2</x:v>
      </x:c>
      <x:c r="N269" s="4" t="str">
        <x:v>待切片细化</x:v>
      </x:c>
      <x:c r="O269" s="4" t="str">
        <x:v>综合方案§13核心数据模型</x:v>
      </x:c>
      <x:c r="P269" s="4" t="str">
        <x:v>DRAFT_FROM_SCHEME</x:v>
      </x:c>
    </x:row>
    <x:row r="270" ht="23" customHeight="1">
      <x:c r="A270" s="4" t="str">
        <x:v>SupplierProductSku</x:v>
      </x:c>
      <x:c r="B270" s="4" t="str">
        <x:v>initialStock</x:v>
      </x:c>
      <x:c r="C270" s="17" t="str">
        <x:v>initialStock</x:v>
      </x:c>
      <x:c r="D270" s="4" t="str">
        <x:v>8</x:v>
      </x:c>
      <x:c r="E270" s="4" t="str">
        <x:v>String</x:v>
      </x:c>
      <x:c r="F270" s="4" t="str">
        <x:v>YES</x:v>
      </x:c>
      <x:c r="G270" s="4" t="str">
        <x:v>待M阶段冻结</x:v>
      </x:c>
      <x:c r="H270" s="17" t="str">
        <x:v>INTERNAL</x:v>
      </x:c>
      <x:c r="I270" s="17" t="str">
        <x:v>按资源权限与数据域访问；公开DTO另行白名单</x:v>
      </x:c>
      <x:c r="J270" s="17" t="str">
        <x:v>数据库实体不得直接序列化为响应</x:v>
      </x:c>
      <x:c r="K270" s="17" t="str">
        <x:v>DTO白名单；长度/枚举/归属/状态校验；禁止信任客户端派生值</x:v>
      </x:c>
      <x:c r="L270" s="17" t="str">
        <x:v>按实体version或审计日志保留变更证据</x:v>
      </x:c>
      <x:c r="M270" s="4" t="str">
        <x:v>M2</x:v>
      </x:c>
      <x:c r="N270" s="4" t="str">
        <x:v>待切片细化</x:v>
      </x:c>
      <x:c r="O270" s="4" t="str">
        <x:v>综合方案§13核心数据模型</x:v>
      </x:c>
      <x:c r="P270" s="4" t="str">
        <x:v>DRAFT_FROM_SCHEME</x:v>
      </x:c>
    </x:row>
    <x:row r="271" ht="23" customHeight="1">
      <x:c r="A271" s="4" t="str">
        <x:v>SupplierProductSku</x:v>
      </x:c>
      <x:c r="B271" s="4" t="str">
        <x:v>status</x:v>
      </x:c>
      <x:c r="C271" s="17" t="str">
        <x:v>status</x:v>
      </x:c>
      <x:c r="D271" s="4" t="str">
        <x:v>9</x:v>
      </x:c>
      <x:c r="E271" s="4" t="str">
        <x:v>Enum/String</x:v>
      </x:c>
      <x:c r="F271" s="4" t="str">
        <x:v>YES</x:v>
      </x:c>
      <x:c r="G271" s="4" t="str">
        <x:v>待M阶段冻结</x:v>
      </x:c>
      <x:c r="H271" s="17" t="str">
        <x:v>INTERNAL</x:v>
      </x:c>
      <x:c r="I271" s="17" t="str">
        <x:v>按资源权限与数据域访问；公开DTO另行白名单</x:v>
      </x:c>
      <x:c r="J271" s="17" t="str">
        <x:v>数据库实体不得直接序列化为响应</x:v>
      </x:c>
      <x:c r="K271" s="17" t="str">
        <x:v>DTO白名单；长度/枚举/归属/状态校验；禁止信任客户端派生值</x:v>
      </x:c>
      <x:c r="L271" s="17" t="str">
        <x:v>按实体version或审计日志保留变更证据</x:v>
      </x:c>
      <x:c r="M271" s="4" t="str">
        <x:v>M2</x:v>
      </x:c>
      <x:c r="N271" s="4" t="str">
        <x:v>待切片细化</x:v>
      </x:c>
      <x:c r="O271" s="4" t="str">
        <x:v>综合方案§13核心数据模型</x:v>
      </x:c>
      <x:c r="P271" s="4" t="str">
        <x:v>DRAFT_FROM_SCHEME</x:v>
      </x:c>
    </x:row>
    <x:row r="272" ht="23" customHeight="1">
      <x:c r="A272" s="4" t="str">
        <x:v>Product</x:v>
      </x:c>
      <x:c r="B272" s="4" t="str">
        <x:v>id</x:v>
      </x:c>
      <x:c r="C272" s="17" t="str">
        <x:v>id</x:v>
      </x:c>
      <x:c r="D272" s="4" t="str">
        <x:v>1</x:v>
      </x:c>
      <x:c r="E272" s="4" t="str">
        <x:v>String/UUID</x:v>
      </x:c>
      <x:c r="F272" s="4" t="str">
        <x:v>YES</x:v>
      </x:c>
      <x:c r="G272" s="4" t="str">
        <x:v>待M阶段冻结</x:v>
      </x:c>
      <x:c r="H272" s="17" t="str">
        <x:v>INTERNAL</x:v>
      </x:c>
      <x:c r="I272" s="17" t="str">
        <x:v>按资源权限与数据域访问；公开DTO另行白名单</x:v>
      </x:c>
      <x:c r="J272" s="17" t="str">
        <x:v>数据库实体不得直接序列化为响应</x:v>
      </x:c>
      <x:c r="K272" s="17" t="str">
        <x:v>DTO白名单；长度/枚举/归属/状态校验；禁止信任客户端派生值</x:v>
      </x:c>
      <x:c r="L272" s="17" t="str">
        <x:v>按实体version或审计日志保留变更证据</x:v>
      </x:c>
      <x:c r="M272" s="4" t="str">
        <x:v>M2</x:v>
      </x:c>
      <x:c r="N272" s="4" t="str">
        <x:v>待切片细化</x:v>
      </x:c>
      <x:c r="O272" s="4" t="str">
        <x:v>综合方案§13核心数据模型</x:v>
      </x:c>
      <x:c r="P272" s="4" t="str">
        <x:v>DRAFT_FROM_SCHEME</x:v>
      </x:c>
    </x:row>
    <x:row r="273" ht="23" customHeight="1">
      <x:c r="A273" s="4" t="str">
        <x:v>Product</x:v>
      </x:c>
      <x:c r="B273" s="4" t="str">
        <x:v>companyId</x:v>
      </x:c>
      <x:c r="C273" s="17" t="str">
        <x:v>companyId</x:v>
      </x:c>
      <x:c r="D273" s="4" t="str">
        <x:v>2</x:v>
      </x:c>
      <x:c r="E273" s="4" t="str">
        <x:v>String/UUID</x:v>
      </x:c>
      <x:c r="F273" s="4" t="str">
        <x:v>YES</x:v>
      </x:c>
      <x:c r="G273" s="4" t="str">
        <x:v>待M阶段冻结</x:v>
      </x:c>
      <x:c r="H273" s="17" t="str">
        <x:v>INTERNAL</x:v>
      </x:c>
      <x:c r="I273" s="17" t="str">
        <x:v>按资源权限与数据域访问；公开DTO另行白名单</x:v>
      </x:c>
      <x:c r="J273" s="17" t="str">
        <x:v>数据库实体不得直接序列化为响应</x:v>
      </x:c>
      <x:c r="K273" s="17" t="str">
        <x:v>DTO白名单；长度/枚举/归属/状态校验；禁止信任客户端派生值</x:v>
      </x:c>
      <x:c r="L273" s="17" t="str">
        <x:v>按实体version或审计日志保留变更证据</x:v>
      </x:c>
      <x:c r="M273" s="4" t="str">
        <x:v>M2</x:v>
      </x:c>
      <x:c r="N273" s="4" t="str">
        <x:v>待切片细化</x:v>
      </x:c>
      <x:c r="O273" s="4" t="str">
        <x:v>综合方案§13核心数据模型</x:v>
      </x:c>
      <x:c r="P273" s="4" t="str">
        <x:v>DRAFT_FROM_SCHEME</x:v>
      </x:c>
    </x:row>
    <x:row r="274" ht="23" customHeight="1">
      <x:c r="A274" s="4" t="str">
        <x:v>Product</x:v>
      </x:c>
      <x:c r="B274" s="4" t="str">
        <x:v>supplierId</x:v>
      </x:c>
      <x:c r="C274" s="17" t="str">
        <x:v>supplierId</x:v>
      </x:c>
      <x:c r="D274" s="4" t="str">
        <x:v>3</x:v>
      </x:c>
      <x:c r="E274" s="4" t="str">
        <x:v>String/UUID</x:v>
      </x:c>
      <x:c r="F274" s="4" t="str">
        <x:v>YES</x:v>
      </x:c>
      <x:c r="G274" s="4" t="str">
        <x:v>待M阶段冻结</x:v>
      </x:c>
      <x:c r="H274" s="17" t="str">
        <x:v>INTERNAL</x:v>
      </x:c>
      <x:c r="I274" s="17" t="str">
        <x:v>按资源权限与数据域访问；公开DTO另行白名单</x:v>
      </x:c>
      <x:c r="J274" s="17" t="str">
        <x:v>数据库实体不得直接序列化为响应</x:v>
      </x:c>
      <x:c r="K274" s="17" t="str">
        <x:v>DTO白名单；长度/枚举/归属/状态校验；禁止信任客户端派生值</x:v>
      </x:c>
      <x:c r="L274" s="17" t="str">
        <x:v>按实体version或审计日志保留变更证据</x:v>
      </x:c>
      <x:c r="M274" s="4" t="str">
        <x:v>M2</x:v>
      </x:c>
      <x:c r="N274" s="4" t="str">
        <x:v>待切片细化</x:v>
      </x:c>
      <x:c r="O274" s="4" t="str">
        <x:v>综合方案§13核心数据模型</x:v>
      </x:c>
      <x:c r="P274" s="4" t="str">
        <x:v>DRAFT_FROM_SCHEME</x:v>
      </x:c>
    </x:row>
    <x:row r="275" ht="23" customHeight="1">
      <x:c r="A275" s="4" t="str">
        <x:v>Product</x:v>
      </x:c>
      <x:c r="B275" s="4" t="str">
        <x:v>supplierProductId</x:v>
      </x:c>
      <x:c r="C275" s="17" t="str">
        <x:v>supplierProductId</x:v>
      </x:c>
      <x:c r="D275" s="4" t="str">
        <x:v>4</x:v>
      </x:c>
      <x:c r="E275" s="4" t="str">
        <x:v>String/UUID</x:v>
      </x:c>
      <x:c r="F275" s="4" t="str">
        <x:v>YES</x:v>
      </x:c>
      <x:c r="G275" s="4" t="str">
        <x:v>待M阶段冻结</x:v>
      </x:c>
      <x:c r="H275" s="17" t="str">
        <x:v>INTERNAL</x:v>
      </x:c>
      <x:c r="I275" s="17" t="str">
        <x:v>按资源权限与数据域访问；公开DTO另行白名单</x:v>
      </x:c>
      <x:c r="J275" s="17" t="str">
        <x:v>数据库实体不得直接序列化为响应</x:v>
      </x:c>
      <x:c r="K275" s="17" t="str">
        <x:v>DTO白名单；长度/枚举/归属/状态校验；禁止信任客户端派生值</x:v>
      </x:c>
      <x:c r="L275" s="17" t="str">
        <x:v>按实体version或审计日志保留变更证据</x:v>
      </x:c>
      <x:c r="M275" s="4" t="str">
        <x:v>M2</x:v>
      </x:c>
      <x:c r="N275" s="4" t="str">
        <x:v>待切片细化</x:v>
      </x:c>
      <x:c r="O275" s="4" t="str">
        <x:v>综合方案§13核心数据模型</x:v>
      </x:c>
      <x:c r="P275" s="4" t="str">
        <x:v>DRAFT_FROM_SCHEME</x:v>
      </x:c>
    </x:row>
    <x:row r="276" ht="23" customHeight="1">
      <x:c r="A276" s="4" t="str">
        <x:v>Product</x:v>
      </x:c>
      <x:c r="B276" s="4" t="str">
        <x:v>categoryId</x:v>
      </x:c>
      <x:c r="C276" s="17" t="str">
        <x:v>categoryId</x:v>
      </x:c>
      <x:c r="D276" s="4" t="str">
        <x:v>5</x:v>
      </x:c>
      <x:c r="E276" s="4" t="str">
        <x:v>String/UUID</x:v>
      </x:c>
      <x:c r="F276" s="4" t="str">
        <x:v>YES</x:v>
      </x:c>
      <x:c r="G276" s="4" t="str">
        <x:v>待M阶段冻结</x:v>
      </x:c>
      <x:c r="H276" s="17" t="str">
        <x:v>INTERNAL</x:v>
      </x:c>
      <x:c r="I276" s="17" t="str">
        <x:v>按资源权限与数据域访问；公开DTO另行白名单</x:v>
      </x:c>
      <x:c r="J276" s="17" t="str">
        <x:v>数据库实体不得直接序列化为响应</x:v>
      </x:c>
      <x:c r="K276" s="17" t="str">
        <x:v>DTO白名单；长度/枚举/归属/状态校验；禁止信任客户端派生值</x:v>
      </x:c>
      <x:c r="L276" s="17" t="str">
        <x:v>按实体version或审计日志保留变更证据</x:v>
      </x:c>
      <x:c r="M276" s="4" t="str">
        <x:v>M2</x:v>
      </x:c>
      <x:c r="N276" s="4" t="str">
        <x:v>待切片细化</x:v>
      </x:c>
      <x:c r="O276" s="4" t="str">
        <x:v>综合方案§13核心数据模型</x:v>
      </x:c>
      <x:c r="P276" s="4" t="str">
        <x:v>DRAFT_FROM_SCHEME</x:v>
      </x:c>
    </x:row>
    <x:row r="277" ht="23" customHeight="1">
      <x:c r="A277" s="4" t="str">
        <x:v>Product</x:v>
      </x:c>
      <x:c r="B277" s="4" t="str">
        <x:v>templateVersion</x:v>
      </x:c>
      <x:c r="C277" s="17" t="str">
        <x:v>templateVersion</x:v>
      </x:c>
      <x:c r="D277" s="4" t="str">
        <x:v>6</x:v>
      </x:c>
      <x:c r="E277" s="4" t="str">
        <x:v>Int</x:v>
      </x:c>
      <x:c r="F277" s="4" t="str">
        <x:v>YES</x:v>
      </x:c>
      <x:c r="G277" s="4" t="str">
        <x:v>待M阶段冻结</x:v>
      </x:c>
      <x:c r="H277" s="17" t="str">
        <x:v>PERSONAL_OR_SENSITIVE</x:v>
      </x:c>
      <x:c r="I277" s="17" t="str">
        <x:v>按角色、对象归属及配送阶段脱敏/解密</x:v>
      </x:c>
      <x:c r="J277" s="17" t="str">
        <x:v>禁止跨供应商、越阶段或批量无审批导出</x:v>
      </x:c>
      <x:c r="K277" s="17" t="str">
        <x:v>DTO白名单；长度/枚举/归属/状态校验；禁止信任客户端派生值</x:v>
      </x:c>
      <x:c r="L277" s="17" t="str">
        <x:v>按实体version或审计日志保留变更证据</x:v>
      </x:c>
      <x:c r="M277" s="4" t="str">
        <x:v>M2</x:v>
      </x:c>
      <x:c r="N277" s="4" t="str">
        <x:v>待切片细化</x:v>
      </x:c>
      <x:c r="O277" s="4" t="str">
        <x:v>综合方案§13核心数据模型</x:v>
      </x:c>
      <x:c r="P277" s="4" t="str">
        <x:v>DRAFT_FROM_SCHEME</x:v>
      </x:c>
    </x:row>
    <x:row r="278" ht="23" customHeight="1">
      <x:c r="A278" s="4" t="str">
        <x:v>Product</x:v>
      </x:c>
      <x:c r="B278" s="4" t="str">
        <x:v>name</x:v>
      </x:c>
      <x:c r="C278" s="17" t="str">
        <x:v>name</x:v>
      </x:c>
      <x:c r="D278" s="4" t="str">
        <x:v>7</x:v>
      </x:c>
      <x:c r="E278" s="4" t="str">
        <x:v>String</x:v>
      </x:c>
      <x:c r="F278" s="4" t="str">
        <x:v>YES</x:v>
      </x:c>
      <x:c r="G278" s="4" t="str">
        <x:v>待M阶段冻结</x:v>
      </x:c>
      <x:c r="H278" s="17" t="str">
        <x:v>INTERNAL</x:v>
      </x:c>
      <x:c r="I278" s="17" t="str">
        <x:v>按资源权限与数据域访问；公开DTO另行白名单</x:v>
      </x:c>
      <x:c r="J278" s="17" t="str">
        <x:v>数据库实体不得直接序列化为响应</x:v>
      </x:c>
      <x:c r="K278" s="17" t="str">
        <x:v>DTO白名单；长度/枚举/归属/状态校验；禁止信任客户端派生值</x:v>
      </x:c>
      <x:c r="L278" s="17" t="str">
        <x:v>按实体version或审计日志保留变更证据</x:v>
      </x:c>
      <x:c r="M278" s="4" t="str">
        <x:v>M2</x:v>
      </x:c>
      <x:c r="N278" s="4" t="str">
        <x:v>待切片细化</x:v>
      </x:c>
      <x:c r="O278" s="4" t="str">
        <x:v>综合方案§13核心数据模型</x:v>
      </x:c>
      <x:c r="P278" s="4" t="str">
        <x:v>DRAFT_FROM_SCHEME</x:v>
      </x:c>
    </x:row>
    <x:row r="279" ht="23" customHeight="1">
      <x:c r="A279" s="4" t="str">
        <x:v>Product</x:v>
      </x:c>
      <x:c r="B279" s="4" t="str">
        <x:v>saleStatus</x:v>
      </x:c>
      <x:c r="C279" s="17" t="str">
        <x:v>saleStatus</x:v>
      </x:c>
      <x:c r="D279" s="4" t="str">
        <x:v>8</x:v>
      </x:c>
      <x:c r="E279" s="4" t="str">
        <x:v>Enum/String</x:v>
      </x:c>
      <x:c r="F279" s="4" t="str">
        <x:v>YES</x:v>
      </x:c>
      <x:c r="G279" s="4" t="str">
        <x:v>待M阶段冻结</x:v>
      </x:c>
      <x:c r="H279" s="17" t="str">
        <x:v>INTERNAL</x:v>
      </x:c>
      <x:c r="I279" s="17" t="str">
        <x:v>按资源权限与数据域访问；公开DTO另行白名单</x:v>
      </x:c>
      <x:c r="J279" s="17" t="str">
        <x:v>数据库实体不得直接序列化为响应</x:v>
      </x:c>
      <x:c r="K279" s="17" t="str">
        <x:v>DTO白名单；长度/枚举/归属/状态校验；禁止信任客户端派生值</x:v>
      </x:c>
      <x:c r="L279" s="17" t="str">
        <x:v>按实体version或审计日志保留变更证据</x:v>
      </x:c>
      <x:c r="M279" s="4" t="str">
        <x:v>M2</x:v>
      </x:c>
      <x:c r="N279" s="4" t="str">
        <x:v>待切片细化</x:v>
      </x:c>
      <x:c r="O279" s="4" t="str">
        <x:v>综合方案§13核心数据模型</x:v>
      </x:c>
      <x:c r="P279" s="4" t="str">
        <x:v>DRAFT_FROM_SCHEME</x:v>
      </x:c>
    </x:row>
    <x:row r="280" ht="23" customHeight="1">
      <x:c r="A280" s="4" t="str">
        <x:v>Product</x:v>
      </x:c>
      <x:c r="B280" s="4" t="str">
        <x:v>isRetailEnabled</x:v>
      </x:c>
      <x:c r="C280" s="17" t="str">
        <x:v>isRetailEnabled</x:v>
      </x:c>
      <x:c r="D280" s="4" t="str">
        <x:v>9</x:v>
      </x:c>
      <x:c r="E280" s="4" t="str">
        <x:v>Boolean</x:v>
      </x:c>
      <x:c r="F280" s="4" t="str">
        <x:v>YES</x:v>
      </x:c>
      <x:c r="G280" s="4" t="str">
        <x:v>待M阶段冻结</x:v>
      </x:c>
      <x:c r="H280" s="17" t="str">
        <x:v>INTERNAL</x:v>
      </x:c>
      <x:c r="I280" s="17" t="str">
        <x:v>按资源权限与数据域访问；公开DTO另行白名单</x:v>
      </x:c>
      <x:c r="J280" s="17" t="str">
        <x:v>数据库实体不得直接序列化为响应</x:v>
      </x:c>
      <x:c r="K280" s="17" t="str">
        <x:v>DTO白名单；长度/枚举/归属/状态校验；禁止信任客户端派生值</x:v>
      </x:c>
      <x:c r="L280" s="17" t="str">
        <x:v>按实体version或审计日志保留变更证据</x:v>
      </x:c>
      <x:c r="M280" s="4" t="str">
        <x:v>M2</x:v>
      </x:c>
      <x:c r="N280" s="4" t="str">
        <x:v>待切片细化</x:v>
      </x:c>
      <x:c r="O280" s="4" t="str">
        <x:v>综合方案§13核心数据模型</x:v>
      </x:c>
      <x:c r="P280" s="4" t="str">
        <x:v>DRAFT_FROM_SCHEME</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待M阶段冻结</x:v>
      </x:c>
      <x:c r="H281" s="17" t="str">
        <x:v>INTERNAL</x:v>
      </x:c>
      <x:c r="I281" s="17" t="str">
        <x:v>按资源权限与数据域访问；公开DTO另行白名单</x:v>
      </x:c>
      <x:c r="J281" s="17" t="str">
        <x:v>数据库实体不得直接序列化为响应</x:v>
      </x:c>
      <x:c r="K281" s="17" t="str">
        <x:v>DTO白名单；长度/枚举/归属/状态校验；禁止信任客户端派生值</x:v>
      </x:c>
      <x:c r="L281" s="17" t="str">
        <x:v>按实体version或审计日志保留变更证据</x:v>
      </x:c>
      <x:c r="M281" s="4" t="str">
        <x:v>M2</x:v>
      </x:c>
      <x:c r="N281" s="4" t="str">
        <x:v>待切片细化</x:v>
      </x:c>
      <x:c r="O281" s="4" t="str">
        <x:v>综合方案§13核心数据模型</x:v>
      </x:c>
      <x:c r="P281" s="4" t="str">
        <x:v>DRAFT_FROM_SCHEME</x:v>
      </x:c>
    </x:row>
    <x:row r="282" ht="23" customHeight="1">
      <x:c r="A282" s="4" t="str">
        <x:v>Product</x:v>
      </x:c>
      <x:c r="B282" s="4" t="str">
        <x:v>detailSnapshot</x:v>
      </x:c>
      <x:c r="C282" s="17" t="str">
        <x:v>detailSnapshot</x:v>
      </x:c>
      <x:c r="D282" s="4" t="str">
        <x:v>11</x:v>
      </x:c>
      <x:c r="E282" s="4" t="str">
        <x:v>Json</x:v>
      </x:c>
      <x:c r="F282" s="4" t="str">
        <x:v>YES</x:v>
      </x:c>
      <x:c r="G282" s="4" t="str">
        <x:v>待M阶段冻结</x:v>
      </x:c>
      <x:c r="H282" s="17" t="str">
        <x:v>INTERNAL</x:v>
      </x:c>
      <x:c r="I282" s="17" t="str">
        <x:v>按资源权限与数据域访问；公开DTO另行白名单</x:v>
      </x:c>
      <x:c r="J282" s="17" t="str">
        <x:v>数据库实体不得直接序列化为响应</x:v>
      </x:c>
      <x:c r="K282" s="17" t="str">
        <x:v>DTO白名单；长度/枚举/归属/状态校验；禁止信任客户端派生值</x:v>
      </x:c>
      <x:c r="L282" s="17" t="str">
        <x:v>按实体version或审计日志保留变更证据</x:v>
      </x:c>
      <x:c r="M282" s="4" t="str">
        <x:v>M2</x:v>
      </x:c>
      <x:c r="N282" s="4" t="str">
        <x:v>待切片细化</x:v>
      </x:c>
      <x:c r="O282" s="4" t="str">
        <x:v>综合方案§13核心数据模型</x:v>
      </x:c>
      <x:c r="P282" s="4" t="str">
        <x:v>DRAFT_FROM_SCHEME</x:v>
      </x:c>
    </x:row>
    <x:row r="283" ht="23" customHeight="1">
      <x:c r="A283" s="4" t="str">
        <x:v>Product</x:v>
      </x:c>
      <x:c r="B283" s="4" t="str">
        <x:v>afterSaleSnapshot</x:v>
      </x:c>
      <x:c r="C283" s="17" t="str">
        <x:v>afterSaleSnapshot</x:v>
      </x:c>
      <x:c r="D283" s="4" t="str">
        <x:v>12</x:v>
      </x:c>
      <x:c r="E283" s="4" t="str">
        <x:v>Json</x:v>
      </x:c>
      <x:c r="F283" s="4" t="str">
        <x:v>YES</x:v>
      </x:c>
      <x:c r="G283" s="4" t="str">
        <x:v>待M阶段冻结</x:v>
      </x:c>
      <x:c r="H283" s="17" t="str">
        <x:v>INTERNAL</x:v>
      </x:c>
      <x:c r="I283" s="17" t="str">
        <x:v>按资源权限与数据域访问；公开DTO另行白名单</x:v>
      </x:c>
      <x:c r="J283" s="17" t="str">
        <x:v>数据库实体不得直接序列化为响应</x:v>
      </x:c>
      <x:c r="K283" s="17" t="str">
        <x:v>DTO白名单；长度/枚举/归属/状态校验；禁止信任客户端派生值</x:v>
      </x:c>
      <x:c r="L283" s="17" t="str">
        <x:v>按实体version或审计日志保留变更证据</x:v>
      </x:c>
      <x:c r="M283" s="4" t="str">
        <x:v>M2</x:v>
      </x:c>
      <x:c r="N283" s="4" t="str">
        <x:v>待切片细化</x:v>
      </x:c>
      <x:c r="O283" s="4" t="str">
        <x:v>综合方案§13核心数据模型</x:v>
      </x:c>
      <x:c r="P283" s="4" t="str">
        <x:v>DRAFT_FROM_SCHEME</x:v>
      </x:c>
    </x:row>
    <x:row r="284" ht="23" customHeight="1">
      <x:c r="A284" s="4" t="str">
        <x:v>Product</x:v>
      </x:c>
      <x:c r="B284" s="4" t="str">
        <x:v>deliveryRuleId</x:v>
      </x:c>
      <x:c r="C284" s="17" t="str">
        <x:v>deliveryRuleId</x:v>
      </x:c>
      <x:c r="D284" s="4" t="str">
        <x:v>13</x:v>
      </x:c>
      <x:c r="E284" s="4" t="str">
        <x:v>String/UUID</x:v>
      </x:c>
      <x:c r="F284" s="4" t="str">
        <x:v>YES</x:v>
      </x:c>
      <x:c r="G284" s="4" t="str">
        <x:v>待M阶段冻结</x:v>
      </x:c>
      <x:c r="H284" s="17" t="str">
        <x:v>INTERNAL</x:v>
      </x:c>
      <x:c r="I284" s="17" t="str">
        <x:v>按资源权限与数据域访问；公开DTO另行白名单</x:v>
      </x:c>
      <x:c r="J284" s="17" t="str">
        <x:v>数据库实体不得直接序列化为响应</x:v>
      </x:c>
      <x:c r="K284" s="17" t="str">
        <x:v>DTO白名单；长度/枚举/归属/状态校验；禁止信任客户端派生值</x:v>
      </x:c>
      <x:c r="L284" s="17" t="str">
        <x:v>按实体version或审计日志保留变更证据</x:v>
      </x:c>
      <x:c r="M284" s="4" t="str">
        <x:v>M2</x:v>
      </x:c>
      <x:c r="N284" s="4" t="str">
        <x:v>待切片细化</x:v>
      </x:c>
      <x:c r="O284" s="4" t="str">
        <x:v>综合方案§13核心数据模型</x:v>
      </x:c>
      <x:c r="P284" s="4" t="str">
        <x:v>DRAFT_FROM_SCHEME</x:v>
      </x:c>
    </x:row>
    <x:row r="285" ht="23" customHeight="1">
      <x:c r="A285" s="4" t="str">
        <x:v>Product</x:v>
      </x:c>
      <x:c r="B285" s="4" t="str">
        <x:v>version</x:v>
      </x:c>
      <x:c r="C285" s="17" t="str">
        <x:v>version</x:v>
      </x:c>
      <x:c r="D285" s="4" t="str">
        <x:v>14</x:v>
      </x:c>
      <x:c r="E285" s="4" t="str">
        <x:v>Int</x:v>
      </x:c>
      <x:c r="F285" s="4" t="str">
        <x:v>YES</x:v>
      </x:c>
      <x:c r="G285" s="4" t="str">
        <x:v>待M阶段冻结</x:v>
      </x:c>
      <x:c r="H285" s="17" t="str">
        <x:v>INTERNAL</x:v>
      </x:c>
      <x:c r="I285" s="17" t="str">
        <x:v>按资源权限与数据域访问；公开DTO另行白名单</x:v>
      </x:c>
      <x:c r="J285" s="17" t="str">
        <x:v>数据库实体不得直接序列化为响应</x:v>
      </x:c>
      <x:c r="K285" s="17" t="str">
        <x:v>DTO白名单；长度/枚举/归属/状态校验；禁止信任客户端派生值</x:v>
      </x:c>
      <x:c r="L285" s="17" t="str">
        <x:v>按实体version或审计日志保留变更证据</x:v>
      </x:c>
      <x:c r="M285" s="4" t="str">
        <x:v>M2</x:v>
      </x:c>
      <x:c r="N285" s="4" t="str">
        <x:v>待切片细化</x:v>
      </x:c>
      <x:c r="O285" s="4" t="str">
        <x:v>综合方案§13核心数据模型</x:v>
      </x:c>
      <x:c r="P285" s="4" t="str">
        <x:v>DRAFT_FROM_SCHEME</x:v>
      </x:c>
    </x:row>
    <x:row r="286" ht="23" customHeight="1">
      <x:c r="A286" s="4" t="str">
        <x:v>Sku</x:v>
      </x:c>
      <x:c r="B286" s="4" t="str">
        <x:v>id</x:v>
      </x:c>
      <x:c r="C286" s="17" t="str">
        <x:v>id</x:v>
      </x:c>
      <x:c r="D286" s="4" t="str">
        <x:v>1</x:v>
      </x:c>
      <x:c r="E286" s="4" t="str">
        <x:v>String/UUID</x:v>
      </x:c>
      <x:c r="F286" s="4" t="str">
        <x:v>YES</x:v>
      </x:c>
      <x:c r="G286" s="4" t="str">
        <x:v>待M阶段冻结</x:v>
      </x:c>
      <x:c r="H286" s="17" t="str">
        <x:v>INTERNAL</x:v>
      </x:c>
      <x:c r="I286" s="17" t="str">
        <x:v>按资源权限与数据域访问；公开DTO另行白名单</x:v>
      </x:c>
      <x:c r="J286" s="17" t="str">
        <x:v>数据库实体不得直接序列化为响应</x:v>
      </x:c>
      <x:c r="K286" s="17" t="str">
        <x:v>DTO白名单；长度/枚举/归属/状态校验；禁止信任客户端派生值</x:v>
      </x:c>
      <x:c r="L286" s="17" t="str">
        <x:v>按实体version或审计日志保留变更证据</x:v>
      </x:c>
      <x:c r="M286" s="4" t="str">
        <x:v>M2</x:v>
      </x:c>
      <x:c r="N286" s="4" t="str">
        <x:v>P0-019,P0-021,P0-063,P0-071</x:v>
      </x:c>
      <x:c r="O286" s="4" t="str">
        <x:v>综合方案§13核心数据模型</x:v>
      </x:c>
      <x:c r="P286" s="4" t="str">
        <x:v>DRAFT_FROM_SCHEME</x:v>
      </x:c>
    </x:row>
    <x:row r="287" ht="23" customHeight="1">
      <x:c r="A287" s="4" t="str">
        <x:v>Sku</x:v>
      </x:c>
      <x:c r="B287" s="4" t="str">
        <x:v>productId</x:v>
      </x:c>
      <x:c r="C287" s="17" t="str">
        <x:v>productId</x:v>
      </x:c>
      <x:c r="D287" s="4" t="str">
        <x:v>2</x:v>
      </x:c>
      <x:c r="E287" s="4" t="str">
        <x:v>String/UUID</x:v>
      </x:c>
      <x:c r="F287" s="4" t="str">
        <x:v>YES</x:v>
      </x:c>
      <x:c r="G287" s="4" t="str">
        <x:v>待M阶段冻结</x:v>
      </x:c>
      <x:c r="H287" s="17" t="str">
        <x:v>INTERNAL</x:v>
      </x:c>
      <x:c r="I287" s="17" t="str">
        <x:v>按资源权限与数据域访问；公开DTO另行白名单</x:v>
      </x:c>
      <x:c r="J287" s="17" t="str">
        <x:v>数据库实体不得直接序列化为响应</x:v>
      </x:c>
      <x:c r="K287" s="17" t="str">
        <x:v>DTO白名单；长度/枚举/归属/状态校验；禁止信任客户端派生值</x:v>
      </x:c>
      <x:c r="L287" s="17" t="str">
        <x:v>按实体version或审计日志保留变更证据</x:v>
      </x:c>
      <x:c r="M287" s="4" t="str">
        <x:v>M2</x:v>
      </x:c>
      <x:c r="N287" s="4" t="str">
        <x:v>P0-019,P0-021,P0-063,P0-071</x:v>
      </x:c>
      <x:c r="O287" s="4" t="str">
        <x:v>综合方案§13核心数据模型</x:v>
      </x:c>
      <x:c r="P287" s="4" t="str">
        <x:v>DRAFT_FROM_SCHEME</x:v>
      </x:c>
    </x:row>
    <x:row r="288" ht="23" customHeight="1">
      <x:c r="A288" s="4" t="str">
        <x:v>Sku</x:v>
      </x:c>
      <x:c r="B288" s="4" t="str">
        <x:v>supplierProductSkuId</x:v>
      </x:c>
      <x:c r="C288" s="17" t="str">
        <x:v>supplierProductSkuId</x:v>
      </x:c>
      <x:c r="D288" s="4" t="str">
        <x:v>3</x:v>
      </x:c>
      <x:c r="E288" s="4" t="str">
        <x:v>String/UUID</x:v>
      </x:c>
      <x:c r="F288" s="4" t="str">
        <x:v>YES</x:v>
      </x:c>
      <x:c r="G288" s="4" t="str">
        <x:v>待M阶段冻结</x:v>
      </x:c>
      <x:c r="H288" s="17" t="str">
        <x:v>INTERNAL</x:v>
      </x:c>
      <x:c r="I288" s="17" t="str">
        <x:v>按资源权限与数据域访问；公开DTO另行白名单</x:v>
      </x:c>
      <x:c r="J288" s="17" t="str">
        <x:v>数据库实体不得直接序列化为响应</x:v>
      </x:c>
      <x:c r="K288" s="17" t="str">
        <x:v>DTO白名单；长度/枚举/归属/状态校验；禁止信任客户端派生值</x:v>
      </x:c>
      <x:c r="L288" s="17" t="str">
        <x:v>按实体version或审计日志保留变更证据</x:v>
      </x:c>
      <x:c r="M288" s="4" t="str">
        <x:v>M2</x:v>
      </x:c>
      <x:c r="N288" s="4" t="str">
        <x:v>P0-019,P0-021,P0-063,P0-071</x:v>
      </x:c>
      <x:c r="O288" s="4" t="str">
        <x:v>综合方案§13核心数据模型</x:v>
      </x:c>
      <x:c r="P288" s="4" t="str">
        <x:v>DRAFT_FROM_SCHEME</x:v>
      </x:c>
    </x:row>
    <x:row r="289" ht="23" customHeight="1">
      <x:c r="A289" s="4" t="str">
        <x:v>Sku</x:v>
      </x:c>
      <x:c r="B289" s="4" t="str">
        <x:v>skuCode</x:v>
      </x:c>
      <x:c r="C289" s="17" t="str">
        <x:v>skuCode</x:v>
      </x:c>
      <x:c r="D289" s="4" t="str">
        <x:v>4</x:v>
      </x:c>
      <x:c r="E289" s="4" t="str">
        <x:v>String</x:v>
      </x:c>
      <x:c r="F289" s="4" t="str">
        <x:v>YES</x:v>
      </x:c>
      <x:c r="G289" s="4" t="str">
        <x:v>待M阶段冻结</x:v>
      </x:c>
      <x:c r="H289" s="17" t="str">
        <x:v>INTERNAL</x:v>
      </x:c>
      <x:c r="I289" s="17" t="str">
        <x:v>按资源权限与数据域访问；公开DTO另行白名单</x:v>
      </x:c>
      <x:c r="J289" s="17" t="str">
        <x:v>数据库实体不得直接序列化为响应</x:v>
      </x:c>
      <x:c r="K289" s="17" t="str">
        <x:v>DTO白名单；长度/枚举/归属/状态校验；禁止信任客户端派生值</x:v>
      </x:c>
      <x:c r="L289" s="17" t="str">
        <x:v>按实体version或审计日志保留变更证据</x:v>
      </x:c>
      <x:c r="M289" s="4" t="str">
        <x:v>M2</x:v>
      </x:c>
      <x:c r="N289" s="4" t="str">
        <x:v>P0-019,P0-021,P0-063,P0-071</x:v>
      </x:c>
      <x:c r="O289" s="4" t="str">
        <x:v>综合方案§13核心数据模型</x:v>
      </x:c>
      <x:c r="P289" s="4" t="str">
        <x:v>DRAFT_FROM_SCHEME</x:v>
      </x:c>
    </x:row>
    <x:row r="290" ht="23" customHeight="1">
      <x:c r="A290" s="4" t="str">
        <x:v>Sku</x:v>
      </x:c>
      <x:c r="B290" s="4" t="str">
        <x:v>approvedSupplyPrice</x:v>
      </x:c>
      <x:c r="C290" s="17" t="str">
        <x:v>approvedSupplyPrice</x:v>
      </x:c>
      <x:c r="D290" s="4" t="str">
        <x:v>5</x:v>
      </x:c>
      <x:c r="E290" s="4" t="str">
        <x:v>Int(分)</x:v>
      </x:c>
      <x:c r="F290" s="4" t="str">
        <x:v>YES</x:v>
      </x:c>
      <x:c r="G290" s="4" t="str">
        <x:v>整数分</x:v>
      </x:c>
      <x:c r="H290" s="17" t="str">
        <x:v>STRICT_INTERNAL_SUPPLY_PRICE</x:v>
      </x:c>
      <x:c r="I290" s="17" t="str">
        <x:v>仅公司价格/财务及本供应商价格/财务职能可见</x:v>
      </x:c>
      <x:c r="J290" s="17" t="str">
        <x:v>禁止出现在消费者端、企业采购端、门户公开端及非授权日志</x:v>
      </x:c>
      <x:c r="K290" s="17" t="str">
        <x:v>DTO白名单；长度/枚举/归属/状态校验；禁止信任客户端派生值</x:v>
      </x:c>
      <x:c r="L290" s="17" t="str">
        <x:v>按实体version或审计日志保留变更证据</x:v>
      </x:c>
      <x:c r="M290" s="4" t="str">
        <x:v>M2</x:v>
      </x:c>
      <x:c r="N290" s="4" t="str">
        <x:v>P0-019,P0-021,P0-063,P0-071</x:v>
      </x:c>
      <x:c r="O290" s="4" t="str">
        <x:v>综合方案§13核心数据模型</x:v>
      </x:c>
      <x:c r="P290" s="4" t="str">
        <x:v>DRAFT_FROM_SCHEME</x:v>
      </x:c>
    </x:row>
    <x:row r="291" ht="23" customHeight="1">
      <x:c r="A291" s="4" t="str">
        <x:v>Sku</x:v>
      </x:c>
      <x:c r="B291" s="4" t="str">
        <x:v>currentRetailSalePrice</x:v>
      </x:c>
      <x:c r="C291" s="17" t="str">
        <x:v>currentRetailSalePrice</x:v>
      </x:c>
      <x:c r="D291" s="4" t="str">
        <x:v>6</x:v>
      </x:c>
      <x:c r="E291" s="4" t="str">
        <x:v>Int(分)</x:v>
      </x:c>
      <x:c r="F291" s="4" t="str">
        <x:v>YES</x:v>
      </x:c>
      <x:c r="G291" s="4" t="str">
        <x:v>整数分</x:v>
      </x:c>
      <x:c r="H291" s="17" t="str">
        <x:v>INTERNAL</x:v>
      </x:c>
      <x:c r="I291" s="17" t="str">
        <x:v>按资源权限与数据域访问；公开DTO另行白名单</x:v>
      </x:c>
      <x:c r="J291" s="17" t="str">
        <x:v>数据库实体不得直接序列化为响应</x:v>
      </x:c>
      <x:c r="K291" s="17" t="str">
        <x:v>DTO白名单；长度/枚举/归属/状态校验；禁止信任客户端派生值</x:v>
      </x:c>
      <x:c r="L291" s="17" t="str">
        <x:v>按实体version或审计日志保留变更证据</x:v>
      </x:c>
      <x:c r="M291" s="4" t="str">
        <x:v>M2</x:v>
      </x:c>
      <x:c r="N291" s="4" t="str">
        <x:v>P0-019,P0-021,P0-063,P0-071</x:v>
      </x:c>
      <x:c r="O291" s="4" t="str">
        <x:v>综合方案§13核心数据模型</x:v>
      </x:c>
      <x:c r="P291" s="4" t="str">
        <x:v>DRAFT_FROM_SCHEME</x:v>
      </x:c>
    </x:row>
    <x:row r="292" ht="23" customHeight="1">
      <x:c r="A292" s="4" t="str">
        <x:v>Sku</x:v>
      </x:c>
      <x:c r="B292" s="4" t="str">
        <x:v>currentEnterpriseSalePrice</x:v>
      </x:c>
      <x:c r="C292" s="17" t="str">
        <x:v>currentEnterpriseSalePrice</x:v>
      </x:c>
      <x:c r="D292" s="4" t="str">
        <x:v>7</x:v>
      </x:c>
      <x:c r="E292" s="4" t="str">
        <x:v>Int(分)</x:v>
      </x:c>
      <x:c r="F292" s="4" t="str">
        <x:v>YES</x:v>
      </x:c>
      <x:c r="G292" s="4" t="str">
        <x:v>整数分</x:v>
      </x:c>
      <x:c r="H292" s="17" t="str">
        <x:v>INTERNAL</x:v>
      </x:c>
      <x:c r="I292" s="17" t="str">
        <x:v>按资源权限与数据域访问；公开DTO另行白名单</x:v>
      </x:c>
      <x:c r="J292" s="17" t="str">
        <x:v>数据库实体不得直接序列化为响应</x:v>
      </x:c>
      <x:c r="K292" s="17" t="str">
        <x:v>DTO白名单；长度/枚举/归属/状态校验；禁止信任客户端派生值</x:v>
      </x:c>
      <x:c r="L292" s="17" t="str">
        <x:v>按实体version或审计日志保留变更证据</x:v>
      </x:c>
      <x:c r="M292" s="4" t="str">
        <x:v>M2</x:v>
      </x:c>
      <x:c r="N292" s="4" t="str">
        <x:v>P0-019,P0-021,P0-063,P0-071</x:v>
      </x:c>
      <x:c r="O292" s="4" t="str">
        <x:v>综合方案§13核心数据模型</x:v>
      </x:c>
      <x:c r="P292" s="4" t="str">
        <x:v>DRAFT_FROM_SCHEME</x:v>
      </x:c>
    </x:row>
    <x:row r="293" ht="23" customHeight="1">
      <x:c r="A293" s="4" t="str">
        <x:v>Sku</x:v>
      </x:c>
      <x:c r="B293" s="4" t="str">
        <x:v>marketPrice</x:v>
      </x:c>
      <x:c r="C293" s="17" t="str">
        <x:v>marketPrice</x:v>
      </x:c>
      <x:c r="D293" s="4" t="str">
        <x:v>8</x:v>
      </x:c>
      <x:c r="E293" s="4" t="str">
        <x:v>Int(分)</x:v>
      </x:c>
      <x:c r="F293" s="4" t="str">
        <x:v>YES</x:v>
      </x:c>
      <x:c r="G293" s="4" t="str">
        <x:v>整数分</x:v>
      </x:c>
      <x:c r="H293" s="17" t="str">
        <x:v>INTERNAL</x:v>
      </x:c>
      <x:c r="I293" s="17" t="str">
        <x:v>按资源权限与数据域访问；公开DTO另行白名单</x:v>
      </x:c>
      <x:c r="J293" s="17" t="str">
        <x:v>数据库实体不得直接序列化为响应</x:v>
      </x:c>
      <x:c r="K293" s="17" t="str">
        <x:v>DTO白名单；长度/枚举/归属/状态校验；禁止信任客户端派生值</x:v>
      </x:c>
      <x:c r="L293" s="17" t="str">
        <x:v>按实体version或审计日志保留变更证据</x:v>
      </x:c>
      <x:c r="M293" s="4" t="str">
        <x:v>M2</x:v>
      </x:c>
      <x:c r="N293" s="4" t="str">
        <x:v>P0-019,P0-021,P0-063,P0-071</x:v>
      </x:c>
      <x:c r="O293" s="4" t="str">
        <x:v>综合方案§13核心数据模型</x:v>
      </x:c>
      <x:c r="P293" s="4" t="str">
        <x:v>DRAFT_FROM_SCHEME</x:v>
      </x:c>
    </x:row>
    <x:row r="294" ht="23" customHeight="1">
      <x:c r="A294" s="4" t="str">
        <x:v>Sku</x:v>
      </x:c>
      <x:c r="B294" s="4" t="str">
        <x:v>supplyPriceVersion</x:v>
      </x:c>
      <x:c r="C294" s="17" t="str">
        <x:v>supplyPriceVersion</x:v>
      </x:c>
      <x:c r="D294" s="4" t="str">
        <x:v>9</x:v>
      </x:c>
      <x:c r="E294" s="4" t="str">
        <x:v>Int(分)</x:v>
      </x:c>
      <x:c r="F294" s="4" t="str">
        <x:v>YES</x:v>
      </x:c>
      <x:c r="G294" s="4" t="str">
        <x:v>整数分</x:v>
      </x:c>
      <x:c r="H294" s="17" t="str">
        <x:v>STRICT_INTERNAL_SUPPLY_PRICE</x:v>
      </x:c>
      <x:c r="I294" s="17" t="str">
        <x:v>仅公司价格/财务及本供应商价格/财务职能可见</x:v>
      </x:c>
      <x:c r="J294" s="17" t="str">
        <x:v>禁止出现在消费者端、企业采购端、门户公开端及非授权日志</x:v>
      </x:c>
      <x:c r="K294" s="17" t="str">
        <x:v>DTO白名单；长度/枚举/归属/状态校验；禁止信任客户端派生值</x:v>
      </x:c>
      <x:c r="L294" s="17" t="str">
        <x:v>按实体version或审计日志保留变更证据</x:v>
      </x:c>
      <x:c r="M294" s="4" t="str">
        <x:v>M2</x:v>
      </x:c>
      <x:c r="N294" s="4" t="str">
        <x:v>P0-019,P0-021,P0-063,P0-071</x:v>
      </x:c>
      <x:c r="O294" s="4" t="str">
        <x:v>综合方案§13核心数据模型</x:v>
      </x:c>
      <x:c r="P294" s="4" t="str">
        <x:v>DRAFT_FROM_SCHEME</x:v>
      </x:c>
    </x:row>
    <x:row r="295" ht="23" customHeight="1">
      <x:c r="A295" s="4" t="str">
        <x:v>Sku</x:v>
      </x:c>
      <x:c r="B295" s="4" t="str">
        <x:v>retailPriceVersion</x:v>
      </x:c>
      <x:c r="C295" s="17" t="str">
        <x:v>retailPriceVersion</x:v>
      </x:c>
      <x:c r="D295" s="4" t="str">
        <x:v>10</x:v>
      </x:c>
      <x:c r="E295" s="4" t="str">
        <x:v>Int(分)</x:v>
      </x:c>
      <x:c r="F295" s="4" t="str">
        <x:v>YES</x:v>
      </x:c>
      <x:c r="G295" s="4" t="str">
        <x:v>整数分</x:v>
      </x:c>
      <x:c r="H295" s="17" t="str">
        <x:v>INTERNAL</x:v>
      </x:c>
      <x:c r="I295" s="17" t="str">
        <x:v>按资源权限与数据域访问；公开DTO另行白名单</x:v>
      </x:c>
      <x:c r="J295" s="17" t="str">
        <x:v>数据库实体不得直接序列化为响应</x:v>
      </x:c>
      <x:c r="K295" s="17" t="str">
        <x:v>DTO白名单；长度/枚举/归属/状态校验；禁止信任客户端派生值</x:v>
      </x:c>
      <x:c r="L295" s="17" t="str">
        <x:v>按实体version或审计日志保留变更证据</x:v>
      </x:c>
      <x:c r="M295" s="4" t="str">
        <x:v>M2</x:v>
      </x:c>
      <x:c r="N295" s="4" t="str">
        <x:v>P0-019,P0-021,P0-063,P0-071</x:v>
      </x:c>
      <x:c r="O295" s="4" t="str">
        <x:v>综合方案§13核心数据模型</x:v>
      </x:c>
      <x:c r="P295" s="4" t="str">
        <x:v>DRAFT_FROM_SCHEME</x:v>
      </x:c>
    </x:row>
    <x:row r="296" ht="23" customHeight="1">
      <x:c r="A296" s="4" t="str">
        <x:v>Sku</x:v>
      </x:c>
      <x:c r="B296" s="4" t="str">
        <x:v>enterprisePriceVersion</x:v>
      </x:c>
      <x:c r="C296" s="17" t="str">
        <x:v>enterprisePriceVersion</x:v>
      </x:c>
      <x:c r="D296" s="4" t="str">
        <x:v>11</x:v>
      </x:c>
      <x:c r="E296" s="4" t="str">
        <x:v>Int(分)</x:v>
      </x:c>
      <x:c r="F296" s="4" t="str">
        <x:v>YES</x:v>
      </x:c>
      <x:c r="G296" s="4" t="str">
        <x:v>整数分</x:v>
      </x:c>
      <x:c r="H296" s="17" t="str">
        <x:v>INTERNAL</x:v>
      </x:c>
      <x:c r="I296" s="17" t="str">
        <x:v>按资源权限与数据域访问；公开DTO另行白名单</x:v>
      </x:c>
      <x:c r="J296" s="17" t="str">
        <x:v>数据库实体不得直接序列化为响应</x:v>
      </x:c>
      <x:c r="K296" s="17" t="str">
        <x:v>DTO白名单；长度/枚举/归属/状态校验；禁止信任客户端派生值</x:v>
      </x:c>
      <x:c r="L296" s="17" t="str">
        <x:v>按实体version或审计日志保留变更证据</x:v>
      </x:c>
      <x:c r="M296" s="4" t="str">
        <x:v>M2</x:v>
      </x:c>
      <x:c r="N296" s="4" t="str">
        <x:v>P0-019,P0-021,P0-063,P0-071</x:v>
      </x:c>
      <x:c r="O296" s="4" t="str">
        <x:v>综合方案§13核心数据模型</x:v>
      </x:c>
      <x:c r="P296" s="4" t="str">
        <x:v>DRAFT_FROM_SCHEME</x:v>
      </x:c>
    </x:row>
    <x:row r="297" ht="23" customHeight="1">
      <x:c r="A297" s="4" t="str">
        <x:v>Sku</x:v>
      </x:c>
      <x:c r="B297" s="4" t="str">
        <x:v>status</x:v>
      </x:c>
      <x:c r="C297" s="17" t="str">
        <x:v>status</x:v>
      </x:c>
      <x:c r="D297" s="4" t="str">
        <x:v>12</x:v>
      </x:c>
      <x:c r="E297" s="4" t="str">
        <x:v>Enum/String</x:v>
      </x:c>
      <x:c r="F297" s="4" t="str">
        <x:v>YES</x:v>
      </x:c>
      <x:c r="G297" s="4" t="str">
        <x:v>待M阶段冻结</x:v>
      </x:c>
      <x:c r="H297" s="17" t="str">
        <x:v>INTERNAL</x:v>
      </x:c>
      <x:c r="I297" s="17" t="str">
        <x:v>按资源权限与数据域访问；公开DTO另行白名单</x:v>
      </x:c>
      <x:c r="J297" s="17" t="str">
        <x:v>数据库实体不得直接序列化为响应</x:v>
      </x:c>
      <x:c r="K297" s="17" t="str">
        <x:v>DTO白名单；长度/枚举/归属/状态校验；禁止信任客户端派生值</x:v>
      </x:c>
      <x:c r="L297" s="17" t="str">
        <x:v>按实体version或审计日志保留变更证据</x:v>
      </x:c>
      <x:c r="M297" s="4" t="str">
        <x:v>M2</x:v>
      </x:c>
      <x:c r="N297" s="4" t="str">
        <x:v>P0-019,P0-021,P0-063,P0-071</x:v>
      </x:c>
      <x:c r="O297" s="4" t="str">
        <x:v>综合方案§13核心数据模型</x:v>
      </x:c>
      <x:c r="P297" s="4" t="str">
        <x:v>DRAFT_FROM_SCHEME</x:v>
      </x:c>
    </x:row>
    <x:row r="298" ht="23" customHeight="1">
      <x:c r="A298" s="4" t="str">
        <x:v>SupplyPriceChangeRequest</x:v>
      </x:c>
      <x:c r="B298" s="4" t="str">
        <x:v>id</x:v>
      </x:c>
      <x:c r="C298" s="17" t="str">
        <x:v>id</x:v>
      </x:c>
      <x:c r="D298" s="4" t="str">
        <x:v>1</x:v>
      </x:c>
      <x:c r="E298" s="4" t="str">
        <x:v>String/UUID</x:v>
      </x:c>
      <x:c r="F298" s="4" t="str">
        <x:v>YES</x:v>
      </x:c>
      <x:c r="G298" s="4" t="str">
        <x:v>待M阶段冻结</x:v>
      </x:c>
      <x:c r="H298" s="17" t="str">
        <x:v>STRICT_INTERNAL_SUPPLY_PRICE</x:v>
      </x:c>
      <x:c r="I298" s="17" t="str">
        <x:v>仅公司价格/财务及本供应商价格/财务职能可见</x:v>
      </x:c>
      <x:c r="J298" s="17" t="str">
        <x:v>禁止出现在消费者端、企业采购端、门户公开端及非授权日志</x:v>
      </x:c>
      <x:c r="K298" s="17" t="str">
        <x:v>DTO白名单；长度/枚举/归属/状态校验；禁止信任客户端派生值</x:v>
      </x:c>
      <x:c r="L298" s="17" t="str">
        <x:v>追加/版本/快照，不覆盖已生效历史</x:v>
      </x:c>
      <x:c r="M298" s="4" t="str">
        <x:v>M2</x:v>
      </x:c>
      <x:c r="N298" s="4" t="str">
        <x:v>P0-019,P0-071</x:v>
      </x:c>
      <x:c r="O298" s="4" t="str">
        <x:v>综合方案§13核心数据模型</x:v>
      </x:c>
      <x:c r="P298" s="4" t="str">
        <x:v>DRAFT_FROM_SCHEME</x:v>
      </x:c>
    </x:row>
    <x:row r="299" ht="23" customHeight="1">
      <x:c r="A299" s="4" t="str">
        <x:v>SupplyPriceChangeRequest</x:v>
      </x:c>
      <x:c r="B299" s="4" t="str">
        <x:v>supplierId</x:v>
      </x:c>
      <x:c r="C299" s="17" t="str">
        <x:v>supplierId</x:v>
      </x:c>
      <x:c r="D299" s="4" t="str">
        <x:v>2</x:v>
      </x:c>
      <x:c r="E299" s="4" t="str">
        <x:v>String/UUID</x:v>
      </x:c>
      <x:c r="F299" s="4" t="str">
        <x:v>YES</x:v>
      </x:c>
      <x:c r="G299" s="4" t="str">
        <x:v>待M阶段冻结</x:v>
      </x:c>
      <x:c r="H299" s="17" t="str">
        <x:v>STRICT_INTERNAL_SUPPLY_PRICE</x:v>
      </x:c>
      <x:c r="I299" s="17" t="str">
        <x:v>仅公司价格/财务及本供应商价格/财务职能可见</x:v>
      </x:c>
      <x:c r="J299" s="17" t="str">
        <x:v>禁止出现在消费者端、企业采购端、门户公开端及非授权日志</x:v>
      </x:c>
      <x:c r="K299" s="17" t="str">
        <x:v>DTO白名单；长度/枚举/归属/状态校验；禁止信任客户端派生值</x:v>
      </x:c>
      <x:c r="L299" s="17" t="str">
        <x:v>追加/版本/快照，不覆盖已生效历史</x:v>
      </x:c>
      <x:c r="M299" s="4" t="str">
        <x:v>M2</x:v>
      </x:c>
      <x:c r="N299" s="4" t="str">
        <x:v>P0-019,P0-071</x:v>
      </x:c>
      <x:c r="O299" s="4" t="str">
        <x:v>综合方案§13核心数据模型</x:v>
      </x:c>
      <x:c r="P299" s="4" t="str">
        <x:v>DRAFT_FROM_SCHEME</x:v>
      </x:c>
    </x:row>
    <x:row r="300" ht="23" customHeight="1">
      <x:c r="A300" s="4" t="str">
        <x:v>SupplyPriceChangeRequest</x:v>
      </x:c>
      <x:c r="B300" s="4" t="str">
        <x:v>productId</x:v>
      </x:c>
      <x:c r="C300" s="17" t="str">
        <x:v>productId</x:v>
      </x:c>
      <x:c r="D300" s="4" t="str">
        <x:v>3</x:v>
      </x:c>
      <x:c r="E300" s="4" t="str">
        <x:v>String/UUID</x:v>
      </x:c>
      <x:c r="F300" s="4" t="str">
        <x:v>YES</x:v>
      </x:c>
      <x:c r="G300" s="4" t="str">
        <x:v>待M阶段冻结</x:v>
      </x:c>
      <x:c r="H300" s="17" t="str">
        <x:v>STRICT_INTERNAL_SUPPLY_PRICE</x:v>
      </x:c>
      <x:c r="I300" s="17" t="str">
        <x:v>仅公司价格/财务及本供应商价格/财务职能可见</x:v>
      </x:c>
      <x:c r="J300" s="17" t="str">
        <x:v>禁止出现在消费者端、企业采购端、门户公开端及非授权日志</x:v>
      </x:c>
      <x:c r="K300" s="17" t="str">
        <x:v>DTO白名单；长度/枚举/归属/状态校验；禁止信任客户端派生值</x:v>
      </x:c>
      <x:c r="L300" s="17" t="str">
        <x:v>追加/版本/快照，不覆盖已生效历史</x:v>
      </x:c>
      <x:c r="M300" s="4" t="str">
        <x:v>M2</x:v>
      </x:c>
      <x:c r="N300" s="4" t="str">
        <x:v>P0-019,P0-071</x:v>
      </x:c>
      <x:c r="O300" s="4" t="str">
        <x:v>综合方案§13核心数据模型</x:v>
      </x:c>
      <x:c r="P300" s="4" t="str">
        <x:v>DRAFT_FROM_SCHEME</x:v>
      </x:c>
    </x:row>
    <x:row r="301" ht="23" customHeight="1">
      <x:c r="A301" s="4" t="str">
        <x:v>SupplyPriceChangeRequest</x:v>
      </x:c>
      <x:c r="B301" s="4" t="str">
        <x:v>skuId</x:v>
      </x:c>
      <x:c r="C301" s="17" t="str">
        <x:v>skuId</x:v>
      </x:c>
      <x:c r="D301" s="4" t="str">
        <x:v>4</x:v>
      </x:c>
      <x:c r="E301" s="4" t="str">
        <x:v>String/UUID</x:v>
      </x:c>
      <x:c r="F301" s="4" t="str">
        <x:v>YES</x:v>
      </x:c>
      <x:c r="G301" s="4" t="str">
        <x:v>待M阶段冻结</x:v>
      </x:c>
      <x:c r="H301" s="17" t="str">
        <x:v>STRICT_INTERNAL_SUPPLY_PRICE</x:v>
      </x:c>
      <x:c r="I301" s="17" t="str">
        <x:v>仅公司价格/财务及本供应商价格/财务职能可见</x:v>
      </x:c>
      <x:c r="J301" s="17" t="str">
        <x:v>禁止出现在消费者端、企业采购端、门户公开端及非授权日志</x:v>
      </x:c>
      <x:c r="K301" s="17" t="str">
        <x:v>DTO白名单；长度/枚举/归属/状态校验；禁止信任客户端派生值</x:v>
      </x:c>
      <x:c r="L301" s="17" t="str">
        <x:v>追加/版本/快照，不覆盖已生效历史</x:v>
      </x:c>
      <x:c r="M301" s="4" t="str">
        <x:v>M2</x:v>
      </x:c>
      <x:c r="N301" s="4" t="str">
        <x:v>P0-019,P0-071</x:v>
      </x:c>
      <x:c r="O301" s="4" t="str">
        <x:v>综合方案§13核心数据模型</x:v>
      </x:c>
      <x:c r="P301" s="4" t="str">
        <x:v>DRAFT_FROM_SCHEME</x:v>
      </x:c>
    </x:row>
    <x:row r="302" ht="23" customHeight="1">
      <x:c r="A302" s="4" t="str">
        <x:v>SupplyPriceChangeRequest</x:v>
      </x:c>
      <x:c r="B302" s="4" t="str">
        <x:v>oldSupplyPrice</x:v>
      </x:c>
      <x:c r="C302" s="17" t="str">
        <x:v>oldSupplyPrice</x:v>
      </x:c>
      <x:c r="D302" s="4" t="str">
        <x:v>5</x:v>
      </x:c>
      <x:c r="E302" s="4" t="str">
        <x:v>Int(分)</x:v>
      </x:c>
      <x:c r="F302" s="4" t="str">
        <x:v>YES</x:v>
      </x:c>
      <x:c r="G302" s="4" t="str">
        <x:v>整数分</x:v>
      </x:c>
      <x:c r="H302" s="17" t="str">
        <x:v>STRICT_INTERNAL_SUPPLY_PRICE</x:v>
      </x:c>
      <x:c r="I302" s="17" t="str">
        <x:v>仅公司价格/财务及本供应商价格/财务职能可见</x:v>
      </x:c>
      <x:c r="J302" s="17" t="str">
        <x:v>禁止出现在消费者端、企业采购端、门户公开端及非授权日志</x:v>
      </x:c>
      <x:c r="K302" s="17" t="str">
        <x:v>DTO白名单；长度/枚举/归属/状态校验；禁止信任客户端派生值</x:v>
      </x:c>
      <x:c r="L302" s="17" t="str">
        <x:v>追加/版本/快照，不覆盖已生效历史</x:v>
      </x:c>
      <x:c r="M302" s="4" t="str">
        <x:v>M2</x:v>
      </x:c>
      <x:c r="N302" s="4" t="str">
        <x:v>P0-019,P0-071</x:v>
      </x:c>
      <x:c r="O302" s="4" t="str">
        <x:v>综合方案§13核心数据模型</x:v>
      </x:c>
      <x:c r="P302" s="4" t="str">
        <x:v>DRAFT_FROM_SCHEME</x:v>
      </x:c>
    </x:row>
    <x:row r="303" ht="23" customHeight="1">
      <x:c r="A303" s="4" t="str">
        <x:v>SupplyPriceChangeRequest</x:v>
      </x:c>
      <x:c r="B303" s="4" t="str">
        <x:v>requestedSupplyPrice</x:v>
      </x:c>
      <x:c r="C303" s="17" t="str">
        <x:v>requestedSupplyPrice</x:v>
      </x:c>
      <x:c r="D303" s="4" t="str">
        <x:v>6</x:v>
      </x:c>
      <x:c r="E303" s="4" t="str">
        <x:v>Int(分)</x:v>
      </x:c>
      <x:c r="F303" s="4" t="str">
        <x:v>YES</x:v>
      </x:c>
      <x:c r="G303" s="4" t="str">
        <x:v>整数分</x:v>
      </x:c>
      <x:c r="H303" s="17" t="str">
        <x:v>STRICT_INTERNAL_SUPPLY_PRICE</x:v>
      </x:c>
      <x:c r="I303" s="17" t="str">
        <x:v>仅公司价格/财务及本供应商价格/财务职能可见</x:v>
      </x:c>
      <x:c r="J303" s="17" t="str">
        <x:v>禁止出现在消费者端、企业采购端、门户公开端及非授权日志</x:v>
      </x:c>
      <x:c r="K303" s="17" t="str">
        <x:v>DTO白名单；长度/枚举/归属/状态校验；禁止信任客户端派生值</x:v>
      </x:c>
      <x:c r="L303" s="17" t="str">
        <x:v>追加/版本/快照，不覆盖已生效历史</x:v>
      </x:c>
      <x:c r="M303" s="4" t="str">
        <x:v>M2</x:v>
      </x:c>
      <x:c r="N303" s="4" t="str">
        <x:v>P0-019,P0-071</x:v>
      </x:c>
      <x:c r="O303" s="4" t="str">
        <x:v>综合方案§13核心数据模型</x:v>
      </x:c>
      <x:c r="P303" s="4" t="str">
        <x:v>DRAFT_FROM_SCHEME</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ISO-8601+明确时区</x:v>
      </x:c>
      <x:c r="H304" s="17" t="str">
        <x:v>STRICT_INTERNAL_SUPPLY_PRICE</x:v>
      </x:c>
      <x:c r="I304" s="17" t="str">
        <x:v>仅公司价格/财务及本供应商价格/财务职能可见</x:v>
      </x:c>
      <x:c r="J304" s="17" t="str">
        <x:v>禁止出现在消费者端、企业采购端、门户公开端及非授权日志</x:v>
      </x:c>
      <x:c r="K304" s="17" t="str">
        <x:v>DTO白名单；长度/枚举/归属/状态校验；禁止信任客户端派生值</x:v>
      </x:c>
      <x:c r="L304" s="17" t="str">
        <x:v>追加/版本/快照，不覆盖已生效历史</x:v>
      </x:c>
      <x:c r="M304" s="4" t="str">
        <x:v>M2</x:v>
      </x:c>
      <x:c r="N304" s="4" t="str">
        <x:v>P0-019,P0-071</x:v>
      </x:c>
      <x:c r="O304" s="4" t="str">
        <x:v>综合方案§13核心数据模型</x:v>
      </x:c>
      <x:c r="P304" s="4" t="str">
        <x:v>DRAFT_FROM_SCHEME</x:v>
      </x:c>
    </x:row>
    <x:row r="305" ht="23" customHeight="1">
      <x:c r="A305" s="4" t="str">
        <x:v>SupplyPriceChangeRequest</x:v>
      </x:c>
      <x:c r="B305" s="4" t="str">
        <x:v>reviewStatus</x:v>
      </x:c>
      <x:c r="C305" s="17" t="str">
        <x:v>reviewStatus</x:v>
      </x:c>
      <x:c r="D305" s="4" t="str">
        <x:v>8</x:v>
      </x:c>
      <x:c r="E305" s="4" t="str">
        <x:v>Enum/String</x:v>
      </x:c>
      <x:c r="F305" s="4" t="str">
        <x:v>YES</x:v>
      </x:c>
      <x:c r="G305" s="4" t="str">
        <x:v>待M阶段冻结</x:v>
      </x:c>
      <x:c r="H305" s="17" t="str">
        <x:v>STRICT_INTERNAL_SUPPLY_PRICE</x:v>
      </x:c>
      <x:c r="I305" s="17" t="str">
        <x:v>仅公司价格/财务及本供应商价格/财务职能可见</x:v>
      </x:c>
      <x:c r="J305" s="17" t="str">
        <x:v>禁止出现在消费者端、企业采购端、门户公开端及非授权日志</x:v>
      </x:c>
      <x:c r="K305" s="17" t="str">
        <x:v>DTO白名单；长度/枚举/归属/状态校验；禁止信任客户端派生值</x:v>
      </x:c>
      <x:c r="L305" s="17" t="str">
        <x:v>追加/版本/快照，不覆盖已生效历史</x:v>
      </x:c>
      <x:c r="M305" s="4" t="str">
        <x:v>M2</x:v>
      </x:c>
      <x:c r="N305" s="4" t="str">
        <x:v>P0-019,P0-071</x:v>
      </x:c>
      <x:c r="O305" s="4" t="str">
        <x:v>综合方案§13核心数据模型</x:v>
      </x:c>
      <x:c r="P305" s="4" t="str">
        <x:v>DRAFT_FROM_SCHEME</x:v>
      </x:c>
    </x:row>
    <x:row r="306" ht="23" customHeight="1">
      <x:c r="A306" s="4" t="str">
        <x:v>SupplyPriceChangeRequest</x:v>
      </x:c>
      <x:c r="B306" s="4" t="str">
        <x:v>reviewReason</x:v>
      </x:c>
      <x:c r="C306" s="17" t="str">
        <x:v>reviewReason</x:v>
      </x:c>
      <x:c r="D306" s="4" t="str">
        <x:v>9</x:v>
      </x:c>
      <x:c r="E306" s="4" t="str">
        <x:v>String</x:v>
      </x:c>
      <x:c r="F306" s="4" t="str">
        <x:v>YES</x:v>
      </x:c>
      <x:c r="G306" s="4" t="str">
        <x:v>待M阶段冻结</x:v>
      </x:c>
      <x:c r="H306" s="17" t="str">
        <x:v>STRICT_INTERNAL_SUPPLY_PRICE</x:v>
      </x:c>
      <x:c r="I306" s="17" t="str">
        <x:v>仅公司价格/财务及本供应商价格/财务职能可见</x:v>
      </x:c>
      <x:c r="J306" s="17" t="str">
        <x:v>禁止出现在消费者端、企业采购端、门户公开端及非授权日志</x:v>
      </x:c>
      <x:c r="K306" s="17" t="str">
        <x:v>DTO白名单；长度/枚举/归属/状态校验；禁止信任客户端派生值</x:v>
      </x:c>
      <x:c r="L306" s="17" t="str">
        <x:v>追加/版本/快照，不覆盖已生效历史</x:v>
      </x:c>
      <x:c r="M306" s="4" t="str">
        <x:v>M2</x:v>
      </x:c>
      <x:c r="N306" s="4" t="str">
        <x:v>P0-019,P0-071</x:v>
      </x:c>
      <x:c r="O306" s="4" t="str">
        <x:v>综合方案§13核心数据模型</x:v>
      </x:c>
      <x:c r="P306" s="4" t="str">
        <x:v>DRAFT_FROM_SCHEME</x:v>
      </x:c>
    </x:row>
    <x:row r="307" ht="23" customHeight="1">
      <x:c r="A307" s="4" t="str">
        <x:v>SupplyPriceChangeRequest</x:v>
      </x:c>
      <x:c r="B307" s="4" t="str">
        <x:v>reviewedBy</x:v>
      </x:c>
      <x:c r="C307" s="17" t="str">
        <x:v>reviewedBy</x:v>
      </x:c>
      <x:c r="D307" s="4" t="str">
        <x:v>10</x:v>
      </x:c>
      <x:c r="E307" s="4" t="str">
        <x:v>String</x:v>
      </x:c>
      <x:c r="F307" s="4" t="str">
        <x:v>YES</x:v>
      </x:c>
      <x:c r="G307" s="4" t="str">
        <x:v>待M阶段冻结</x:v>
      </x:c>
      <x:c r="H307" s="17" t="str">
        <x:v>STRICT_INTERNAL_SUPPLY_PRICE</x:v>
      </x:c>
      <x:c r="I307" s="17" t="str">
        <x:v>仅公司价格/财务及本供应商价格/财务职能可见</x:v>
      </x:c>
      <x:c r="J307" s="17" t="str">
        <x:v>禁止出现在消费者端、企业采购端、门户公开端及非授权日志</x:v>
      </x:c>
      <x:c r="K307" s="17" t="str">
        <x:v>DTO白名单；长度/枚举/归属/状态校验；禁止信任客户端派生值</x:v>
      </x:c>
      <x:c r="L307" s="17" t="str">
        <x:v>追加/版本/快照，不覆盖已生效历史</x:v>
      </x:c>
      <x:c r="M307" s="4" t="str">
        <x:v>M2</x:v>
      </x:c>
      <x:c r="N307" s="4" t="str">
        <x:v>P0-019,P0-071</x:v>
      </x:c>
      <x:c r="O307" s="4" t="str">
        <x:v>综合方案§13核心数据模型</x:v>
      </x:c>
      <x:c r="P307" s="4" t="str">
        <x:v>DRAFT_FROM_SCHEME</x:v>
      </x:c>
    </x:row>
    <x:row r="308" ht="23" customHeight="1">
      <x:c r="A308" s="4" t="str">
        <x:v>SupplyPriceChangeRequest</x:v>
      </x:c>
      <x:c r="B308" s="4" t="str">
        <x:v>reviewedAt</x:v>
      </x:c>
      <x:c r="C308" s="17" t="str">
        <x:v>reviewedAt</x:v>
      </x:c>
      <x:c r="D308" s="4" t="str">
        <x:v>11</x:v>
      </x:c>
      <x:c r="E308" s="4" t="str">
        <x:v>DateTime</x:v>
      </x:c>
      <x:c r="F308" s="4" t="str">
        <x:v>YES</x:v>
      </x:c>
      <x:c r="G308" s="4" t="str">
        <x:v>ISO-8601+明确时区</x:v>
      </x:c>
      <x:c r="H308" s="17" t="str">
        <x:v>STRICT_INTERNAL_SUPPLY_PRICE</x:v>
      </x:c>
      <x:c r="I308" s="17" t="str">
        <x:v>仅公司价格/财务及本供应商价格/财务职能可见</x:v>
      </x:c>
      <x:c r="J308" s="17" t="str">
        <x:v>禁止出现在消费者端、企业采购端、门户公开端及非授权日志</x:v>
      </x:c>
      <x:c r="K308" s="17" t="str">
        <x:v>DTO白名单；长度/枚举/归属/状态校验；禁止信任客户端派生值</x:v>
      </x:c>
      <x:c r="L308" s="17" t="str">
        <x:v>追加/版本/快照，不覆盖已生效历史</x:v>
      </x:c>
      <x:c r="M308" s="4" t="str">
        <x:v>M2</x:v>
      </x:c>
      <x:c r="N308" s="4" t="str">
        <x:v>P0-019,P0-071</x:v>
      </x:c>
      <x:c r="O308" s="4" t="str">
        <x:v>综合方案§13核心数据模型</x:v>
      </x:c>
      <x:c r="P308" s="4" t="str">
        <x:v>DRAFT_FROM_SCHEME</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ISO-8601+明确时区</x:v>
      </x:c>
      <x:c r="H309" s="17" t="str">
        <x:v>STRICT_INTERNAL_SUPPLY_PRICE</x:v>
      </x:c>
      <x:c r="I309" s="17" t="str">
        <x:v>仅公司价格/财务及本供应商价格/财务职能可见</x:v>
      </x:c>
      <x:c r="J309" s="17" t="str">
        <x:v>禁止出现在消费者端、企业采购端、门户公开端及非授权日志</x:v>
      </x:c>
      <x:c r="K309" s="17" t="str">
        <x:v>DTO白名单；长度/枚举/归属/状态校验；禁止信任客户端派生值</x:v>
      </x:c>
      <x:c r="L309" s="17" t="str">
        <x:v>追加/版本/快照，不覆盖已生效历史</x:v>
      </x:c>
      <x:c r="M309" s="4" t="str">
        <x:v>M2</x:v>
      </x:c>
      <x:c r="N309" s="4" t="str">
        <x:v>P0-019,P0-071</x:v>
      </x:c>
      <x:c r="O309" s="4" t="str">
        <x:v>综合方案§13核心数据模型</x:v>
      </x:c>
      <x:c r="P309" s="4" t="str">
        <x:v>DRAFT_FROM_SCHEME</x:v>
      </x:c>
    </x:row>
    <x:row r="310" ht="23" customHeight="1">
      <x:c r="A310" s="4" t="str">
        <x:v>SupplyPriceChangeRequest</x:v>
      </x:c>
      <x:c r="B310" s="4" t="str">
        <x:v>version</x:v>
      </x:c>
      <x:c r="C310" s="17" t="str">
        <x:v>version</x:v>
      </x:c>
      <x:c r="D310" s="4" t="str">
        <x:v>13</x:v>
      </x:c>
      <x:c r="E310" s="4" t="str">
        <x:v>Int</x:v>
      </x:c>
      <x:c r="F310" s="4" t="str">
        <x:v>YES</x:v>
      </x:c>
      <x:c r="G310" s="4" t="str">
        <x:v>待M阶段冻结</x:v>
      </x:c>
      <x:c r="H310" s="17" t="str">
        <x:v>STRICT_INTERNAL_SUPPLY_PRICE</x:v>
      </x:c>
      <x:c r="I310" s="17" t="str">
        <x:v>仅公司价格/财务及本供应商价格/财务职能可见</x:v>
      </x:c>
      <x:c r="J310" s="17" t="str">
        <x:v>禁止出现在消费者端、企业采购端、门户公开端及非授权日志</x:v>
      </x:c>
      <x:c r="K310" s="17" t="str">
        <x:v>DTO白名单；长度/枚举/归属/状态校验；禁止信任客户端派生值</x:v>
      </x:c>
      <x:c r="L310" s="17" t="str">
        <x:v>追加/版本/快照，不覆盖已生效历史</x:v>
      </x:c>
      <x:c r="M310" s="4" t="str">
        <x:v>M2</x:v>
      </x:c>
      <x:c r="N310" s="4" t="str">
        <x:v>P0-019,P0-071</x:v>
      </x:c>
      <x:c r="O310" s="4" t="str">
        <x:v>综合方案§13核心数据模型</x:v>
      </x:c>
      <x:c r="P310" s="4" t="str">
        <x:v>DRAFT_FROM_SCHEME</x:v>
      </x:c>
    </x:row>
    <x:row r="311" ht="23" customHeight="1">
      <x:c r="A311" s="4" t="str">
        <x:v>SupplyPriceChangeRequest</x:v>
      </x:c>
      <x:c r="B311" s="4" t="str">
        <x:v>createdAt</x:v>
      </x:c>
      <x:c r="C311" s="17" t="str">
        <x:v>createdAt</x:v>
      </x:c>
      <x:c r="D311" s="4" t="str">
        <x:v>14</x:v>
      </x:c>
      <x:c r="E311" s="4" t="str">
        <x:v>DateTime</x:v>
      </x:c>
      <x:c r="F311" s="4" t="str">
        <x:v>YES</x:v>
      </x:c>
      <x:c r="G311" s="4" t="str">
        <x:v>ISO-8601+明确时区</x:v>
      </x:c>
      <x:c r="H311" s="17" t="str">
        <x:v>STRICT_INTERNAL_SUPPLY_PRICE</x:v>
      </x:c>
      <x:c r="I311" s="17" t="str">
        <x:v>仅公司价格/财务及本供应商价格/财务职能可见</x:v>
      </x:c>
      <x:c r="J311" s="17" t="str">
        <x:v>禁止出现在消费者端、企业采购端、门户公开端及非授权日志</x:v>
      </x:c>
      <x:c r="K311" s="17" t="str">
        <x:v>DTO白名单；长度/枚举/归属/状态校验；禁止信任客户端派生值</x:v>
      </x:c>
      <x:c r="L311" s="17" t="str">
        <x:v>追加/版本/快照，不覆盖已生效历史</x:v>
      </x:c>
      <x:c r="M311" s="4" t="str">
        <x:v>M2</x:v>
      </x:c>
      <x:c r="N311" s="4" t="str">
        <x:v>P0-019,P0-071</x:v>
      </x:c>
      <x:c r="O311" s="4" t="str">
        <x:v>综合方案§13核心数据模型</x:v>
      </x:c>
      <x:c r="P311" s="4" t="str">
        <x:v>DRAFT_FROM_SCHEME</x:v>
      </x:c>
    </x:row>
    <x:row r="312" ht="23" customHeight="1">
      <x:c r="A312" s="4" t="str">
        <x:v>PriceChangeLog</x:v>
      </x:c>
      <x:c r="B312" s="4" t="str">
        <x:v>id</x:v>
      </x:c>
      <x:c r="C312" s="17" t="str">
        <x:v>id</x:v>
      </x:c>
      <x:c r="D312" s="4" t="str">
        <x:v>1</x:v>
      </x:c>
      <x:c r="E312" s="4" t="str">
        <x:v>String/UUID</x:v>
      </x:c>
      <x:c r="F312" s="4" t="str">
        <x:v>YES</x:v>
      </x:c>
      <x:c r="G312" s="4" t="str">
        <x:v>待M阶段冻结</x:v>
      </x:c>
      <x:c r="H312" s="17" t="str">
        <x:v>INTERNAL</x:v>
      </x:c>
      <x:c r="I312" s="17" t="str">
        <x:v>按资源权限与数据域访问；公开DTO另行白名单</x:v>
      </x:c>
      <x:c r="J312" s="17" t="str">
        <x:v>数据库实体不得直接序列化为响应</x:v>
      </x:c>
      <x:c r="K312" s="17" t="str">
        <x:v>DTO白名单；长度/枚举/归属/状态校验；禁止信任客户端派生值</x:v>
      </x:c>
      <x:c r="L312" s="17" t="str">
        <x:v>追加/版本/快照，不覆盖已生效历史</x:v>
      </x:c>
      <x:c r="M312" s="4" t="str">
        <x:v>M2</x:v>
      </x:c>
      <x:c r="N312" s="4" t="str">
        <x:v>待切片细化</x:v>
      </x:c>
      <x:c r="O312" s="4" t="str">
        <x:v>综合方案§13核心数据模型</x:v>
      </x:c>
      <x:c r="P312" s="4" t="str">
        <x:v>DRAFT_FROM_SCHEME</x:v>
      </x:c>
    </x:row>
    <x:row r="313" ht="23" customHeight="1">
      <x:c r="A313" s="4" t="str">
        <x:v>PriceChangeLog</x:v>
      </x:c>
      <x:c r="B313" s="4" t="str">
        <x:v>supplierId</x:v>
      </x:c>
      <x:c r="C313" s="17" t="str">
        <x:v>supplierId</x:v>
      </x:c>
      <x:c r="D313" s="4" t="str">
        <x:v>2</x:v>
      </x:c>
      <x:c r="E313" s="4" t="str">
        <x:v>String/UUID</x:v>
      </x:c>
      <x:c r="F313" s="4" t="str">
        <x:v>YES</x:v>
      </x:c>
      <x:c r="G313" s="4" t="str">
        <x:v>待M阶段冻结</x:v>
      </x:c>
      <x:c r="H313" s="17" t="str">
        <x:v>INTERNAL</x:v>
      </x:c>
      <x:c r="I313" s="17" t="str">
        <x:v>按资源权限与数据域访问；公开DTO另行白名单</x:v>
      </x:c>
      <x:c r="J313" s="17" t="str">
        <x:v>数据库实体不得直接序列化为响应</x:v>
      </x:c>
      <x:c r="K313" s="17" t="str">
        <x:v>DTO白名单；长度/枚举/归属/状态校验；禁止信任客户端派生值</x:v>
      </x:c>
      <x:c r="L313" s="17" t="str">
        <x:v>追加/版本/快照，不覆盖已生效历史</x:v>
      </x:c>
      <x:c r="M313" s="4" t="str">
        <x:v>M2</x:v>
      </x:c>
      <x:c r="N313" s="4" t="str">
        <x:v>待切片细化</x:v>
      </x:c>
      <x:c r="O313" s="4" t="str">
        <x:v>综合方案§13核心数据模型</x:v>
      </x:c>
      <x:c r="P313" s="4" t="str">
        <x:v>DRAFT_FROM_SCHEME</x:v>
      </x:c>
    </x:row>
    <x:row r="314" ht="23" customHeight="1">
      <x:c r="A314" s="4" t="str">
        <x:v>PriceChangeLog</x:v>
      </x:c>
      <x:c r="B314" s="4" t="str">
        <x:v>productId</x:v>
      </x:c>
      <x:c r="C314" s="17" t="str">
        <x:v>productId</x:v>
      </x:c>
      <x:c r="D314" s="4" t="str">
        <x:v>3</x:v>
      </x:c>
      <x:c r="E314" s="4" t="str">
        <x:v>String/UUID</x:v>
      </x:c>
      <x:c r="F314" s="4" t="str">
        <x:v>YES</x:v>
      </x:c>
      <x:c r="G314" s="4" t="str">
        <x:v>待M阶段冻结</x:v>
      </x:c>
      <x:c r="H314" s="17" t="str">
        <x:v>INTERNAL</x:v>
      </x:c>
      <x:c r="I314" s="17" t="str">
        <x:v>按资源权限与数据域访问；公开DTO另行白名单</x:v>
      </x:c>
      <x:c r="J314" s="17" t="str">
        <x:v>数据库实体不得直接序列化为响应</x:v>
      </x:c>
      <x:c r="K314" s="17" t="str">
        <x:v>DTO白名单；长度/枚举/归属/状态校验；禁止信任客户端派生值</x:v>
      </x:c>
      <x:c r="L314" s="17" t="str">
        <x:v>追加/版本/快照，不覆盖已生效历史</x:v>
      </x:c>
      <x:c r="M314" s="4" t="str">
        <x:v>M2</x:v>
      </x:c>
      <x:c r="N314" s="4" t="str">
        <x:v>待切片细化</x:v>
      </x:c>
      <x:c r="O314" s="4" t="str">
        <x:v>综合方案§13核心数据模型</x:v>
      </x:c>
      <x:c r="P314" s="4" t="str">
        <x:v>DRAFT_FROM_SCHEME</x:v>
      </x:c>
    </x:row>
    <x:row r="315" ht="23" customHeight="1">
      <x:c r="A315" s="4" t="str">
        <x:v>PriceChangeLog</x:v>
      </x:c>
      <x:c r="B315" s="4" t="str">
        <x:v>skuId</x:v>
      </x:c>
      <x:c r="C315" s="17" t="str">
        <x:v>skuId</x:v>
      </x:c>
      <x:c r="D315" s="4" t="str">
        <x:v>4</x:v>
      </x:c>
      <x:c r="E315" s="4" t="str">
        <x:v>String/UUID</x:v>
      </x:c>
      <x:c r="F315" s="4" t="str">
        <x:v>YES</x:v>
      </x:c>
      <x:c r="G315" s="4" t="str">
        <x:v>待M阶段冻结</x:v>
      </x:c>
      <x:c r="H315" s="17" t="str">
        <x:v>INTERNAL</x:v>
      </x:c>
      <x:c r="I315" s="17" t="str">
        <x:v>按资源权限与数据域访问；公开DTO另行白名单</x:v>
      </x:c>
      <x:c r="J315" s="17" t="str">
        <x:v>数据库实体不得直接序列化为响应</x:v>
      </x:c>
      <x:c r="K315" s="17" t="str">
        <x:v>DTO白名单；长度/枚举/归属/状态校验；禁止信任客户端派生值</x:v>
      </x:c>
      <x:c r="L315" s="17" t="str">
        <x:v>追加/版本/快照，不覆盖已生效历史</x:v>
      </x:c>
      <x:c r="M315" s="4" t="str">
        <x:v>M2</x:v>
      </x:c>
      <x:c r="N315" s="4" t="str">
        <x:v>待切片细化</x:v>
      </x:c>
      <x:c r="O315" s="4" t="str">
        <x:v>综合方案§13核心数据模型</x:v>
      </x:c>
      <x:c r="P315" s="4" t="str">
        <x:v>DRAFT_FROM_SCHEME</x:v>
      </x:c>
    </x:row>
    <x:row r="316" ht="23" customHeight="1">
      <x:c r="A316" s="4" t="str">
        <x:v>PriceChangeLog</x:v>
      </x:c>
      <x:c r="B316" s="4" t="str">
        <x:v>priceType</x:v>
      </x:c>
      <x:c r="C316" s="17" t="str">
        <x:v>priceType</x:v>
      </x:c>
      <x:c r="D316" s="4" t="str">
        <x:v>5</x:v>
      </x:c>
      <x:c r="E316" s="4" t="str">
        <x:v>Int(分)</x:v>
      </x:c>
      <x:c r="F316" s="4" t="str">
        <x:v>YES</x:v>
      </x:c>
      <x:c r="G316" s="4" t="str">
        <x:v>整数分</x:v>
      </x:c>
      <x:c r="H316" s="17" t="str">
        <x:v>INTERNAL</x:v>
      </x:c>
      <x:c r="I316" s="17" t="str">
        <x:v>按资源权限与数据域访问；公开DTO另行白名单</x:v>
      </x:c>
      <x:c r="J316" s="17" t="str">
        <x:v>数据库实体不得直接序列化为响应</x:v>
      </x:c>
      <x:c r="K316" s="17" t="str">
        <x:v>DTO白名单；长度/枚举/归属/状态校验；禁止信任客户端派生值</x:v>
      </x:c>
      <x:c r="L316" s="17" t="str">
        <x:v>追加/版本/快照，不覆盖已生效历史</x:v>
      </x:c>
      <x:c r="M316" s="4" t="str">
        <x:v>M2</x:v>
      </x:c>
      <x:c r="N316" s="4" t="str">
        <x:v>待切片细化</x:v>
      </x:c>
      <x:c r="O316" s="4" t="str">
        <x:v>综合方案§13核心数据模型</x:v>
      </x:c>
      <x:c r="P316" s="4" t="str">
        <x:v>DRAFT_FROM_SCHEME</x:v>
      </x:c>
    </x:row>
    <x:row r="317" ht="23" customHeight="1">
      <x:c r="A317" s="4" t="str">
        <x:v>PriceChangeLog</x:v>
      </x:c>
      <x:c r="B317" s="4" t="str">
        <x:v>approvalRequestId</x:v>
      </x:c>
      <x:c r="C317" s="17" t="str">
        <x:v>approvalRequestId?</x:v>
      </x:c>
      <x:c r="D317" s="4" t="str">
        <x:v>6</x:v>
      </x:c>
      <x:c r="E317" s="4" t="str">
        <x:v>String/UUID</x:v>
      </x:c>
      <x:c r="F317" s="4" t="str">
        <x:v>NO</x:v>
      </x:c>
      <x:c r="G317" s="4" t="str">
        <x:v>待M阶段冻结</x:v>
      </x:c>
      <x:c r="H317" s="17" t="str">
        <x:v>INTERNAL</x:v>
      </x:c>
      <x:c r="I317" s="17" t="str">
        <x:v>按资源权限与数据域访问；公开DTO另行白名单</x:v>
      </x:c>
      <x:c r="J317" s="17" t="str">
        <x:v>数据库实体不得直接序列化为响应</x:v>
      </x:c>
      <x:c r="K317" s="17" t="str">
        <x:v>DTO白名单；长度/枚举/归属/状态校验；禁止信任客户端派生值</x:v>
      </x:c>
      <x:c r="L317" s="17" t="str">
        <x:v>追加/版本/快照，不覆盖已生效历史</x:v>
      </x:c>
      <x:c r="M317" s="4" t="str">
        <x:v>M2</x:v>
      </x:c>
      <x:c r="N317" s="4" t="str">
        <x:v>待切片细化</x:v>
      </x:c>
      <x:c r="O317" s="4" t="str">
        <x:v>综合方案§13核心数据模型</x:v>
      </x:c>
      <x:c r="P317" s="4" t="str">
        <x:v>DRAFT_FROM_SCHEME</x:v>
      </x:c>
    </x:row>
    <x:row r="318" ht="23" customHeight="1">
      <x:c r="A318" s="4" t="str">
        <x:v>PriceChangeLog</x:v>
      </x:c>
      <x:c r="B318" s="4" t="str">
        <x:v>oldSupplyPrice</x:v>
      </x:c>
      <x:c r="C318" s="17" t="str">
        <x:v>oldSupplyPrice</x:v>
      </x:c>
      <x:c r="D318" s="4" t="str">
        <x:v>7</x:v>
      </x:c>
      <x:c r="E318" s="4" t="str">
        <x:v>Int(分)</x:v>
      </x:c>
      <x:c r="F318" s="4" t="str">
        <x:v>YES</x:v>
      </x:c>
      <x:c r="G318" s="4" t="str">
        <x:v>整数分</x:v>
      </x:c>
      <x:c r="H318" s="17" t="str">
        <x:v>STRICT_INTERNAL_SUPPLY_PRICE</x:v>
      </x:c>
      <x:c r="I318" s="17" t="str">
        <x:v>仅公司价格/财务及本供应商价格/财务职能可见</x:v>
      </x:c>
      <x:c r="J318" s="17" t="str">
        <x:v>禁止出现在消费者端、企业采购端、门户公开端及非授权日志</x:v>
      </x:c>
      <x:c r="K318" s="17" t="str">
        <x:v>DTO白名单；长度/枚举/归属/状态校验；禁止信任客户端派生值</x:v>
      </x:c>
      <x:c r="L318" s="17" t="str">
        <x:v>追加/版本/快照，不覆盖已生效历史</x:v>
      </x:c>
      <x:c r="M318" s="4" t="str">
        <x:v>M2</x:v>
      </x:c>
      <x:c r="N318" s="4" t="str">
        <x:v>待切片细化</x:v>
      </x:c>
      <x:c r="O318" s="4" t="str">
        <x:v>综合方案§13核心数据模型</x:v>
      </x:c>
      <x:c r="P318" s="4" t="str">
        <x:v>DRAFT_FROM_SCHEME</x:v>
      </x:c>
    </x:row>
    <x:row r="319" ht="23" customHeight="1">
      <x:c r="A319" s="4" t="str">
        <x:v>PriceChangeLog</x:v>
      </x:c>
      <x:c r="B319" s="4" t="str">
        <x:v>newSupplyPrice</x:v>
      </x:c>
      <x:c r="C319" s="17" t="str">
        <x:v>newSupplyPrice</x:v>
      </x:c>
      <x:c r="D319" s="4" t="str">
        <x:v>8</x:v>
      </x:c>
      <x:c r="E319" s="4" t="str">
        <x:v>Int(分)</x:v>
      </x:c>
      <x:c r="F319" s="4" t="str">
        <x:v>YES</x:v>
      </x:c>
      <x:c r="G319" s="4" t="str">
        <x:v>整数分</x:v>
      </x:c>
      <x:c r="H319" s="17" t="str">
        <x:v>STRICT_INTERNAL_SUPPLY_PRICE</x:v>
      </x:c>
      <x:c r="I319" s="17" t="str">
        <x:v>仅公司价格/财务及本供应商价格/财务职能可见</x:v>
      </x:c>
      <x:c r="J319" s="17" t="str">
        <x:v>禁止出现在消费者端、企业采购端、门户公开端及非授权日志</x:v>
      </x:c>
      <x:c r="K319" s="17" t="str">
        <x:v>DTO白名单；长度/枚举/归属/状态校验；禁止信任客户端派生值</x:v>
      </x:c>
      <x:c r="L319" s="17" t="str">
        <x:v>追加/版本/快照，不覆盖已生效历史</x:v>
      </x:c>
      <x:c r="M319" s="4" t="str">
        <x:v>M2</x:v>
      </x:c>
      <x:c r="N319" s="4" t="str">
        <x:v>待切片细化</x:v>
      </x:c>
      <x:c r="O319" s="4" t="str">
        <x:v>综合方案§13核心数据模型</x:v>
      </x:c>
      <x:c r="P319" s="4" t="str">
        <x:v>DRAFT_FROM_SCHEME</x:v>
      </x:c>
    </x:row>
    <x:row r="320" ht="23" customHeight="1">
      <x:c r="A320" s="4" t="str">
        <x:v>PriceChangeLog</x:v>
      </x:c>
      <x:c r="B320" s="4" t="str">
        <x:v>oldRetailSalePrice</x:v>
      </x:c>
      <x:c r="C320" s="17" t="str">
        <x:v>oldRetailSalePrice</x:v>
      </x:c>
      <x:c r="D320" s="4" t="str">
        <x:v>9</x:v>
      </x:c>
      <x:c r="E320" s="4" t="str">
        <x:v>Int(分)</x:v>
      </x:c>
      <x:c r="F320" s="4" t="str">
        <x:v>YES</x:v>
      </x:c>
      <x:c r="G320" s="4" t="str">
        <x:v>整数分</x:v>
      </x:c>
      <x:c r="H320" s="17" t="str">
        <x:v>INTERNAL</x:v>
      </x:c>
      <x:c r="I320" s="17" t="str">
        <x:v>按资源权限与数据域访问；公开DTO另行白名单</x:v>
      </x:c>
      <x:c r="J320" s="17" t="str">
        <x:v>数据库实体不得直接序列化为响应</x:v>
      </x:c>
      <x:c r="K320" s="17" t="str">
        <x:v>DTO白名单；长度/枚举/归属/状态校验；禁止信任客户端派生值</x:v>
      </x:c>
      <x:c r="L320" s="17" t="str">
        <x:v>追加/版本/快照，不覆盖已生效历史</x:v>
      </x:c>
      <x:c r="M320" s="4" t="str">
        <x:v>M2</x:v>
      </x:c>
      <x:c r="N320" s="4" t="str">
        <x:v>待切片细化</x:v>
      </x:c>
      <x:c r="O320" s="4" t="str">
        <x:v>综合方案§13核心数据模型</x:v>
      </x:c>
      <x:c r="P320" s="4" t="str">
        <x:v>DRAFT_FROM_SCHEME</x:v>
      </x:c>
    </x:row>
    <x:row r="321" ht="23" customHeight="1">
      <x:c r="A321" s="4" t="str">
        <x:v>PriceChangeLog</x:v>
      </x:c>
      <x:c r="B321" s="4" t="str">
        <x:v>newRetailSalePrice</x:v>
      </x:c>
      <x:c r="C321" s="17" t="str">
        <x:v>newRetailSalePrice</x:v>
      </x:c>
      <x:c r="D321" s="4" t="str">
        <x:v>10</x:v>
      </x:c>
      <x:c r="E321" s="4" t="str">
        <x:v>Int(分)</x:v>
      </x:c>
      <x:c r="F321" s="4" t="str">
        <x:v>YES</x:v>
      </x:c>
      <x:c r="G321" s="4" t="str">
        <x:v>整数分</x:v>
      </x:c>
      <x:c r="H321" s="17" t="str">
        <x:v>INTERNAL</x:v>
      </x:c>
      <x:c r="I321" s="17" t="str">
        <x:v>按资源权限与数据域访问；公开DTO另行白名单</x:v>
      </x:c>
      <x:c r="J321" s="17" t="str">
        <x:v>数据库实体不得直接序列化为响应</x:v>
      </x:c>
      <x:c r="K321" s="17" t="str">
        <x:v>DTO白名单；长度/枚举/归属/状态校验；禁止信任客户端派生值</x:v>
      </x:c>
      <x:c r="L321" s="17" t="str">
        <x:v>追加/版本/快照，不覆盖已生效历史</x:v>
      </x:c>
      <x:c r="M321" s="4" t="str">
        <x:v>M2</x:v>
      </x:c>
      <x:c r="N321" s="4" t="str">
        <x:v>待切片细化</x:v>
      </x:c>
      <x:c r="O321" s="4" t="str">
        <x:v>综合方案§13核心数据模型</x:v>
      </x:c>
      <x:c r="P321" s="4" t="str">
        <x:v>DRAFT_FROM_SCHEME</x:v>
      </x:c>
    </x:row>
    <x:row r="322" ht="23" customHeight="1">
      <x:c r="A322" s="4" t="str">
        <x:v>PriceChangeLog</x:v>
      </x:c>
      <x:c r="B322" s="4" t="str">
        <x:v>oldEnterpriseSalePrice</x:v>
      </x:c>
      <x:c r="C322" s="17" t="str">
        <x:v>oldEnterpriseSalePrice</x:v>
      </x:c>
      <x:c r="D322" s="4" t="str">
        <x:v>11</x:v>
      </x:c>
      <x:c r="E322" s="4" t="str">
        <x:v>Int(分)</x:v>
      </x:c>
      <x:c r="F322" s="4" t="str">
        <x:v>YES</x:v>
      </x:c>
      <x:c r="G322" s="4" t="str">
        <x:v>整数分</x:v>
      </x:c>
      <x:c r="H322" s="17" t="str">
        <x:v>INTERNAL</x:v>
      </x:c>
      <x:c r="I322" s="17" t="str">
        <x:v>按资源权限与数据域访问；公开DTO另行白名单</x:v>
      </x:c>
      <x:c r="J322" s="17" t="str">
        <x:v>数据库实体不得直接序列化为响应</x:v>
      </x:c>
      <x:c r="K322" s="17" t="str">
        <x:v>DTO白名单；长度/枚举/归属/状态校验；禁止信任客户端派生值</x:v>
      </x:c>
      <x:c r="L322" s="17" t="str">
        <x:v>追加/版本/快照，不覆盖已生效历史</x:v>
      </x:c>
      <x:c r="M322" s="4" t="str">
        <x:v>M2</x:v>
      </x:c>
      <x:c r="N322" s="4" t="str">
        <x:v>待切片细化</x:v>
      </x:c>
      <x:c r="O322" s="4" t="str">
        <x:v>综合方案§13核心数据模型</x:v>
      </x:c>
      <x:c r="P322" s="4" t="str">
        <x:v>DRAFT_FROM_SCHEME</x:v>
      </x:c>
    </x:row>
    <x:row r="323" ht="23" customHeight="1">
      <x:c r="A323" s="4" t="str">
        <x:v>PriceChangeLog</x:v>
      </x:c>
      <x:c r="B323" s="4" t="str">
        <x:v>newEnterpriseSalePrice</x:v>
      </x:c>
      <x:c r="C323" s="17" t="str">
        <x:v>newEnterpriseSalePrice</x:v>
      </x:c>
      <x:c r="D323" s="4" t="str">
        <x:v>12</x:v>
      </x:c>
      <x:c r="E323" s="4" t="str">
        <x:v>Int(分)</x:v>
      </x:c>
      <x:c r="F323" s="4" t="str">
        <x:v>YES</x:v>
      </x:c>
      <x:c r="G323" s="4" t="str">
        <x:v>整数分</x:v>
      </x:c>
      <x:c r="H323" s="17" t="str">
        <x:v>INTERNAL</x:v>
      </x:c>
      <x:c r="I323" s="17" t="str">
        <x:v>按资源权限与数据域访问；公开DTO另行白名单</x:v>
      </x:c>
      <x:c r="J323" s="17" t="str">
        <x:v>数据库实体不得直接序列化为响应</x:v>
      </x:c>
      <x:c r="K323" s="17" t="str">
        <x:v>DTO白名单；长度/枚举/归属/状态校验；禁止信任客户端派生值</x:v>
      </x:c>
      <x:c r="L323" s="17" t="str">
        <x:v>追加/版本/快照，不覆盖已生效历史</x:v>
      </x:c>
      <x:c r="M323" s="4" t="str">
        <x:v>M2</x:v>
      </x:c>
      <x:c r="N323" s="4" t="str">
        <x:v>待切片细化</x:v>
      </x:c>
      <x:c r="O323" s="4" t="str">
        <x:v>综合方案§13核心数据模型</x:v>
      </x:c>
      <x:c r="P323" s="4" t="str">
        <x:v>DRAFT_FROM_SCHEME</x:v>
      </x:c>
    </x:row>
    <x:row r="324" ht="23" customHeight="1">
      <x:c r="A324" s="4" t="str">
        <x:v>PriceChangeLog</x:v>
      </x:c>
      <x:c r="B324" s="4" t="str">
        <x:v>effectiveAt</x:v>
      </x:c>
      <x:c r="C324" s="17" t="str">
        <x:v>effectiveAt</x:v>
      </x:c>
      <x:c r="D324" s="4" t="str">
        <x:v>13</x:v>
      </x:c>
      <x:c r="E324" s="4" t="str">
        <x:v>DateTime</x:v>
      </x:c>
      <x:c r="F324" s="4" t="str">
        <x:v>YES</x:v>
      </x:c>
      <x:c r="G324" s="4" t="str">
        <x:v>ISO-8601+明确时区</x:v>
      </x:c>
      <x:c r="H324" s="17" t="str">
        <x:v>INTERNAL</x:v>
      </x:c>
      <x:c r="I324" s="17" t="str">
        <x:v>按资源权限与数据域访问；公开DTO另行白名单</x:v>
      </x:c>
      <x:c r="J324" s="17" t="str">
        <x:v>数据库实体不得直接序列化为响应</x:v>
      </x:c>
      <x:c r="K324" s="17" t="str">
        <x:v>DTO白名单；长度/枚举/归属/状态校验；禁止信任客户端派生值</x:v>
      </x:c>
      <x:c r="L324" s="17" t="str">
        <x:v>追加/版本/快照，不覆盖已生效历史</x:v>
      </x:c>
      <x:c r="M324" s="4" t="str">
        <x:v>M2</x:v>
      </x:c>
      <x:c r="N324" s="4" t="str">
        <x:v>待切片细化</x:v>
      </x:c>
      <x:c r="O324" s="4" t="str">
        <x:v>综合方案§13核心数据模型</x:v>
      </x:c>
      <x:c r="P324" s="4" t="str">
        <x:v>DRAFT_FROM_SCHEME</x:v>
      </x:c>
    </x:row>
    <x:row r="325" ht="23" customHeight="1">
      <x:c r="A325" s="4" t="str">
        <x:v>PriceChangeLog</x:v>
      </x:c>
      <x:c r="B325" s="4" t="str">
        <x:v>changedBy</x:v>
      </x:c>
      <x:c r="C325" s="17" t="str">
        <x:v>changedBy</x:v>
      </x:c>
      <x:c r="D325" s="4" t="str">
        <x:v>14</x:v>
      </x:c>
      <x:c r="E325" s="4" t="str">
        <x:v>String</x:v>
      </x:c>
      <x:c r="F325" s="4" t="str">
        <x:v>YES</x:v>
      </x:c>
      <x:c r="G325" s="4" t="str">
        <x:v>待M阶段冻结</x:v>
      </x:c>
      <x:c r="H325" s="17" t="str">
        <x:v>INTERNAL</x:v>
      </x:c>
      <x:c r="I325" s="17" t="str">
        <x:v>按资源权限与数据域访问；公开DTO另行白名单</x:v>
      </x:c>
      <x:c r="J325" s="17" t="str">
        <x:v>数据库实体不得直接序列化为响应</x:v>
      </x:c>
      <x:c r="K325" s="17" t="str">
        <x:v>DTO白名单；长度/枚举/归属/状态校验；禁止信任客户端派生值</x:v>
      </x:c>
      <x:c r="L325" s="17" t="str">
        <x:v>追加/版本/快照，不覆盖已生效历史</x:v>
      </x:c>
      <x:c r="M325" s="4" t="str">
        <x:v>M2</x:v>
      </x:c>
      <x:c r="N325" s="4" t="str">
        <x:v>待切片细化</x:v>
      </x:c>
      <x:c r="O325" s="4" t="str">
        <x:v>综合方案§13核心数据模型</x:v>
      </x:c>
      <x:c r="P325" s="4" t="str">
        <x:v>DRAFT_FROM_SCHEME</x:v>
      </x:c>
    </x:row>
    <x:row r="326" ht="23" customHeight="1">
      <x:c r="A326" s="4" t="str">
        <x:v>PriceChangeLog</x:v>
      </x:c>
      <x:c r="B326" s="4" t="str">
        <x:v>changeReason</x:v>
      </x:c>
      <x:c r="C326" s="17" t="str">
        <x:v>changeReason</x:v>
      </x:c>
      <x:c r="D326" s="4" t="str">
        <x:v>15</x:v>
      </x:c>
      <x:c r="E326" s="4" t="str">
        <x:v>String</x:v>
      </x:c>
      <x:c r="F326" s="4" t="str">
        <x:v>YES</x:v>
      </x:c>
      <x:c r="G326" s="4" t="str">
        <x:v>待M阶段冻结</x:v>
      </x:c>
      <x:c r="H326" s="17" t="str">
        <x:v>INTERNAL</x:v>
      </x:c>
      <x:c r="I326" s="17" t="str">
        <x:v>按资源权限与数据域访问；公开DTO另行白名单</x:v>
      </x:c>
      <x:c r="J326" s="17" t="str">
        <x:v>数据库实体不得直接序列化为响应</x:v>
      </x:c>
      <x:c r="K326" s="17" t="str">
        <x:v>DTO白名单；长度/枚举/归属/状态校验；禁止信任客户端派生值</x:v>
      </x:c>
      <x:c r="L326" s="17" t="str">
        <x:v>追加/版本/快照，不覆盖已生效历史</x:v>
      </x:c>
      <x:c r="M326" s="4" t="str">
        <x:v>M2</x:v>
      </x:c>
      <x:c r="N326" s="4" t="str">
        <x:v>待切片细化</x:v>
      </x:c>
      <x:c r="O326" s="4" t="str">
        <x:v>综合方案§13核心数据模型</x:v>
      </x:c>
      <x:c r="P326" s="4" t="str">
        <x:v>DRAFT_FROM_SCHEME</x:v>
      </x:c>
    </x:row>
    <x:row r="327" ht="23" customHeight="1">
      <x:c r="A327" s="4" t="str">
        <x:v>PriceChangeLog</x:v>
      </x:c>
      <x:c r="B327" s="4" t="str">
        <x:v>reviewStatus</x:v>
      </x:c>
      <x:c r="C327" s="17" t="str">
        <x:v>reviewStatus</x:v>
      </x:c>
      <x:c r="D327" s="4" t="str">
        <x:v>16</x:v>
      </x:c>
      <x:c r="E327" s="4" t="str">
        <x:v>Enum/String</x:v>
      </x:c>
      <x:c r="F327" s="4" t="str">
        <x:v>YES</x:v>
      </x:c>
      <x:c r="G327" s="4" t="str">
        <x:v>待M阶段冻结</x:v>
      </x:c>
      <x:c r="H327" s="17" t="str">
        <x:v>INTERNAL</x:v>
      </x:c>
      <x:c r="I327" s="17" t="str">
        <x:v>按资源权限与数据域访问；公开DTO另行白名单</x:v>
      </x:c>
      <x:c r="J327" s="17" t="str">
        <x:v>数据库实体不得直接序列化为响应</x:v>
      </x:c>
      <x:c r="K327" s="17" t="str">
        <x:v>DTO白名单；长度/枚举/归属/状态校验；禁止信任客户端派生值</x:v>
      </x:c>
      <x:c r="L327" s="17" t="str">
        <x:v>追加/版本/快照，不覆盖已生效历史</x:v>
      </x:c>
      <x:c r="M327" s="4" t="str">
        <x:v>M2</x:v>
      </x:c>
      <x:c r="N327" s="4" t="str">
        <x:v>待切片细化</x:v>
      </x:c>
      <x:c r="O327" s="4" t="str">
        <x:v>综合方案§13核心数据模型</x:v>
      </x:c>
      <x:c r="P327" s="4" t="str">
        <x:v>DRAFT_FROM_SCHEME</x:v>
      </x:c>
    </x:row>
    <x:row r="328" ht="23" customHeight="1">
      <x:c r="A328" s="4" t="str">
        <x:v>PriceChangeLog</x:v>
      </x:c>
      <x:c r="B328" s="4" t="str">
        <x:v>riskWarning</x:v>
      </x:c>
      <x:c r="C328" s="17" t="str">
        <x:v>riskWarning</x:v>
      </x:c>
      <x:c r="D328" s="4" t="str">
        <x:v>17</x:v>
      </x:c>
      <x:c r="E328" s="4" t="str">
        <x:v>String</x:v>
      </x:c>
      <x:c r="F328" s="4" t="str">
        <x:v>YES</x:v>
      </x:c>
      <x:c r="G328" s="4" t="str">
        <x:v>待M阶段冻结</x:v>
      </x:c>
      <x:c r="H328" s="17" t="str">
        <x:v>INTERNAL</x:v>
      </x:c>
      <x:c r="I328" s="17" t="str">
        <x:v>按资源权限与数据域访问；公开DTO另行白名单</x:v>
      </x:c>
      <x:c r="J328" s="17" t="str">
        <x:v>数据库实体不得直接序列化为响应</x:v>
      </x:c>
      <x:c r="K328" s="17" t="str">
        <x:v>DTO白名单；长度/枚举/归属/状态校验；禁止信任客户端派生值</x:v>
      </x:c>
      <x:c r="L328" s="17" t="str">
        <x:v>追加/版本/快照，不覆盖已生效历史</x:v>
      </x:c>
      <x:c r="M328" s="4" t="str">
        <x:v>M2</x:v>
      </x:c>
      <x:c r="N328" s="4" t="str">
        <x:v>待切片细化</x:v>
      </x:c>
      <x:c r="O328" s="4" t="str">
        <x:v>综合方案§13核心数据模型</x:v>
      </x:c>
      <x:c r="P328" s="4" t="str">
        <x:v>DRAFT_FROM_SCHEME</x:v>
      </x:c>
    </x:row>
    <x:row r="329" ht="23" customHeight="1">
      <x:c r="A329" s="4" t="str">
        <x:v>PriceChangeLog</x:v>
      </x:c>
      <x:c r="B329" s="4" t="str">
        <x:v>createdAt</x:v>
      </x:c>
      <x:c r="C329" s="17" t="str">
        <x:v>createdAt</x:v>
      </x:c>
      <x:c r="D329" s="4" t="str">
        <x:v>18</x:v>
      </x:c>
      <x:c r="E329" s="4" t="str">
        <x:v>DateTime</x:v>
      </x:c>
      <x:c r="F329" s="4" t="str">
        <x:v>YES</x:v>
      </x:c>
      <x:c r="G329" s="4" t="str">
        <x:v>ISO-8601+明确时区</x:v>
      </x:c>
      <x:c r="H329" s="17" t="str">
        <x:v>INTERNAL</x:v>
      </x:c>
      <x:c r="I329" s="17" t="str">
        <x:v>按资源权限与数据域访问；公开DTO另行白名单</x:v>
      </x:c>
      <x:c r="J329" s="17" t="str">
        <x:v>数据库实体不得直接序列化为响应</x:v>
      </x:c>
      <x:c r="K329" s="17" t="str">
        <x:v>DTO白名单；长度/枚举/归属/状态校验；禁止信任客户端派生值</x:v>
      </x:c>
      <x:c r="L329" s="17" t="str">
        <x:v>追加/版本/快照，不覆盖已生效历史</x:v>
      </x:c>
      <x:c r="M329" s="4" t="str">
        <x:v>M2</x:v>
      </x:c>
      <x:c r="N329" s="4" t="str">
        <x:v>待切片细化</x:v>
      </x:c>
      <x:c r="O329" s="4" t="str">
        <x:v>综合方案§13核心数据模型</x:v>
      </x:c>
      <x:c r="P329" s="4" t="str">
        <x:v>DRAFT_FROM_SCHEME</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String/UUID</x:v>
      </x:c>
      <x:c r="F438" s="4" t="str">
        <x:v>YES</x:v>
      </x:c>
      <x:c r="G438" s="4" t="str">
        <x:v>待M阶段冻结</x:v>
      </x:c>
      <x:c r="H438" s="17" t="str">
        <x:v>INTERNAL</x:v>
      </x:c>
      <x:c r="I438" s="17" t="str">
        <x:v>按资源权限与数据域访问；公开DTO另行白名单</x:v>
      </x:c>
      <x:c r="J438" s="17" t="str">
        <x:v>数据库实体不得直接序列化为响应</x:v>
      </x:c>
      <x:c r="K438" s="17" t="str">
        <x:v>DTO白名单；长度/枚举/归属/状态校验；禁止信任客户端派生值</x:v>
      </x:c>
      <x:c r="L438" s="17" t="str">
        <x:v>按实体version或审计日志保留变更证据</x:v>
      </x:c>
      <x:c r="M438" s="4" t="str">
        <x:v>M2</x:v>
      </x:c>
      <x:c r="N438" s="4" t="str">
        <x:v>P0-023,P0-063</x:v>
      </x:c>
      <x:c r="O438" s="4" t="str">
        <x:v>综合方案§13核心数据模型</x:v>
      </x:c>
      <x:c r="P438" s="4" t="str">
        <x:v>DRAFT_FROM_SCHEME</x:v>
      </x:c>
    </x:row>
    <x:row r="439" ht="23" customHeight="1">
      <x:c r="A439" s="4" t="str">
        <x:v>InventoryBalance</x:v>
      </x:c>
      <x:c r="B439" s="4" t="str">
        <x:v>skuId</x:v>
      </x:c>
      <x:c r="C439" s="17" t="str">
        <x:v>skuId</x:v>
      </x:c>
      <x:c r="D439" s="4" t="str">
        <x:v>2</x:v>
      </x:c>
      <x:c r="E439" s="4" t="str">
        <x:v>String/UUID</x:v>
      </x:c>
      <x:c r="F439" s="4" t="str">
        <x:v>YES</x:v>
      </x:c>
      <x:c r="G439" s="4" t="str">
        <x:v>待M阶段冻结</x:v>
      </x:c>
      <x:c r="H439" s="17" t="str">
        <x:v>INTERNAL</x:v>
      </x:c>
      <x:c r="I439" s="17" t="str">
        <x:v>按资源权限与数据域访问；公开DTO另行白名单</x:v>
      </x:c>
      <x:c r="J439" s="17" t="str">
        <x:v>数据库实体不得直接序列化为响应</x:v>
      </x:c>
      <x:c r="K439" s="17" t="str">
        <x:v>DTO白名单；长度/枚举/归属/状态校验；禁止信任客户端派生值</x:v>
      </x:c>
      <x:c r="L439" s="17" t="str">
        <x:v>按实体version或审计日志保留变更证据</x:v>
      </x:c>
      <x:c r="M439" s="4" t="str">
        <x:v>M2</x:v>
      </x:c>
      <x:c r="N439" s="4" t="str">
        <x:v>P0-023,P0-063</x:v>
      </x:c>
      <x:c r="O439" s="4" t="str">
        <x:v>综合方案§13核心数据模型</x:v>
      </x:c>
      <x:c r="P439" s="4" t="str">
        <x:v>DRAFT_FROM_SCHEME</x:v>
      </x:c>
    </x:row>
    <x:row r="440" ht="23" customHeight="1">
      <x:c r="A440" s="4" t="str">
        <x:v>InventoryBalance</x:v>
      </x:c>
      <x:c r="B440" s="4" t="str">
        <x:v>availableQty</x:v>
      </x:c>
      <x:c r="C440" s="17" t="str">
        <x:v>availableQty</x:v>
      </x:c>
      <x:c r="D440" s="4" t="str">
        <x:v>3</x:v>
      </x:c>
      <x:c r="E440" s="4" t="str">
        <x:v>Int</x:v>
      </x:c>
      <x:c r="F440" s="4" t="str">
        <x:v>YES</x:v>
      </x:c>
      <x:c r="G440" s="4" t="str">
        <x:v>待M阶段冻结</x:v>
      </x:c>
      <x:c r="H440" s="17" t="str">
        <x:v>INTERNAL</x:v>
      </x:c>
      <x:c r="I440" s="17" t="str">
        <x:v>按资源权限与数据域访问；公开DTO另行白名单</x:v>
      </x:c>
      <x:c r="J440" s="17" t="str">
        <x:v>数据库实体不得直接序列化为响应</x:v>
      </x:c>
      <x:c r="K440" s="17" t="str">
        <x:v>DTO白名单；长度/枚举/归属/状态校验；禁止信任客户端派生值</x:v>
      </x:c>
      <x:c r="L440" s="17" t="str">
        <x:v>按实体version或审计日志保留变更证据</x:v>
      </x:c>
      <x:c r="M440" s="4" t="str">
        <x:v>M2</x:v>
      </x:c>
      <x:c r="N440" s="4" t="str">
        <x:v>P0-023,P0-063</x:v>
      </x:c>
      <x:c r="O440" s="4" t="str">
        <x:v>综合方案§13核心数据模型</x:v>
      </x:c>
      <x:c r="P440" s="4" t="str">
        <x:v>DRAFT_FROM_SCHEME</x:v>
      </x:c>
    </x:row>
    <x:row r="441" ht="23" customHeight="1">
      <x:c r="A441" s="4" t="str">
        <x:v>InventoryBalance</x:v>
      </x:c>
      <x:c r="B441" s="4" t="str">
        <x:v>reservedQty</x:v>
      </x:c>
      <x:c r="C441" s="17" t="str">
        <x:v>reservedQty</x:v>
      </x:c>
      <x:c r="D441" s="4" t="str">
        <x:v>4</x:v>
      </x:c>
      <x:c r="E441" s="4" t="str">
        <x:v>Int</x:v>
      </x:c>
      <x:c r="F441" s="4" t="str">
        <x:v>YES</x:v>
      </x:c>
      <x:c r="G441" s="4" t="str">
        <x:v>待M阶段冻结</x:v>
      </x:c>
      <x:c r="H441" s="17" t="str">
        <x:v>INTERNAL</x:v>
      </x:c>
      <x:c r="I441" s="17" t="str">
        <x:v>按资源权限与数据域访问；公开DTO另行白名单</x:v>
      </x:c>
      <x:c r="J441" s="17" t="str">
        <x:v>数据库实体不得直接序列化为响应</x:v>
      </x:c>
      <x:c r="K441" s="17" t="str">
        <x:v>DTO白名单；长度/枚举/归属/状态校验；禁止信任客户端派生值</x:v>
      </x:c>
      <x:c r="L441" s="17" t="str">
        <x:v>按实体version或审计日志保留变更证据</x:v>
      </x:c>
      <x:c r="M441" s="4" t="str">
        <x:v>M2</x:v>
      </x:c>
      <x:c r="N441" s="4" t="str">
        <x:v>P0-023,P0-063</x:v>
      </x:c>
      <x:c r="O441" s="4" t="str">
        <x:v>综合方案§13核心数据模型</x:v>
      </x:c>
      <x:c r="P441" s="4" t="str">
        <x:v>DRAFT_FROM_SCHEME</x:v>
      </x:c>
    </x:row>
    <x:row r="442" ht="23" customHeight="1">
      <x:c r="A442" s="4" t="str">
        <x:v>InventoryBalance</x:v>
      </x:c>
      <x:c r="B442" s="4" t="str">
        <x:v>soldQty</x:v>
      </x:c>
      <x:c r="C442" s="17" t="str">
        <x:v>soldQty</x:v>
      </x:c>
      <x:c r="D442" s="4" t="str">
        <x:v>5</x:v>
      </x:c>
      <x:c r="E442" s="4" t="str">
        <x:v>Int</x:v>
      </x:c>
      <x:c r="F442" s="4" t="str">
        <x:v>YES</x:v>
      </x:c>
      <x:c r="G442" s="4" t="str">
        <x:v>待M阶段冻结</x:v>
      </x:c>
      <x:c r="H442" s="17" t="str">
        <x:v>INTERNAL</x:v>
      </x:c>
      <x:c r="I442" s="17" t="str">
        <x:v>按资源权限与数据域访问；公开DTO另行白名单</x:v>
      </x:c>
      <x:c r="J442" s="17" t="str">
        <x:v>数据库实体不得直接序列化为响应</x:v>
      </x:c>
      <x:c r="K442" s="17" t="str">
        <x:v>DTO白名单；长度/枚举/归属/状态校验；禁止信任客户端派生值</x:v>
      </x:c>
      <x:c r="L442" s="17" t="str">
        <x:v>按实体version或审计日志保留变更证据</x:v>
      </x:c>
      <x:c r="M442" s="4" t="str">
        <x:v>M2</x:v>
      </x:c>
      <x:c r="N442" s="4" t="str">
        <x:v>P0-023,P0-063</x:v>
      </x:c>
      <x:c r="O442" s="4" t="str">
        <x:v>综合方案§13核心数据模型</x:v>
      </x:c>
      <x:c r="P442" s="4" t="str">
        <x:v>DRAFT_FROM_SCHEME</x:v>
      </x:c>
    </x:row>
    <x:row r="443" ht="23" customHeight="1">
      <x:c r="A443" s="4" t="str">
        <x:v>InventoryBalance</x:v>
      </x:c>
      <x:c r="B443" s="4" t="str">
        <x:v>version</x:v>
      </x:c>
      <x:c r="C443" s="17" t="str">
        <x:v>version</x:v>
      </x:c>
      <x:c r="D443" s="4" t="str">
        <x:v>6</x:v>
      </x:c>
      <x:c r="E443" s="4" t="str">
        <x:v>Int</x:v>
      </x:c>
      <x:c r="F443" s="4" t="str">
        <x:v>YES</x:v>
      </x:c>
      <x:c r="G443" s="4" t="str">
        <x:v>待M阶段冻结</x:v>
      </x:c>
      <x:c r="H443" s="17" t="str">
        <x:v>INTERNAL</x:v>
      </x:c>
      <x:c r="I443" s="17" t="str">
        <x:v>按资源权限与数据域访问；公开DTO另行白名单</x:v>
      </x:c>
      <x:c r="J443" s="17" t="str">
        <x:v>数据库实体不得直接序列化为响应</x:v>
      </x:c>
      <x:c r="K443" s="17" t="str">
        <x:v>DTO白名单；长度/枚举/归属/状态校验；禁止信任客户端派生值</x:v>
      </x:c>
      <x:c r="L443" s="17" t="str">
        <x:v>按实体version或审计日志保留变更证据</x:v>
      </x:c>
      <x:c r="M443" s="4" t="str">
        <x:v>M2</x:v>
      </x:c>
      <x:c r="N443" s="4" t="str">
        <x:v>P0-023,P0-063</x:v>
      </x:c>
      <x:c r="O443" s="4" t="str">
        <x:v>综合方案§13核心数据模型</x:v>
      </x:c>
      <x:c r="P443" s="4" t="str">
        <x:v>DRAFT_FROM_SCHEME</x:v>
      </x:c>
    </x:row>
    <x:row r="444" ht="23" customHeight="1">
      <x:c r="A444" s="4" t="str">
        <x:v>InventoryBalance</x:v>
      </x:c>
      <x:c r="B444" s="4" t="str">
        <x:v>updatedAt</x:v>
      </x:c>
      <x:c r="C444" s="17" t="str">
        <x:v>updatedAt</x:v>
      </x:c>
      <x:c r="D444" s="4" t="str">
        <x:v>7</x:v>
      </x:c>
      <x:c r="E444" s="4" t="str">
        <x:v>DateTime</x:v>
      </x:c>
      <x:c r="F444" s="4" t="str">
        <x:v>YES</x:v>
      </x:c>
      <x:c r="G444" s="4" t="str">
        <x:v>ISO-8601+明确时区</x:v>
      </x:c>
      <x:c r="H444" s="17" t="str">
        <x:v>INTERNAL</x:v>
      </x:c>
      <x:c r="I444" s="17" t="str">
        <x:v>按资源权限与数据域访问；公开DTO另行白名单</x:v>
      </x:c>
      <x:c r="J444" s="17" t="str">
        <x:v>数据库实体不得直接序列化为响应</x:v>
      </x:c>
      <x:c r="K444" s="17" t="str">
        <x:v>DTO白名单；长度/枚举/归属/状态校验；禁止信任客户端派生值</x:v>
      </x:c>
      <x:c r="L444" s="17" t="str">
        <x:v>按实体version或审计日志保留变更证据</x:v>
      </x:c>
      <x:c r="M444" s="4" t="str">
        <x:v>M2</x:v>
      </x:c>
      <x:c r="N444" s="4" t="str">
        <x:v>P0-023,P0-063</x:v>
      </x:c>
      <x:c r="O444" s="4" t="str">
        <x:v>综合方案§13核心数据模型</x:v>
      </x:c>
      <x:c r="P444" s="4" t="str">
        <x:v>DRAFT_FROM_SCHEME</x:v>
      </x:c>
    </x:row>
    <x:row r="445" ht="23" customHeight="1">
      <x:c r="A445" s="4" t="str">
        <x:v>InventoryChangeLog</x:v>
      </x:c>
      <x:c r="B445" s="4" t="str">
        <x:v>id</x:v>
      </x:c>
      <x:c r="C445" s="17" t="str">
        <x:v>id</x:v>
      </x:c>
      <x:c r="D445" s="4" t="str">
        <x:v>1</x:v>
      </x:c>
      <x:c r="E445" s="4" t="str">
        <x:v>String/UUID</x:v>
      </x:c>
      <x:c r="F445" s="4" t="str">
        <x:v>YES</x:v>
      </x:c>
      <x:c r="G445" s="4" t="str">
        <x:v>待M阶段冻结</x:v>
      </x:c>
      <x:c r="H445" s="17" t="str">
        <x:v>INTERNAL</x:v>
      </x:c>
      <x:c r="I445" s="17" t="str">
        <x:v>按资源权限与数据域访问；公开DTO另行白名单</x:v>
      </x:c>
      <x:c r="J445" s="17" t="str">
        <x:v>数据库实体不得直接序列化为响应</x:v>
      </x:c>
      <x:c r="K445" s="17" t="str">
        <x:v>DTO白名单；长度/枚举/归属/状态校验；禁止信任客户端派生值</x:v>
      </x:c>
      <x:c r="L445" s="17" t="str">
        <x:v>追加/版本/快照，不覆盖已生效历史</x:v>
      </x:c>
      <x:c r="M445" s="4" t="str">
        <x:v>M2</x:v>
      </x:c>
      <x:c r="N445" s="4" t="str">
        <x:v>待切片细化</x:v>
      </x:c>
      <x:c r="O445" s="4" t="str">
        <x:v>综合方案§13核心数据模型</x:v>
      </x:c>
      <x:c r="P445" s="4" t="str">
        <x:v>DRAFT_FROM_SCHEME</x:v>
      </x:c>
    </x:row>
    <x:row r="446" ht="23" customHeight="1">
      <x:c r="A446" s="4" t="str">
        <x:v>InventoryChangeLog</x:v>
      </x:c>
      <x:c r="B446" s="4" t="str">
        <x:v>supplierId</x:v>
      </x:c>
      <x:c r="C446" s="17" t="str">
        <x:v>supplierId</x:v>
      </x:c>
      <x:c r="D446" s="4" t="str">
        <x:v>2</x:v>
      </x:c>
      <x:c r="E446" s="4" t="str">
        <x:v>String/UUID</x:v>
      </x:c>
      <x:c r="F446" s="4" t="str">
        <x:v>YES</x:v>
      </x:c>
      <x:c r="G446" s="4" t="str">
        <x:v>待M阶段冻结</x:v>
      </x:c>
      <x:c r="H446" s="17" t="str">
        <x:v>INTERNAL</x:v>
      </x:c>
      <x:c r="I446" s="17" t="str">
        <x:v>按资源权限与数据域访问；公开DTO另行白名单</x:v>
      </x:c>
      <x:c r="J446" s="17" t="str">
        <x:v>数据库实体不得直接序列化为响应</x:v>
      </x:c>
      <x:c r="K446" s="17" t="str">
        <x:v>DTO白名单；长度/枚举/归属/状态校验；禁止信任客户端派生值</x:v>
      </x:c>
      <x:c r="L446" s="17" t="str">
        <x:v>追加/版本/快照，不覆盖已生效历史</x:v>
      </x:c>
      <x:c r="M446" s="4" t="str">
        <x:v>M2</x:v>
      </x:c>
      <x:c r="N446" s="4" t="str">
        <x:v>待切片细化</x:v>
      </x:c>
      <x:c r="O446" s="4" t="str">
        <x:v>综合方案§13核心数据模型</x:v>
      </x:c>
      <x:c r="P446" s="4" t="str">
        <x:v>DRAFT_FROM_SCHEME</x:v>
      </x:c>
    </x:row>
    <x:row r="447" ht="23" customHeight="1">
      <x:c r="A447" s="4" t="str">
        <x:v>InventoryChangeLog</x:v>
      </x:c>
      <x:c r="B447" s="4" t="str">
        <x:v>skuId</x:v>
      </x:c>
      <x:c r="C447" s="17" t="str">
        <x:v>skuId</x:v>
      </x:c>
      <x:c r="D447" s="4" t="str">
        <x:v>3</x:v>
      </x:c>
      <x:c r="E447" s="4" t="str">
        <x:v>String/UUID</x:v>
      </x:c>
      <x:c r="F447" s="4" t="str">
        <x:v>YES</x:v>
      </x:c>
      <x:c r="G447" s="4" t="str">
        <x:v>待M阶段冻结</x:v>
      </x:c>
      <x:c r="H447" s="17" t="str">
        <x:v>INTERNAL</x:v>
      </x:c>
      <x:c r="I447" s="17" t="str">
        <x:v>按资源权限与数据域访问；公开DTO另行白名单</x:v>
      </x:c>
      <x:c r="J447" s="17" t="str">
        <x:v>数据库实体不得直接序列化为响应</x:v>
      </x:c>
      <x:c r="K447" s="17" t="str">
        <x:v>DTO白名单；长度/枚举/归属/状态校验；禁止信任客户端派生值</x:v>
      </x:c>
      <x:c r="L447" s="17" t="str">
        <x:v>追加/版本/快照，不覆盖已生效历史</x:v>
      </x:c>
      <x:c r="M447" s="4" t="str">
        <x:v>M2</x:v>
      </x:c>
      <x:c r="N447" s="4" t="str">
        <x:v>待切片细化</x:v>
      </x:c>
      <x:c r="O447" s="4" t="str">
        <x:v>综合方案§13核心数据模型</x:v>
      </x:c>
      <x:c r="P447" s="4" t="str">
        <x:v>DRAFT_FROM_SCHEME</x:v>
      </x:c>
    </x:row>
    <x:row r="448" ht="23" customHeight="1">
      <x:c r="A448" s="4" t="str">
        <x:v>InventoryChangeLog</x:v>
      </x:c>
      <x:c r="B448" s="4" t="str">
        <x:v>type</x:v>
      </x:c>
      <x:c r="C448" s="17" t="str">
        <x:v>type</x:v>
      </x:c>
      <x:c r="D448" s="4" t="str">
        <x:v>4</x:v>
      </x:c>
      <x:c r="E448" s="4" t="str">
        <x:v>Enum/String</x:v>
      </x:c>
      <x:c r="F448" s="4" t="str">
        <x:v>YES</x:v>
      </x:c>
      <x:c r="G448" s="4" t="str">
        <x:v>待M阶段冻结</x:v>
      </x:c>
      <x:c r="H448" s="17" t="str">
        <x:v>INTERNAL</x:v>
      </x:c>
      <x:c r="I448" s="17" t="str">
        <x:v>按资源权限与数据域访问；公开DTO另行白名单</x:v>
      </x:c>
      <x:c r="J448" s="17" t="str">
        <x:v>数据库实体不得直接序列化为响应</x:v>
      </x:c>
      <x:c r="K448" s="17" t="str">
        <x:v>DTO白名单；长度/枚举/归属/状态校验；禁止信任客户端派生值</x:v>
      </x:c>
      <x:c r="L448" s="17" t="str">
        <x:v>追加/版本/快照，不覆盖已生效历史</x:v>
      </x:c>
      <x:c r="M448" s="4" t="str">
        <x:v>M2</x:v>
      </x:c>
      <x:c r="N448" s="4" t="str">
        <x:v>待切片细化</x:v>
      </x:c>
      <x:c r="O448" s="4" t="str">
        <x:v>综合方案§13核心数据模型</x:v>
      </x:c>
      <x:c r="P448" s="4" t="str">
        <x:v>DRAFT_FROM_SCHEME</x:v>
      </x:c>
    </x:row>
    <x:row r="449" ht="23" customHeight="1">
      <x:c r="A449" s="4" t="str">
        <x:v>InventoryChangeLog</x:v>
      </x:c>
      <x:c r="B449" s="4" t="str">
        <x:v>quantityDelta</x:v>
      </x:c>
      <x:c r="C449" s="17" t="str">
        <x:v>quantityDelta</x:v>
      </x:c>
      <x:c r="D449" s="4" t="str">
        <x:v>5</x:v>
      </x:c>
      <x:c r="E449" s="4" t="str">
        <x:v>Int</x:v>
      </x:c>
      <x:c r="F449" s="4" t="str">
        <x:v>YES</x:v>
      </x:c>
      <x:c r="G449" s="4" t="str">
        <x:v>待M阶段冻结</x:v>
      </x:c>
      <x:c r="H449" s="17" t="str">
        <x:v>INTERNAL</x:v>
      </x:c>
      <x:c r="I449" s="17" t="str">
        <x:v>按资源权限与数据域访问；公开DTO另行白名单</x:v>
      </x:c>
      <x:c r="J449" s="17" t="str">
        <x:v>数据库实体不得直接序列化为响应</x:v>
      </x:c>
      <x:c r="K449" s="17" t="str">
        <x:v>DTO白名单；长度/枚举/归属/状态校验；禁止信任客户端派生值</x:v>
      </x:c>
      <x:c r="L449" s="17" t="str">
        <x:v>追加/版本/快照，不覆盖已生效历史</x:v>
      </x:c>
      <x:c r="M449" s="4" t="str">
        <x:v>M2</x:v>
      </x:c>
      <x:c r="N449" s="4" t="str">
        <x:v>待切片细化</x:v>
      </x:c>
      <x:c r="O449" s="4" t="str">
        <x:v>综合方案§13核心数据模型</x:v>
      </x:c>
      <x:c r="P449" s="4" t="str">
        <x:v>DRAFT_FROM_SCHEME</x:v>
      </x:c>
    </x:row>
    <x:row r="450" ht="23" customHeight="1">
      <x:c r="A450" s="4" t="str">
        <x:v>InventoryChangeLog</x:v>
      </x:c>
      <x:c r="B450" s="4" t="str">
        <x:v>beforeQty</x:v>
      </x:c>
      <x:c r="C450" s="17" t="str">
        <x:v>beforeQty</x:v>
      </x:c>
      <x:c r="D450" s="4" t="str">
        <x:v>6</x:v>
      </x:c>
      <x:c r="E450" s="4" t="str">
        <x:v>Int</x:v>
      </x:c>
      <x:c r="F450" s="4" t="str">
        <x:v>YES</x:v>
      </x:c>
      <x:c r="G450" s="4" t="str">
        <x:v>待M阶段冻结</x:v>
      </x:c>
      <x:c r="H450" s="17" t="str">
        <x:v>INTERNAL</x:v>
      </x:c>
      <x:c r="I450" s="17" t="str">
        <x:v>按资源权限与数据域访问；公开DTO另行白名单</x:v>
      </x:c>
      <x:c r="J450" s="17" t="str">
        <x:v>数据库实体不得直接序列化为响应</x:v>
      </x:c>
      <x:c r="K450" s="17" t="str">
        <x:v>DTO白名单；长度/枚举/归属/状态校验；禁止信任客户端派生值</x:v>
      </x:c>
      <x:c r="L450" s="17" t="str">
        <x:v>追加/版本/快照，不覆盖已生效历史</x:v>
      </x:c>
      <x:c r="M450" s="4" t="str">
        <x:v>M2</x:v>
      </x:c>
      <x:c r="N450" s="4" t="str">
        <x:v>待切片细化</x:v>
      </x:c>
      <x:c r="O450" s="4" t="str">
        <x:v>综合方案§13核心数据模型</x:v>
      </x:c>
      <x:c r="P450" s="4" t="str">
        <x:v>DRAFT_FROM_SCHEME</x:v>
      </x:c>
    </x:row>
    <x:row r="451" ht="23" customHeight="1">
      <x:c r="A451" s="4" t="str">
        <x:v>InventoryChangeLog</x:v>
      </x:c>
      <x:c r="B451" s="4" t="str">
        <x:v>afterQty</x:v>
      </x:c>
      <x:c r="C451" s="17" t="str">
        <x:v>afterQty</x:v>
      </x:c>
      <x:c r="D451" s="4" t="str">
        <x:v>7</x:v>
      </x:c>
      <x:c r="E451" s="4" t="str">
        <x:v>Int</x:v>
      </x:c>
      <x:c r="F451" s="4" t="str">
        <x:v>YES</x:v>
      </x:c>
      <x:c r="G451" s="4" t="str">
        <x:v>待M阶段冻结</x:v>
      </x:c>
      <x:c r="H451" s="17" t="str">
        <x:v>INTERNAL</x:v>
      </x:c>
      <x:c r="I451" s="17" t="str">
        <x:v>按资源权限与数据域访问；公开DTO另行白名单</x:v>
      </x:c>
      <x:c r="J451" s="17" t="str">
        <x:v>数据库实体不得直接序列化为响应</x:v>
      </x:c>
      <x:c r="K451" s="17" t="str">
        <x:v>DTO白名单；长度/枚举/归属/状态校验；禁止信任客户端派生值</x:v>
      </x:c>
      <x:c r="L451" s="17" t="str">
        <x:v>追加/版本/快照，不覆盖已生效历史</x:v>
      </x:c>
      <x:c r="M451" s="4" t="str">
        <x:v>M2</x:v>
      </x:c>
      <x:c r="N451" s="4" t="str">
        <x:v>待切片细化</x:v>
      </x:c>
      <x:c r="O451" s="4" t="str">
        <x:v>综合方案§13核心数据模型</x:v>
      </x:c>
      <x:c r="P451" s="4" t="str">
        <x:v>DRAFT_FROM_SCHEME</x:v>
      </x:c>
    </x:row>
    <x:row r="452" ht="23" customHeight="1">
      <x:c r="A452" s="4" t="str">
        <x:v>InventoryChangeLog</x:v>
      </x:c>
      <x:c r="B452" s="4" t="str">
        <x:v>referenceType</x:v>
      </x:c>
      <x:c r="C452" s="17" t="str">
        <x:v>referenceType</x:v>
      </x:c>
      <x:c r="D452" s="4" t="str">
        <x:v>8</x:v>
      </x:c>
      <x:c r="E452" s="4" t="str">
        <x:v>Enum/String</x:v>
      </x:c>
      <x:c r="F452" s="4" t="str">
        <x:v>YES</x:v>
      </x:c>
      <x:c r="G452" s="4" t="str">
        <x:v>待M阶段冻结</x:v>
      </x:c>
      <x:c r="H452" s="17" t="str">
        <x:v>INTERNAL</x:v>
      </x:c>
      <x:c r="I452" s="17" t="str">
        <x:v>按资源权限与数据域访问；公开DTO另行白名单</x:v>
      </x:c>
      <x:c r="J452" s="17" t="str">
        <x:v>数据库实体不得直接序列化为响应</x:v>
      </x:c>
      <x:c r="K452" s="17" t="str">
        <x:v>DTO白名单；长度/枚举/归属/状态校验；禁止信任客户端派生值</x:v>
      </x:c>
      <x:c r="L452" s="17" t="str">
        <x:v>追加/版本/快照，不覆盖已生效历史</x:v>
      </x:c>
      <x:c r="M452" s="4" t="str">
        <x:v>M2</x:v>
      </x:c>
      <x:c r="N452" s="4" t="str">
        <x:v>待切片细化</x:v>
      </x:c>
      <x:c r="O452" s="4" t="str">
        <x:v>综合方案§13核心数据模型</x:v>
      </x:c>
      <x:c r="P452" s="4" t="str">
        <x:v>DRAFT_FROM_SCHEME</x:v>
      </x:c>
    </x:row>
    <x:row r="453" ht="23" customHeight="1">
      <x:c r="A453" s="4" t="str">
        <x:v>InventoryChangeLog</x:v>
      </x:c>
      <x:c r="B453" s="4" t="str">
        <x:v>referenceId</x:v>
      </x:c>
      <x:c r="C453" s="17" t="str">
        <x:v>referenceId</x:v>
      </x:c>
      <x:c r="D453" s="4" t="str">
        <x:v>9</x:v>
      </x:c>
      <x:c r="E453" s="4" t="str">
        <x:v>String/UUID</x:v>
      </x:c>
      <x:c r="F453" s="4" t="str">
        <x:v>YES</x:v>
      </x:c>
      <x:c r="G453" s="4" t="str">
        <x:v>待M阶段冻结</x:v>
      </x:c>
      <x:c r="H453" s="17" t="str">
        <x:v>INTERNAL</x:v>
      </x:c>
      <x:c r="I453" s="17" t="str">
        <x:v>按资源权限与数据域访问；公开DTO另行白名单</x:v>
      </x:c>
      <x:c r="J453" s="17" t="str">
        <x:v>数据库实体不得直接序列化为响应</x:v>
      </x:c>
      <x:c r="K453" s="17" t="str">
        <x:v>DTO白名单；长度/枚举/归属/状态校验；禁止信任客户端派生值</x:v>
      </x:c>
      <x:c r="L453" s="17" t="str">
        <x:v>追加/版本/快照，不覆盖已生效历史</x:v>
      </x:c>
      <x:c r="M453" s="4" t="str">
        <x:v>M2</x:v>
      </x:c>
      <x:c r="N453" s="4" t="str">
        <x:v>待切片细化</x:v>
      </x:c>
      <x:c r="O453" s="4" t="str">
        <x:v>综合方案§13核心数据模型</x:v>
      </x:c>
      <x:c r="P453" s="4" t="str">
        <x:v>DRAFT_FROM_SCHEME</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UUID</x:v>
      </x:c>
      <x:c r="F627" s="4" t="str">
        <x:v>YES</x:v>
      </x:c>
      <x:c r="G627" s="4" t="str">
        <x:v>UUID v4 canonical lowercase text</x:v>
      </x:c>
      <x:c r="H627" s="17" t="str">
        <x:v>INTERNAL</x:v>
      </x:c>
      <x:c r="I627" s="17" t="str">
        <x:v>按资源权限与数据域访问；公开DTO另行白名单</x:v>
      </x:c>
      <x:c r="J627" s="17" t="str">
        <x:v>数据库实体不得直接序列化为响应</x:v>
      </x:c>
      <x:c r="K627" s="17" t="str">
        <x:v>server validates type, ownership, state and length; client-derived ownership and authorization are never trusted</x:v>
      </x:c>
      <x:c r="L627" s="17" t="str">
        <x:v>追加/版本/快照，不覆盖已生效历史</x:v>
      </x:c>
      <x:c r="M627" s="4" t="str">
        <x:v>M1</x:v>
      </x:c>
      <x:c r="N627" s="4" t="str">
        <x:v>P0-072,P0-003,P0-045</x:v>
      </x:c>
      <x:c r="O627" s="4" t="str">
        <x:v>综合方案§13核心数据模型与§3自然人职责分离</x:v>
      </x:c>
      <x:c r="P627" s="4" t="str">
        <x:v>FROZEN_M1_000</x:v>
      </x:c>
    </x:row>
    <x:row r="628" ht="23" customHeight="1">
      <x:c r="A628" s="4" t="str">
        <x:v>ApprovalTask</x:v>
      </x:c>
      <x:c r="B628" s="4" t="str">
        <x:v>approvalType</x:v>
      </x:c>
      <x:c r="C628" s="17" t="str">
        <x:v>approvalType</x:v>
      </x:c>
      <x:c r="D628" s="4" t="str">
        <x:v>2</x:v>
      </x:c>
      <x:c r="E628" s="4" t="str">
        <x:v>Enum&lt;SUPPLIER_ONBOARDING|FUNCTIONAL_ACCOUNT_CHANGE|SENSITIVE_EXPORT|SUPPLIER_SENSITIVE_CHANGE&gt;</x:v>
      </x:c>
      <x:c r="F628" s="4" t="str">
        <x:v>YES</x:v>
      </x:c>
      <x:c r="G628" s="4" t="str">
        <x:v>SUPPLIER_ONBOARDING|FUNCTIONAL_ACCOUNT_CHANGE|SENSITIVE_EXPORT|SUPPLIER_SENSITIVE_CHANGE</x:v>
      </x:c>
      <x:c r="H628" s="17" t="str">
        <x:v>INTERNAL</x:v>
      </x:c>
      <x:c r="I628" s="17" t="str">
        <x:v>按资源权限与数据域访问；公开DTO另行白名单</x:v>
      </x:c>
      <x:c r="J628" s="17" t="str">
        <x:v>数据库实体不得直接序列化为响应</x:v>
      </x:c>
      <x:c r="K628" s="17" t="str">
        <x:v>server validates type, ownership, state and length; client-derived ownership and authorization are never trusted</x:v>
      </x:c>
      <x:c r="L628" s="17" t="str">
        <x:v>追加/版本/快照，不覆盖已生效历史</x:v>
      </x:c>
      <x:c r="M628" s="4" t="str">
        <x:v>M1</x:v>
      </x:c>
      <x:c r="N628" s="4" t="str">
        <x:v>P0-072,P0-003,P0-045</x:v>
      </x:c>
      <x:c r="O628" s="4" t="str">
        <x:v>综合方案§13核心数据模型与§3自然人职责分离</x:v>
      </x:c>
      <x:c r="P628" s="4" t="str">
        <x:v>FROZEN_M1_000</x:v>
      </x:c>
    </x:row>
    <x:row r="629" ht="23" customHeight="1">
      <x:c r="A629" s="4" t="str">
        <x:v>ApprovalTask</x:v>
      </x:c>
      <x:c r="B629" s="4" t="str">
        <x:v>objectType</x:v>
      </x:c>
      <x:c r="C629" s="17" t="str">
        <x:v>objectType</x:v>
      </x:c>
      <x:c r="D629" s="4" t="str">
        <x:v>3</x:v>
      </x:c>
      <x:c r="E629" s="4" t="str">
        <x:v>Enum&lt;SUPPLIER|FUNCTIONAL_ACCOUNT|EXPORT_JOB&gt;</x:v>
      </x:c>
      <x:c r="F629" s="4" t="str">
        <x:v>YES</x:v>
      </x:c>
      <x:c r="G629" s="4" t="str">
        <x:v>SUPPLIER|FUNCTIONAL_ACCOUNT|EXPORT_JOB</x:v>
      </x:c>
      <x:c r="H629" s="17" t="str">
        <x:v>INTERNAL</x:v>
      </x:c>
      <x:c r="I629" s="17" t="str">
        <x:v>按资源权限与数据域访问；公开DTO另行白名单</x:v>
      </x:c>
      <x:c r="J629" s="17" t="str">
        <x:v>数据库实体不得直接序列化为响应</x:v>
      </x:c>
      <x:c r="K629" s="17" t="str">
        <x:v>server validates type, ownership, state and length; client-derived ownership and authorization are never trusted</x:v>
      </x:c>
      <x:c r="L629" s="17" t="str">
        <x:v>追加/版本/快照，不覆盖已生效历史</x:v>
      </x:c>
      <x:c r="M629" s="4" t="str">
        <x:v>M1</x:v>
      </x:c>
      <x:c r="N629" s="4" t="str">
        <x:v>P0-072,P0-003,P0-045</x:v>
      </x:c>
      <x:c r="O629" s="4" t="str">
        <x:v>综合方案§13核心数据模型与§3自然人职责分离</x:v>
      </x:c>
      <x:c r="P629" s="4" t="str">
        <x:v>FROZEN_M1_000</x:v>
      </x:c>
    </x:row>
    <x:row r="630" ht="23" customHeight="1">
      <x:c r="A630" s="4" t="str">
        <x:v>ApprovalTask</x:v>
      </x:c>
      <x:c r="B630" s="4" t="str">
        <x:v>objectId</x:v>
      </x:c>
      <x:c r="C630" s="17" t="str">
        <x:v>objectId</x:v>
      </x:c>
      <x:c r="D630" s="4" t="str">
        <x:v>4</x:v>
      </x:c>
      <x:c r="E630" s="4" t="str">
        <x:v>UUID</x:v>
      </x:c>
      <x:c r="F630" s="4" t="str">
        <x:v>YES</x:v>
      </x:c>
      <x:c r="G630" s="4" t="str">
        <x:v>UUID v4 canonical lowercase text</x:v>
      </x:c>
      <x:c r="H630" s="17" t="str">
        <x:v>INTERNAL</x:v>
      </x:c>
      <x:c r="I630" s="17" t="str">
        <x:v>按资源权限与数据域访问；公开DTO另行白名单</x:v>
      </x:c>
      <x:c r="J630" s="17" t="str">
        <x:v>数据库实体不得直接序列化为响应</x:v>
      </x:c>
      <x:c r="K630" s="17" t="str">
        <x:v>server validates type, ownership, state and length; client-derived ownership and authorization are never trusted</x:v>
      </x:c>
      <x:c r="L630" s="17" t="str">
        <x:v>追加/版本/快照，不覆盖已生效历史</x:v>
      </x:c>
      <x:c r="M630" s="4" t="str">
        <x:v>M1</x:v>
      </x:c>
      <x:c r="N630" s="4" t="str">
        <x:v>P0-072,P0-003,P0-045</x:v>
      </x:c>
      <x:c r="O630" s="4" t="str">
        <x:v>综合方案§13核心数据模型与§3自然人职责分离</x:v>
      </x:c>
      <x:c r="P630" s="4" t="str">
        <x:v>FROZEN_M1_000</x:v>
      </x:c>
    </x:row>
    <x:row r="631" ht="23" customHeight="1">
      <x:c r="A631" s="4" t="str">
        <x:v>ApprovalTask</x:v>
      </x:c>
      <x:c r="B631" s="4" t="str">
        <x:v>applicantType</x:v>
      </x:c>
      <x:c r="C631" s="17" t="str">
        <x:v>applicantType</x:v>
      </x:c>
      <x:c r="D631" s="4" t="str">
        <x:v>5</x:v>
      </x:c>
      <x:c r="E631" s="4" t="str">
        <x:v>Enum&lt;COMPANY_USER|SUPPLIER_USER&gt;</x:v>
      </x:c>
      <x:c r="F631" s="4" t="str">
        <x:v>YES</x:v>
      </x:c>
      <x:c r="G631" s="4" t="str">
        <x:v>COMPANY_USER|SUPPLIER_USER</x:v>
      </x:c>
      <x:c r="H631" s="17" t="str">
        <x:v>INTERNAL</x:v>
      </x:c>
      <x:c r="I631" s="17" t="str">
        <x:v>按资源权限与数据域访问；公开DTO另行白名单</x:v>
      </x:c>
      <x:c r="J631" s="17" t="str">
        <x:v>数据库实体不得直接序列化为响应</x:v>
      </x:c>
      <x:c r="K631" s="17" t="str">
        <x:v>server validates type, ownership, state and length; client-derived ownership and authorization are never trusted</x:v>
      </x:c>
      <x:c r="L631" s="17" t="str">
        <x:v>追加/版本/快照，不覆盖已生效历史</x:v>
      </x:c>
      <x:c r="M631" s="4" t="str">
        <x:v>M1</x:v>
      </x:c>
      <x:c r="N631" s="4" t="str">
        <x:v>P0-072,P0-003,P0-045</x:v>
      </x:c>
      <x:c r="O631" s="4" t="str">
        <x:v>综合方案§13核心数据模型与§3自然人职责分离</x:v>
      </x:c>
      <x:c r="P631" s="4" t="str">
        <x:v>FROZEN_M1_000</x:v>
      </x:c>
    </x:row>
    <x:row r="632" ht="23" customHeight="1">
      <x:c r="A632" s="4" t="str">
        <x:v>ApprovalTask</x:v>
      </x:c>
      <x:c r="B632" s="4" t="str">
        <x:v>applicantId</x:v>
      </x:c>
      <x:c r="C632" s="17" t="str">
        <x:v>applicantId</x:v>
      </x:c>
      <x:c r="D632" s="4" t="str">
        <x:v>6</x:v>
      </x:c>
      <x:c r="E632" s="4" t="str">
        <x:v>UUID</x:v>
      </x:c>
      <x:c r="F632" s="4" t="str">
        <x:v>YES</x:v>
      </x:c>
      <x:c r="G632" s="4" t="str">
        <x:v>natural identity UUID; separation key is identityType+identityId</x:v>
      </x:c>
      <x:c r="H632" s="17" t="str">
        <x:v>INTERNAL</x:v>
      </x:c>
      <x:c r="I632" s="17" t="str">
        <x:v>按资源权限与数据域访问；公开DTO另行白名单</x:v>
      </x:c>
      <x:c r="J632" s="17" t="str">
        <x:v>数据库实体不得直接序列化为响应</x:v>
      </x:c>
      <x:c r="K632" s="17" t="str">
        <x:v>copied from the authenticated natural identity and cannot be supplied by the client</x:v>
      </x:c>
      <x:c r="L632" s="17" t="str">
        <x:v>追加/版本/快照，不覆盖已生效历史</x:v>
      </x:c>
      <x:c r="M632" s="4" t="str">
        <x:v>M1</x:v>
      </x:c>
      <x:c r="N632" s="4" t="str">
        <x:v>P0-072,P0-003,P0-045</x:v>
      </x:c>
      <x:c r="O632" s="4" t="str">
        <x:v>综合方案§13核心数据模型与§3自然人职责分离</x:v>
      </x:c>
      <x:c r="P632" s="4" t="str">
        <x:v>FROZEN_M1_000</x:v>
      </x:c>
    </x:row>
    <x:row r="633" ht="23" customHeight="1">
      <x:c r="A633" s="4" t="str">
        <x:v>ApprovalTask</x:v>
      </x:c>
      <x:c r="B633" s="4" t="str">
        <x:v>status</x:v>
      </x:c>
      <x:c r="C633" s="17" t="str">
        <x:v>status</x:v>
      </x:c>
      <x:c r="D633" s="4" t="str">
        <x:v>7</x:v>
      </x:c>
      <x:c r="E633" s="4" t="str">
        <x:v>Enum&lt;PENDING|IN_REVIEW|APPROVED|REJECTED|CANCELLED&gt;</x:v>
      </x:c>
      <x:c r="F633" s="4" t="str">
        <x:v>YES</x:v>
      </x:c>
      <x:c r="G633" s="4" t="str">
        <x:v>PENDING|IN_REVIEW|APPROVED|REJECTED|CANCELLED</x:v>
      </x:c>
      <x:c r="H633" s="17" t="str">
        <x:v>INTERNAL</x:v>
      </x:c>
      <x:c r="I633" s="17" t="str">
        <x:v>按资源权限与数据域访问；公开DTO另行白名单</x:v>
      </x:c>
      <x:c r="J633" s="17" t="str">
        <x:v>数据库实体不得直接序列化为响应</x:v>
      </x:c>
      <x:c r="K633" s="17" t="str">
        <x:v>server validates type, ownership, state and length; client-derived ownership and authorization are never trusted</x:v>
      </x:c>
      <x:c r="L633" s="17" t="str">
        <x:v>追加/版本/快照，不覆盖已生效历史</x:v>
      </x:c>
      <x:c r="M633" s="4" t="str">
        <x:v>M1</x:v>
      </x:c>
      <x:c r="N633" s="4" t="str">
        <x:v>P0-072,P0-003,P0-045</x:v>
      </x:c>
      <x:c r="O633" s="4" t="str">
        <x:v>综合方案§13核心数据模型与§3自然人职责分离</x:v>
      </x:c>
      <x:c r="P633" s="4" t="str">
        <x:v>FROZEN_M1_000</x:v>
      </x:c>
    </x:row>
    <x:row r="634" ht="23" customHeight="1">
      <x:c r="A634" s="4" t="str">
        <x:v>ApprovalTask</x:v>
      </x:c>
      <x:c r="B634" s="4" t="str">
        <x:v>assignedAccountTypeCode</x:v>
      </x:c>
      <x:c r="C634" s="17" t="str">
        <x:v>assignedAccountTypeCode</x:v>
      </x:c>
      <x:c r="D634" s="4" t="str">
        <x:v>8</x:v>
      </x:c>
      <x:c r="E634" s="4" t="str">
        <x:v>Enum&lt;COMPANY_SUPPLIER_OPS|COMPANY_SUPER_ADMIN|COMPANY_AUDIT|SUPPLIER_ACCOUNT_ADMIN&gt;</x:v>
      </x:c>
      <x:c r="F634" s="4" t="str">
        <x:v>YES</x:v>
      </x:c>
      <x:c r="G634" s="4" t="str">
        <x:v>COMPANY_SUPPLIER_OPS|COMPANY_SUPER_ADMIN|COMPANY_AUDIT|SUPPLIER_ACCOUNT_ADMIN</x:v>
      </x:c>
      <x:c r="H634" s="17" t="str">
        <x:v>INTERNAL</x:v>
      </x:c>
      <x:c r="I634" s="17" t="str">
        <x:v>按资源权限与数据域访问；公开DTO另行白名单</x:v>
      </x:c>
      <x:c r="J634" s="17" t="str">
        <x:v>数据库实体不得直接序列化为响应</x:v>
      </x:c>
      <x:c r="K634" s="17" t="str">
        <x:v>server validates type, ownership, state and length; client-derived ownership and authorization are never trusted</x:v>
      </x:c>
      <x:c r="L634" s="17" t="str">
        <x:v>追加/版本/快照，不覆盖已生效历史</x:v>
      </x:c>
      <x:c r="M634" s="4" t="str">
        <x:v>M1</x:v>
      </x:c>
      <x:c r="N634" s="4" t="str">
        <x:v>P0-072,P0-003,P0-045</x:v>
      </x:c>
      <x:c r="O634" s="4" t="str">
        <x:v>综合方案§13核心数据模型与§3自然人职责分离</x:v>
      </x:c>
      <x:c r="P634" s="4" t="str">
        <x:v>FROZEN_M1_000</x:v>
      </x:c>
    </x:row>
    <x:row r="635" ht="23" customHeight="1">
      <x:c r="A635" s="4" t="str">
        <x:v>ApprovalTask</x:v>
      </x:c>
      <x:c r="B635" s="4" t="str">
        <x:v>reviewedBy</x:v>
      </x:c>
      <x:c r="C635" s="17" t="str">
        <x:v>reviewedBy?</x:v>
      </x:c>
      <x:c r="D635" s="4" t="str">
        <x:v>9</x:v>
      </x:c>
      <x:c r="E635" s="4" t="str">
        <x:v>UUID</x:v>
      </x:c>
      <x:c r="F635" s="4" t="str">
        <x:v>NO</x:v>
      </x:c>
      <x:c r="G635" s="4" t="str">
        <x:v>natural identity UUID; separation key is identityType+identityId</x:v>
      </x:c>
      <x:c r="H635" s="17" t="str">
        <x:v>INTERNAL</x:v>
      </x:c>
      <x:c r="I635" s="17" t="str">
        <x:v>按资源权限与数据域访问；公开DTO另行白名单</x:v>
      </x:c>
      <x:c r="J635" s="17" t="str">
        <x:v>数据库实体不得直接序列化为响应</x:v>
      </x:c>
      <x:c r="K635" s="17" t="str">
        <x:v>copied from reviewer natural identity and must differ from applicantId when dual review applies</x:v>
      </x:c>
      <x:c r="L635" s="17" t="str">
        <x:v>追加/版本/快照，不覆盖已生效历史</x:v>
      </x:c>
      <x:c r="M635" s="4" t="str">
        <x:v>M1</x:v>
      </x:c>
      <x:c r="N635" s="4" t="str">
        <x:v>P0-072,P0-003,P0-045</x:v>
      </x:c>
      <x:c r="O635" s="4" t="str">
        <x:v>综合方案§13核心数据模型与§3自然人职责分离</x:v>
      </x:c>
      <x:c r="P635" s="4" t="str">
        <x:v>FROZEN_M1_000</x:v>
      </x:c>
    </x:row>
    <x:row r="636" ht="23" customHeight="1">
      <x:c r="A636" s="4" t="str">
        <x:v>ApprovalTask</x:v>
      </x:c>
      <x:c r="B636" s="4" t="str">
        <x:v>reviewOpinion</x:v>
      </x:c>
      <x:c r="C636" s="17" t="str">
        <x:v>reviewOpinion?</x:v>
      </x:c>
      <x:c r="D636" s="4" t="str">
        <x:v>10</x:v>
      </x:c>
      <x:c r="E636" s="4" t="str">
        <x:v>String</x:v>
      </x:c>
      <x:c r="F636" s="4" t="str">
        <x:v>NO</x:v>
      </x:c>
      <x:c r="G636" s="4" t="str">
        <x:v>1..1000 UTF-8 chars when required by decision</x:v>
      </x:c>
      <x:c r="H636" s="17" t="str">
        <x:v>INTERNAL</x:v>
      </x:c>
      <x:c r="I636" s="17" t="str">
        <x:v>按资源权限与数据域访问；公开DTO另行白名单</x:v>
      </x:c>
      <x:c r="J636" s="17" t="str">
        <x:v>数据库实体不得直接序列化为响应</x:v>
      </x:c>
      <x:c r="K636" s="17" t="str">
        <x:v>server validates type, ownership, state and length; client-derived ownership and authorization are never trusted</x:v>
      </x:c>
      <x:c r="L636" s="17" t="str">
        <x:v>追加/版本/快照，不覆盖已生效历史</x:v>
      </x:c>
      <x:c r="M636" s="4" t="str">
        <x:v>M1</x:v>
      </x:c>
      <x:c r="N636" s="4" t="str">
        <x:v>P0-072,P0-003,P0-045</x:v>
      </x:c>
      <x:c r="O636" s="4" t="str">
        <x:v>综合方案§13核心数据模型与§3自然人职责分离</x:v>
      </x:c>
      <x:c r="P636" s="4" t="str">
        <x:v>FROZEN_M1_000</x:v>
      </x:c>
    </x:row>
    <x:row r="637" ht="23" customHeight="1">
      <x:c r="A637" s="4" t="str">
        <x:v>ApprovalTask</x:v>
      </x:c>
      <x:c r="B637" s="4" t="str">
        <x:v>version</x:v>
      </x:c>
      <x:c r="C637" s="17" t="str">
        <x:v>version</x:v>
      </x:c>
      <x:c r="D637" s="4" t="str">
        <x:v>11</x:v>
      </x:c>
      <x:c r="E637" s="4" t="str">
        <x:v>Int</x:v>
      </x:c>
      <x:c r="F637" s="4" t="str">
        <x:v>YES</x:v>
      </x:c>
      <x:c r="G637" s="4" t="str">
        <x:v>integer &gt;= 0; optimistic-lock token</x:v>
      </x:c>
      <x:c r="H637" s="17" t="str">
        <x:v>INTERNAL</x:v>
      </x:c>
      <x:c r="I637" s="17" t="str">
        <x:v>按资源权限与数据域访问；公开DTO另行白名单</x:v>
      </x:c>
      <x:c r="J637" s="17" t="str">
        <x:v>数据库实体不得直接序列化为响应</x:v>
      </x:c>
      <x:c r="K637" s="17" t="str">
        <x:v>review update must affect exactly one matching version</x:v>
      </x:c>
      <x:c r="L637" s="17" t="str">
        <x:v>追加/版本/快照，不覆盖已生效历史</x:v>
      </x:c>
      <x:c r="M637" s="4" t="str">
        <x:v>M1</x:v>
      </x:c>
      <x:c r="N637" s="4" t="str">
        <x:v>P0-072,P0-003,P0-045</x:v>
      </x:c>
      <x:c r="O637" s="4" t="str">
        <x:v>综合方案§13核心数据模型与§3自然人职责分离</x:v>
      </x:c>
      <x:c r="P637" s="4" t="str">
        <x:v>FROZEN_M1_000</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UUID</x:v>
      </x:c>
      <x:c r="F649" s="4" t="str">
        <x:v>YES</x:v>
      </x:c>
      <x:c r="G649" s="4" t="str">
        <x:v>UUID v4 canonical lowercase text</x:v>
      </x:c>
      <x:c r="H649" s="17" t="str">
        <x:v>INTERNAL</x:v>
      </x:c>
      <x:c r="I649" s="17" t="str">
        <x:v>按资源权限与数据域访问；公开DTO另行白名单</x:v>
      </x:c>
      <x:c r="J649" s="17" t="str">
        <x:v>数据库实体不得直接序列化为响应</x:v>
      </x:c>
      <x:c r="K649" s="17" t="str">
        <x:v>server validates type, ownership, state and length; client-derived ownership and authorization are never trusted</x:v>
      </x:c>
      <x:c r="L649" s="17" t="str">
        <x:v>追加/版本/快照，不覆盖已生效历史</x:v>
      </x:c>
      <x:c r="M649" s="4" t="str">
        <x:v>M1</x:v>
      </x:c>
      <x:c r="N649" s="4" t="str">
        <x:v>P0-045,P0-072</x:v>
      </x:c>
      <x:c r="O649" s="4" t="str">
        <x:v>综合方案§13核心数据模型</x:v>
      </x:c>
      <x:c r="P649" s="4" t="str">
        <x:v>FROZEN_M1_000</x:v>
      </x:c>
    </x:row>
    <x:row r="650" ht="23" customHeight="1">
      <x:c r="A650" s="4" t="str">
        <x:v>AuditLog</x:v>
      </x:c>
      <x:c r="B650" s="4" t="str">
        <x:v>actorType</x:v>
      </x:c>
      <x:c r="C650" s="17" t="str">
        <x:v>actorType</x:v>
      </x:c>
      <x:c r="D650" s="4" t="str">
        <x:v>2</x:v>
      </x:c>
      <x:c r="E650" s="4" t="str">
        <x:v>Enum&lt;COMPANY_USER|SUPPLIER_USER|SYSTEM&gt;</x:v>
      </x:c>
      <x:c r="F650" s="4" t="str">
        <x:v>YES</x:v>
      </x:c>
      <x:c r="G650" s="4" t="str">
        <x:v>COMPANY_USER|SUPPLIER_USER|SYSTEM</x:v>
      </x:c>
      <x:c r="H650" s="17" t="str">
        <x:v>INTERNAL</x:v>
      </x:c>
      <x:c r="I650" s="17" t="str">
        <x:v>按资源权限与数据域访问；公开DTO另行白名单</x:v>
      </x:c>
      <x:c r="J650" s="17" t="str">
        <x:v>数据库实体不得直接序列化为响应</x:v>
      </x:c>
      <x:c r="K650" s="17" t="str">
        <x:v>server validates type, ownership, state and length; client-derived ownership and authorization are never trusted</x:v>
      </x:c>
      <x:c r="L650" s="17" t="str">
        <x:v>追加/版本/快照，不覆盖已生效历史</x:v>
      </x:c>
      <x:c r="M650" s="4" t="str">
        <x:v>M1</x:v>
      </x:c>
      <x:c r="N650" s="4" t="str">
        <x:v>P0-045,P0-072</x:v>
      </x:c>
      <x:c r="O650" s="4" t="str">
        <x:v>综合方案§13核心数据模型</x:v>
      </x:c>
      <x:c r="P650" s="4" t="str">
        <x:v>FROZEN_M1_000</x:v>
      </x:c>
    </x:row>
    <x:row r="651" ht="23" customHeight="1">
      <x:c r="A651" s="4" t="str">
        <x:v>AuditLog</x:v>
      </x:c>
      <x:c r="B651" s="4" t="str">
        <x:v>actorId</x:v>
      </x:c>
      <x:c r="C651" s="17" t="str">
        <x:v>actorId</x:v>
      </x:c>
      <x:c r="D651" s="4" t="str">
        <x:v>3</x:v>
      </x:c>
      <x:c r="E651" s="4" t="str">
        <x:v>UUID</x:v>
      </x:c>
      <x:c r="F651" s="4" t="str">
        <x:v>YES</x:v>
      </x:c>
      <x:c r="G651" s="4" t="str">
        <x:v>UUID v4 canonical lowercase text</x:v>
      </x:c>
      <x:c r="H651" s="17" t="str">
        <x:v>INTERNAL</x:v>
      </x:c>
      <x:c r="I651" s="17" t="str">
        <x:v>按资源权限与数据域访问；公开DTO另行白名单</x:v>
      </x:c>
      <x:c r="J651" s="17" t="str">
        <x:v>数据库实体不得直接序列化为响应</x:v>
      </x:c>
      <x:c r="K651" s="17" t="str">
        <x:v>copied from authenticated natural identity or the fixed SYSTEM identity</x:v>
      </x:c>
      <x:c r="L651" s="17" t="str">
        <x:v>追加/版本/快照，不覆盖已生效历史</x:v>
      </x:c>
      <x:c r="M651" s="4" t="str">
        <x:v>M1</x:v>
      </x:c>
      <x:c r="N651" s="4" t="str">
        <x:v>P0-045,P0-072</x:v>
      </x:c>
      <x:c r="O651" s="4" t="str">
        <x:v>综合方案§13核心数据模型</x:v>
      </x:c>
      <x:c r="P651" s="4" t="str">
        <x:v>FROZEN_M1_000</x:v>
      </x:c>
    </x:row>
    <x:row r="652" ht="23" customHeight="1">
      <x:c r="A652" s="4" t="str">
        <x:v>AuditLog</x:v>
      </x:c>
      <x:c r="B652" s="4" t="str">
        <x:v>action</x:v>
      </x:c>
      <x:c r="C652" s="17" t="str">
        <x:v>action</x:v>
      </x:c>
      <x:c r="D652" s="4" t="str">
        <x:v>4</x:v>
      </x:c>
      <x:c r="E652" s="4" t="str">
        <x:v>Enum&lt;StringCode&gt;</x:v>
      </x:c>
      <x:c r="F652" s="4" t="str">
        <x:v>YES</x:v>
      </x:c>
      <x:c r="G652" s="4" t="str">
        <x:v>stable lowercase code; ^[a-z][a-z0-9_.:-]{1,127}$</x:v>
      </x:c>
      <x:c r="H652" s="17" t="str">
        <x:v>INTERNAL</x:v>
      </x:c>
      <x:c r="I652" s="17" t="str">
        <x:v>按资源权限与数据域访问；公开DTO另行白名单</x:v>
      </x:c>
      <x:c r="J652" s="17" t="str">
        <x:v>数据库实体不得直接序列化为响应</x:v>
      </x:c>
      <x:c r="K652" s="17" t="str">
        <x:v>server validates type, ownership, state and length; client-derived ownership and authorization are never trusted</x:v>
      </x:c>
      <x:c r="L652" s="17" t="str">
        <x:v>追加/版本/快照，不覆盖已生效历史</x:v>
      </x:c>
      <x:c r="M652" s="4" t="str">
        <x:v>M1</x:v>
      </x:c>
      <x:c r="N652" s="4" t="str">
        <x:v>P0-045,P0-072</x:v>
      </x:c>
      <x:c r="O652" s="4" t="str">
        <x:v>综合方案§13核心数据模型</x:v>
      </x:c>
      <x:c r="P652" s="4" t="str">
        <x:v>FROZEN_M1_000</x:v>
      </x:c>
    </x:row>
    <x:row r="653" ht="23" customHeight="1">
      <x:c r="A653" s="4" t="str">
        <x:v>AuditLog</x:v>
      </x:c>
      <x:c r="B653" s="4" t="str">
        <x:v>objectType</x:v>
      </x:c>
      <x:c r="C653" s="17" t="str">
        <x:v>objectType</x:v>
      </x:c>
      <x:c r="D653" s="4" t="str">
        <x:v>5</x:v>
      </x:c>
      <x:c r="E653" s="4" t="str">
        <x:v>Enum&lt;StringCode&gt;</x:v>
      </x:c>
      <x:c r="F653" s="4" t="str">
        <x:v>YES</x:v>
      </x:c>
      <x:c r="G653" s="4" t="str">
        <x:v>schema-constrained scalar</x:v>
      </x:c>
      <x:c r="H653" s="17" t="str">
        <x:v>INTERNAL</x:v>
      </x:c>
      <x:c r="I653" s="17" t="str">
        <x:v>按资源权限与数据域访问；公开DTO另行白名单</x:v>
      </x:c>
      <x:c r="J653" s="17" t="str">
        <x:v>数据库实体不得直接序列化为响应</x:v>
      </x:c>
      <x:c r="K653" s="17" t="str">
        <x:v>server validates type, ownership, state and length; client-derived ownership and authorization are never trusted</x:v>
      </x:c>
      <x:c r="L653" s="17" t="str">
        <x:v>追加/版本/快照，不覆盖已生效历史</x:v>
      </x:c>
      <x:c r="M653" s="4" t="str">
        <x:v>M1</x:v>
      </x:c>
      <x:c r="N653" s="4" t="str">
        <x:v>P0-045,P0-072</x:v>
      </x:c>
      <x:c r="O653" s="4" t="str">
        <x:v>综合方案§13核心数据模型</x:v>
      </x:c>
      <x:c r="P653" s="4" t="str">
        <x:v>FROZEN_M1_000</x:v>
      </x:c>
    </x:row>
    <x:row r="654" ht="23" customHeight="1">
      <x:c r="A654" s="4" t="str">
        <x:v>AuditLog</x:v>
      </x:c>
      <x:c r="B654" s="4" t="str">
        <x:v>objectId</x:v>
      </x:c>
      <x:c r="C654" s="17" t="str">
        <x:v>objectId</x:v>
      </x:c>
      <x:c r="D654" s="4" t="str">
        <x:v>6</x:v>
      </x:c>
      <x:c r="E654" s="4" t="str">
        <x:v>UUID</x:v>
      </x:c>
      <x:c r="F654" s="4" t="str">
        <x:v>YES</x:v>
      </x:c>
      <x:c r="G654" s="4" t="str">
        <x:v>UUID v4 canonical lowercase text</x:v>
      </x:c>
      <x:c r="H654" s="17" t="str">
        <x:v>INTERNAL</x:v>
      </x:c>
      <x:c r="I654" s="17" t="str">
        <x:v>按资源权限与数据域访问；公开DTO另行白名单</x:v>
      </x:c>
      <x:c r="J654" s="17" t="str">
        <x:v>数据库实体不得直接序列化为响应</x:v>
      </x:c>
      <x:c r="K654" s="17" t="str">
        <x:v>server validates type, ownership, state and length; client-derived ownership and authorization are never trusted</x:v>
      </x:c>
      <x:c r="L654" s="17" t="str">
        <x:v>追加/版本/快照，不覆盖已生效历史</x:v>
      </x:c>
      <x:c r="M654" s="4" t="str">
        <x:v>M1</x:v>
      </x:c>
      <x:c r="N654" s="4" t="str">
        <x:v>P0-045,P0-072</x:v>
      </x:c>
      <x:c r="O654" s="4" t="str">
        <x:v>综合方案§13核心数据模型</x:v>
      </x:c>
      <x:c r="P654" s="4" t="str">
        <x:v>FROZEN_M1_000</x:v>
      </x:c>
    </x:row>
    <x:row r="655" ht="23" customHeight="1">
      <x:c r="A655" s="4" t="str">
        <x:v>AuditLog</x:v>
      </x:c>
      <x:c r="B655" s="4" t="str">
        <x:v>beforeSnapshot</x:v>
      </x:c>
      <x:c r="C655" s="17" t="str">
        <x:v>beforeSnapshot</x:v>
      </x:c>
      <x:c r="D655" s="4" t="str">
        <x:v>7</x:v>
      </x:c>
      <x:c r="E655" s="4" t="str">
        <x:v>Json</x:v>
      </x:c>
      <x:c r="F655" s="4" t="str">
        <x:v>YES</x:v>
      </x:c>
      <x:c r="G655" s="4" t="str">
        <x:v>AuditLogBeforeSnapshotSchemaV1</x:v>
      </x:c>
      <x:c r="H655" s="17" t="str">
        <x:v>INTERNAL</x:v>
      </x:c>
      <x:c r="I655" s="17" t="str">
        <x:v>按资源权限与数据域访问；公开DTO另行白名单</x:v>
      </x:c>
      <x:c r="J655" s="17" t="str">
        <x:v>数据库实体不得直接序列化为响应</x:v>
      </x:c>
      <x:c r="K655" s="17" t="str">
        <x:v>sensitive values are masked or omitted before append-only persistence</x:v>
      </x:c>
      <x:c r="L655" s="17" t="str">
        <x:v>追加/版本/快照，不覆盖已生效历史</x:v>
      </x:c>
      <x:c r="M655" s="4" t="str">
        <x:v>M1</x:v>
      </x:c>
      <x:c r="N655" s="4" t="str">
        <x:v>P0-045,P0-072</x:v>
      </x:c>
      <x:c r="O655" s="4" t="str">
        <x:v>综合方案§13核心数据模型</x:v>
      </x:c>
      <x:c r="P655" s="4" t="str">
        <x:v>FROZEN_M1_000</x:v>
      </x:c>
    </x:row>
    <x:row r="656" ht="23" customHeight="1">
      <x:c r="A656" s="4" t="str">
        <x:v>AuditLog</x:v>
      </x:c>
      <x:c r="B656" s="4" t="str">
        <x:v>afterSnapshot</x:v>
      </x:c>
      <x:c r="C656" s="17" t="str">
        <x:v>afterSnapshot</x:v>
      </x:c>
      <x:c r="D656" s="4" t="str">
        <x:v>8</x:v>
      </x:c>
      <x:c r="E656" s="4" t="str">
        <x:v>Json</x:v>
      </x:c>
      <x:c r="F656" s="4" t="str">
        <x:v>YES</x:v>
      </x:c>
      <x:c r="G656" s="4" t="str">
        <x:v>AuditLogAfterSnapshotSchemaV1</x:v>
      </x:c>
      <x:c r="H656" s="17" t="str">
        <x:v>INTERNAL</x:v>
      </x:c>
      <x:c r="I656" s="17" t="str">
        <x:v>按资源权限与数据域访问；公开DTO另行白名单</x:v>
      </x:c>
      <x:c r="J656" s="17" t="str">
        <x:v>数据库实体不得直接序列化为响应</x:v>
      </x:c>
      <x:c r="K656" s="17" t="str">
        <x:v>sensitive values are masked or omitted before append-only persistence</x:v>
      </x:c>
      <x:c r="L656" s="17" t="str">
        <x:v>追加/版本/快照，不覆盖已生效历史</x:v>
      </x:c>
      <x:c r="M656" s="4" t="str">
        <x:v>M1</x:v>
      </x:c>
      <x:c r="N656" s="4" t="str">
        <x:v>P0-045,P0-072</x:v>
      </x:c>
      <x:c r="O656" s="4" t="str">
        <x:v>综合方案§13核心数据模型</x:v>
      </x:c>
      <x:c r="P656" s="4" t="str">
        <x:v>FROZEN_M1_000</x:v>
      </x:c>
    </x:row>
    <x:row r="657" ht="23" customHeight="1">
      <x:c r="A657" s="4" t="str">
        <x:v>AuditLog</x:v>
      </x:c>
      <x:c r="B657" s="4" t="str">
        <x:v>requestId</x:v>
      </x:c>
      <x:c r="C657" s="17" t="str">
        <x:v>requestId</x:v>
      </x:c>
      <x:c r="D657" s="4" t="str">
        <x:v>9</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P0-045,P0-072</x:v>
      </x:c>
      <x:c r="O657" s="4" t="str">
        <x:v>综合方案§13核心数据模型</x:v>
      </x:c>
      <x:c r="P657" s="4" t="str">
        <x:v>FROZEN_M1_000</x:v>
      </x:c>
    </x:row>
    <x:row r="658" ht="23" customHeight="1">
      <x:c r="A658" s="4" t="str">
        <x:v>AuditLog</x:v>
      </x:c>
      <x:c r="B658" s="4" t="str">
        <x:v>ip</x:v>
      </x:c>
      <x:c r="C658" s="17" t="str">
        <x:v>ip</x:v>
      </x:c>
      <x:c r="D658" s="4" t="str">
        <x:v>10</x:v>
      </x:c>
      <x:c r="E658" s="4" t="str">
        <x:v>String</x:v>
      </x:c>
      <x:c r="F658" s="4" t="str">
        <x:v>YES</x:v>
      </x:c>
      <x:c r="G658" s="4" t="str">
        <x:v>IPv4 or IPv6 text; max 45 chars</x:v>
      </x:c>
      <x:c r="H658" s="17" t="str">
        <x:v>PERSONAL_OR_SENSITIVE</x:v>
      </x:c>
      <x:c r="I658" s="17" t="str">
        <x:v>按角色、对象归属及配送阶段脱敏/解密</x:v>
      </x:c>
      <x:c r="J658" s="17" t="str">
        <x:v>禁止跨供应商、越阶段或批量无审批导出</x:v>
      </x:c>
      <x:c r="K658" s="17" t="str">
        <x:v>server validates type, ownership, state and length; client-derived ownership and authorization are never trusted</x:v>
      </x:c>
      <x:c r="L658" s="17" t="str">
        <x:v>追加/版本/快照，不覆盖已生效历史</x:v>
      </x:c>
      <x:c r="M658" s="4" t="str">
        <x:v>M1</x:v>
      </x:c>
      <x:c r="N658" s="4" t="str">
        <x:v>P0-045,P0-072</x:v>
      </x:c>
      <x:c r="O658" s="4" t="str">
        <x:v>综合方案§13核心数据模型</x:v>
      </x:c>
      <x:c r="P658" s="4" t="str">
        <x:v>FROZEN_M1_000</x:v>
      </x:c>
    </x:row>
    <x:row r="659" ht="23" customHeight="1">
      <x:c r="A659" s="5" t="str">
        <x:v>AuditLog</x:v>
      </x:c>
      <x:c r="B659" s="5" t="str">
        <x:v>occurredAt</x:v>
      </x:c>
      <x:c r="C659" s="18" t="str">
        <x:v>occurredAt</x:v>
      </x:c>
      <x:c r="D659" s="5" t="str">
        <x:v>11</x:v>
      </x:c>
      <x:c r="E659" s="5" t="str">
        <x:v>DateTime</x:v>
      </x:c>
      <x:c r="F659" s="5" t="str">
        <x:v>YES</x:v>
      </x:c>
      <x:c r="G659" s="5" t="str">
        <x:v>ISO-8601 UTC timestamp</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P0-045,P0-072</x:v>
      </x:c>
      <x:c r="O659" s="5" t="str">
        <x:v>综合方案§13核心数据模型</x:v>
      </x:c>
      <x:c r="P659" s="5" t="str">
        <x:v>FROZEN_M1_000</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b686eaf3df741b6"/>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阶段</x:v>
      </x:c>
      <x:c r="C1" s="15" t="str">
        <x:v>当前状态</x:v>
      </x:c>
      <x:c r="D1" s="15" t="str">
        <x:v>事件</x:v>
      </x:c>
      <x:c r="E1" s="15" t="str">
        <x:v>下一状态</x:v>
      </x:c>
      <x:c r="F1" s="15" t="str">
        <x:v>允许角色</x:v>
      </x:c>
      <x:c r="G1" s="15" t="str">
        <x:v>守卫条件</x:v>
      </x:c>
      <x:c r="H1" s="15" t="str">
        <x:v>副作用</x:v>
      </x:c>
      <x:c r="I1" s="15" t="str">
        <x:v>幂等</x:v>
      </x:c>
      <x:c r="J1" s="15" t="str">
        <x:v>非法迁移</x:v>
      </x:c>
      <x:c r="K1" s="15" t="str">
        <x:v>并发控制</x:v>
      </x:c>
      <x:c r="L1" s="15" t="str">
        <x:v>历史保留</x:v>
      </x:c>
      <x:c r="M1" s="15" t="str">
        <x:v>P0</x:v>
      </x:c>
      <x:c r="N1" s="16" t="str">
        <x:v>状态</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末级分类模板校验通过且无价格字段在本页面</x:v>
      </x:c>
      <x:c r="H23" s="17" t="str">
        <x:v>冻结资料快照；创建资料审批</x:v>
      </x:c>
      <x:c r="I23" s="17" t="str">
        <x:v>supplierProductId+version</x:v>
      </x:c>
      <x:c r="J23" s="17" t="str">
        <x:v>返回409 STATE_TRANSITION_INVALID；不改变状态；写安全审计（按风险级别）</x:v>
      </x:c>
      <x:c r="K23" s="17" t="str">
        <x:v>version乐观锁/唯一键/事务；受影响行数必须=1</x:v>
      </x:c>
      <x:c r="L23" s="17" t="str">
        <x:v>追加状态日志或不可变快照，禁止覆盖历史</x:v>
      </x:c>
      <x:c r="M23" s="4" t="str">
        <x:v>P0-006,P0-007,P0-018,P0-061</x:v>
      </x:c>
      <x:c r="N23" s="4" t="str">
        <x:v>DRAFT_TO_FREEZE_IN_STAGE</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x:v>
      </x:c>
      <x:c r="H24" s="17" t="str">
        <x:v>等待初始三价审批</x:v>
      </x:c>
      <x:c r="I24" s="17" t="str">
        <x:v>approvalTaskId+decision</x:v>
      </x:c>
      <x:c r="J24" s="17" t="str">
        <x:v>返回409 STATE_TRANSITION_INVALID；不改变状态；写安全审计（按风险级别）</x:v>
      </x:c>
      <x:c r="K24" s="17" t="str">
        <x:v>version乐观锁/唯一键/事务；受影响行数必须=1</x:v>
      </x:c>
      <x:c r="L24" s="17" t="str">
        <x:v>追加状态日志或不可变快照，禁止覆盖历史</x:v>
      </x:c>
      <x:c r="M24" s="4" t="str">
        <x:v>P0-006,P0-007,P0-018,P0-061</x:v>
      </x:c>
      <x:c r="N24" s="4" t="str">
        <x:v>DRAFT_TO_FREEZE_IN_STAGE</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DRAFT_TO_FREEZE_IN_STAGE</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DRAFT_TO_FREEZE_IN_STAGE</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DRAFT_TO_FREEZE_IN_STAGE</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DRAFT_TO_FREEZE_IN_STAGE</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DRAFT_TO_FREEZE_IN_STAGE</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DRAFT_TO_FREEZE_IN_STAGE</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DRAFT_TO_FREEZE_IN_STAGE</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DRAFT_TO_FREEZE_IN_STAGE</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DRAFT_TO_FREEZE_IN_STAGE</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FROZEN_M1_000</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d419ac596d04c86"/>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x:v>
      </x:c>
      <x:c r="F4" s="17" t="str">
        <x:v>分类模板、商品资料审核、上下架</x:v>
      </x:c>
      <x:c r="G4" s="17" t="str">
        <x:v>商品资料审核</x:v>
      </x:c>
      <x:c r="H4" s="17" t="str">
        <x:v>HIDDEN</x:v>
      </x:c>
      <x:c r="I4" s="17" t="str">
        <x:v>唯一公司全商品</x:v>
      </x:c>
      <x:c r="J4" s="17" t="str">
        <x:v>不得读取供应价或批准供应价</x:v>
      </x:c>
      <x:c r="K4" s="17" t="str">
        <x:v>强监管开关/批量上下架</x:v>
      </x:c>
      <x:c r="L4" s="17" t="str">
        <x:v>登录后选择一个职能；会话固定workspaceRoute；切换职能重新签发并审计</x:v>
      </x:c>
      <x:c r="M4" s="4" t="str">
        <x:v>M2</x:v>
      </x:c>
      <x:c r="N4" s="17" t="str">
        <x:v>P0-006,P0-007,P0-011,P0-012,P0-018,P0-067,P0-068</x:v>
      </x:c>
      <x:c r="O4" s="4" t="str">
        <x:v>LOCKED_BY_SCHEME</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LOCKED_BY_SCHEME</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LOCKED_BY_SCHEME</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LOCKED_BY_SCHEME</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LOCKED_BY_SCHEME</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bf857a8b1d84fa2"/>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P0-007,P0-067,P0-068</x:v>
      </x:c>
      <x:c r="I6" s="17" t="str">
        <x:v>REQUIRED_FIXED_FUNCTIONAL_SESSION</x:v>
      </x:c>
      <x:c r="J6" s="17" t="str">
        <x:v>NEVER_RETURN</x:v>
      </x:c>
      <x:c r="K6" s="17" t="str">
        <x:v>company-admin</x:v>
      </x:c>
      <x:c r="L6" s="17" t="str">
        <x:v>loading,empty,error,permission-denied,offline-or-timeout,success；交易页增加duplicate/unknown-result</x:v>
      </x:c>
      <x:c r="M6" s="17" t="str">
        <x:v>PC admin</x:v>
      </x:c>
      <x:c r="N6" s="17" t="str">
        <x:v>IMPLEMENTED</x:v>
      </x:c>
      <x:c r="O6" s="17" t="str">
        <x:v>P0-067_CI_PASS;P0-068_CI_PASS;P0-007_NOT_EXECUTED</x:v>
      </x:c>
      <x:c r="P6" s="17" t="str">
        <x:v>tests/e2e/p0/p0-067-company-workspaces.spec.ts;tests/e2e/p0/p0-068-company-workspace-completeness.spec.ts</x:v>
      </x:c>
      <x:c r="Q6" s="17" t="str">
        <x:v>P068仅交付服务端角色目录与页面完整状态；M2商品分类业务模块明确DEFERRED且未伪造数据</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P0-067_CI_PASS;P0-068_CI_PASS;P0-007_P0-019_P0-071_NOT_EXECUTED</x:v>
      </x:c>
      <x:c r="P7" s="17" t="str">
        <x:v>tests/e2e/p0/p0-067-company-workspaces.spec.ts;tests/e2e/p0/p0-068-company-workspace-completeness.spec.ts</x:v>
      </x:c>
      <x:c r="Q7" s="17" t="str">
        <x:v>P068仅交付当前价格审核职能目录与完整页面状态且不返回供应价；M2价格审核业务明确DEFERRED</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LOCAL_PASS</x:v>
      </x:c>
      <x:c r="P18" s="17" t="str">
        <x:v>tests/e2e/p0/p0-070-supplier-workspaces.spec.ts</x:v>
      </x:c>
      <x:c r="Q18" s="17" t="str">
        <x:v>M1-P070固定页面壳、单一菜单和六态已实现；M2商品业务数据仍DEFERRED且NOT_EXECUTED</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LOCAL_PASS</x:v>
      </x:c>
      <x:c r="P19" s="17" t="str">
        <x:v>tests/e2e/p0/p0-070-supplier-workspaces.spec.ts</x:v>
      </x:c>
      <x:c r="Q19" s="17" t="str">
        <x:v>M1-P070固定页面壳、单一菜单和六态已实现；P071价格审批页面业务与M2价格数据仍NOT_EXECUTED</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P0-023,P0-070</x:v>
      </x:c>
      <x:c r="I20" s="17" t="str">
        <x:v>REQUIRED_FIXED_FUNCTIONAL_SESSION</x:v>
      </x:c>
      <x:c r="J20" s="17" t="str">
        <x:v>NEVER_RETURN</x:v>
      </x:c>
      <x:c r="K20" s="17" t="str">
        <x:v>supplier</x:v>
      </x:c>
      <x:c r="L20" s="17" t="str">
        <x:v>loading,empty,error,permission-denied,offline-or-timeout,success；交易页增加duplicate/unknown-result</x:v>
      </x:c>
      <x:c r="M20" s="17" t="str">
        <x:v>PC admin</x:v>
      </x:c>
      <x:c r="N20" s="17" t="str">
        <x:v>IMPLEMENTED</x:v>
      </x:c>
      <x:c r="O20" s="17" t="str">
        <x:v>LOCAL_PASS</x:v>
      </x:c>
      <x:c r="P20" s="17" t="str">
        <x:v>tests/e2e/p0/p0-070-supplier-workspaces.spec.ts</x:v>
      </x:c>
      <x:c r="Q20" s="17" t="str">
        <x:v>M1-P070固定页面壳、单一菜单和六态已实现；M2库存业务数据仍DEFERRED且NOT_EXECUTED</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P0-001_LOCAL_PASS;M3_NOT_EXECUTED</x:v>
      </x:c>
      <x:c r="P26" s="17" t="str">
        <x:v>tests/e2e/p0/p0-001-single-merchant.spec.ts</x:v>
      </x:c>
      <x:c r="Q26" s="17" t="str">
        <x:v>Next.js App Router；P0-001主体声明区已实现并保持SSG/ISR；页面其余M3采购能力、P0-027与P0-074仍未实现，不以本切片冒充整页完成</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REFERENCE_ASSET_ONLY</x:v>
      </x:c>
      <x:c r="O35" s="17" t="str">
        <x:v>NOT_EXECUTED</x:v>
      </x:c>
      <x:c r="P35" s="17" t="str">
        <x:v>TO_BE_CREATED</x:v>
      </x:c>
      <x:c r="Q35" s="17" t="str">
        <x:v>企业身份服务端校验；用户特定响应private/no-store；noindex,nofollow；不得进入sitemap/CDN公共缓存</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REFERENCE_ASSET_ONLY</x:v>
      </x:c>
      <x:c r="O36" s="17" t="str">
        <x:v>NOT_EXECUTED</x:v>
      </x:c>
      <x:c r="P36" s="17" t="str">
        <x:v>TO_BE_CREATED</x:v>
      </x:c>
      <x:c r="Q36" s="17" t="str">
        <x:v>企业身份服务端校验；用户特定响应private/no-store；noindex,nofollow；不得进入sitemap/CDN公共缓存</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REFERENCE_ASSET_ONLY</x:v>
      </x:c>
      <x:c r="O54" s="17" t="str">
        <x:v>NOT_EXECUTED</x:v>
      </x:c>
      <x:c r="P54" s="17" t="str">
        <x:v>TO_BE_CREATED</x:v>
      </x:c>
      <x:c r="Q54" s="17" t="str">
        <x:v>视觉基线不覆盖业务、权限和状态机</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REFERENCE_ASSET_ONLY</x:v>
      </x:c>
      <x:c r="O55" s="17" t="str">
        <x:v>NOT_EXECUTED</x:v>
      </x:c>
      <x:c r="P55" s="17" t="str">
        <x:v>TO_BE_CREATED</x:v>
      </x:c>
      <x:c r="Q55" s="17" t="str">
        <x:v>视觉基线不覆盖业务、权限和状态机</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7054ee3e02254b33"/>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确认首批分类树、每类模板字段、资质和售后规则</x:v>
      </x:c>
      <x:c r="E8" s="4" t="str">
        <x:v>UNASSIGNED_HUMAN</x:v>
      </x:c>
      <x:c r="F8" s="4" t="str">
        <x:v>NOT_PROVIDED</x:v>
      </x:c>
      <x:c r="G8" s="17" t="str">
        <x:v>HUMAN_REQUIRED</x:v>
      </x:c>
      <x:c r="H8" s="17" t="str">
        <x:v>强监管品类默认关闭</x:v>
      </x:c>
      <x:c r="I8" s="4" t="str">
        <x:v>M2-P012</x:v>
      </x:c>
      <x:c r="J8" s="4" t="str">
        <x:v>NO</x:v>
      </x:c>
      <x:c r="K8" s="4" t="str"/>
      <x:c r="L8" s="4" t="str"/>
      <x:c r="M8" s="4" t="str"/>
      <x:c r="N8" s="17" t="str"/>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e97098653da4d49"/>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NOT_EXECUTED</x:v>
      </x:c>
      <x:c r="H7" s="17" t="str">
        <x:v>在对应切片先登记失败测试ID，再记录focused tests与pnpm verify；真机/预发布按要求执行</x:v>
      </x:c>
      <x:c r="I7" s="17" t="str">
        <x:v>供应商提交 SupplierProduct，公司审核后才产生/更新可售 Product/Sku。</x:v>
      </x:c>
      <x:c r="J7" s="17" t="str"/>
      <x:c r="K7" s="17" t="str"/>
      <x:c r="L7" s="17" t="str"/>
      <x:c r="M7" s="17" t="str"/>
      <x:c r="N7" s="17" t="str"/>
      <x:c r="O7" s="17" t="str"/>
      <x:c r="P7" s="17" t="str"/>
      <x:c r="Q7" s="17" t="str"/>
      <x:c r="R7" s="17" t="str">
        <x:v>NO_EVIDENCE_YET</x:v>
      </x:c>
      <x:c r="S7" s="17" t="str"/>
      <x:c r="T7" s="17" t="str">
        <x:v>YES</x:v>
      </x:c>
      <x:c r="U7" s="17" t="str">
        <x:v>不得以旧输出、字符串搜索、页面资产或模型自述替代</x:v>
      </x:c>
    </x:row>
    <x:row r="8" ht="23" customHeight="1">
      <x:c r="A8" s="17" t="str">
        <x:v>EVD-007</x:v>
      </x:c>
      <x:c r="B8" s="17" t="str">
        <x:v>P0-007</x:v>
      </x:c>
      <x:c r="C8" s="17" t="str">
        <x:v>M2</x:v>
      </x:c>
      <x:c r="D8" s="17" t="str">
        <x:v>M2-P007</x:v>
      </x:c>
      <x:c r="E8" s="17" t="str">
        <x:v>AUTOMATED_AND_MANUAL_AS_REQUIRED</x:v>
      </x:c>
      <x:c r="F8" s="17" t="str">
        <x:v>CI_PASS</x:v>
      </x:c>
      <x:c r="G8" s="17" t="str">
        <x:v>NOT_EXECUTED</x:v>
      </x:c>
      <x:c r="H8" s="17" t="str">
        <x:v>在对应切片先登记失败测试ID，再记录focused tests与pnpm verify；真机/预发布按要求执行</x:v>
      </x:c>
      <x:c r="I8" s="17" t="str">
        <x:v>公司商品职能页面完成商品资料审核、公司价格审核页面完成三类初始价格审核；两项均通过前商品无法出现在前台或加入购物车。</x:v>
      </x:c>
      <x:c r="J8" s="17" t="str"/>
      <x:c r="K8" s="17" t="str"/>
      <x:c r="L8" s="17" t="str"/>
      <x:c r="M8" s="17" t="str"/>
      <x:c r="N8" s="17" t="str"/>
      <x:c r="O8" s="17" t="str"/>
      <x:c r="P8" s="17" t="str"/>
      <x:c r="Q8" s="17" t="str"/>
      <x:c r="R8" s="17" t="str">
        <x:v>NO_EVIDENCE_YET</x:v>
      </x:c>
      <x:c r="S8" s="17" t="str"/>
      <x:c r="T8" s="17" t="str">
        <x:v>YES</x:v>
      </x:c>
      <x:c r="U8" s="17" t="str">
        <x:v>不得以旧输出、字符串搜索、页面资产或模型自述替代</x:v>
      </x:c>
    </x:row>
    <x:row r="9" ht="23" customHeight="1">
      <x:c r="A9" s="17" t="str">
        <x:v>EVD-008</x:v>
      </x:c>
      <x:c r="B9" s="17" t="str">
        <x:v>P0-008</x:v>
      </x:c>
      <x:c r="C9" s="17" t="str">
        <x:v>M2</x:v>
      </x:c>
      <x:c r="D9" s="17" t="str">
        <x:v>M2-P008</x:v>
      </x:c>
      <x:c r="E9" s="17" t="str">
        <x:v>AUTOMATED_AND_MANUAL_AS_REQUIRED</x:v>
      </x:c>
      <x:c r="F9" s="17" t="str">
        <x:v>CI_PASS</x:v>
      </x:c>
      <x:c r="G9" s="17" t="str">
        <x:v>NOT_EXECUTED</x:v>
      </x:c>
      <x:c r="H9" s="17" t="str">
        <x:v>在对应切片先登记失败测试ID，再记录focused tests与pnpm verify；真机/预发布按要求执行</x:v>
      </x:c>
      <x:c r="I9" s="17" t="str">
        <x:v>供应商商品页面不加载价格字段；价格职能页面自主设置供应价、平台零售价和集采销售价并提交初始价格审核，公司不得静默改价。</x:v>
      </x:c>
      <x:c r="J9" s="17" t="str"/>
      <x:c r="K9" s="17" t="str"/>
      <x:c r="L9" s="17" t="str"/>
      <x:c r="M9" s="17" t="str"/>
      <x:c r="N9" s="17" t="str"/>
      <x:c r="O9" s="17" t="str"/>
      <x:c r="P9" s="17" t="str"/>
      <x:c r="Q9" s="17" t="str"/>
      <x:c r="R9" s="17" t="str">
        <x:v>NO_EVIDENCE_YET</x:v>
      </x:c>
      <x:c r="S9" s="17" t="str"/>
      <x:c r="T9" s="17" t="str">
        <x:v>YES</x:v>
      </x:c>
      <x:c r="U9" s="17" t="str">
        <x:v>不得以旧输出、字符串搜索、页面资产或模型自述替代</x:v>
      </x:c>
    </x:row>
    <x:row r="10" ht="23" customHeight="1">
      <x:c r="A10" s="17" t="str">
        <x:v>EVD-009</x:v>
      </x:c>
      <x:c r="B10" s="17" t="str">
        <x:v>P0-009</x:v>
      </x:c>
      <x:c r="C10" s="17" t="str">
        <x:v>M2</x:v>
      </x:c>
      <x:c r="D10" s="17" t="str">
        <x:v>M2-P009</x:v>
      </x:c>
      <x:c r="E10" s="17" t="str">
        <x:v>AUTOMATED_AND_MANUAL_AS_REQUIRED</x:v>
      </x:c>
      <x:c r="F10" s="17" t="str">
        <x:v>CI_PASS</x:v>
      </x:c>
      <x:c r="G10" s="17" t="str">
        <x:v>NOT_EXECUTED</x:v>
      </x:c>
      <x:c r="H10" s="17" t="str">
        <x:v>在对应切片先登记失败测试ID，再记录focused tests与pnpm verify；真机/预发布按要求执行</x:v>
      </x:c>
      <x:c r="I10" s="17" t="str">
        <x:v>不存在供应商装修页、独立结算、店铺优惠券和供应商收款入口。</x:v>
      </x:c>
      <x:c r="J10" s="17" t="str"/>
      <x:c r="K10" s="17" t="str"/>
      <x:c r="L10" s="17" t="str"/>
      <x:c r="M10" s="17" t="str"/>
      <x:c r="N10" s="17" t="str"/>
      <x:c r="O10" s="17" t="str"/>
      <x:c r="P10" s="17" t="str"/>
      <x:c r="Q10" s="17" t="str"/>
      <x:c r="R10" s="17" t="str">
        <x:v>NO_EVIDENCE_YET</x:v>
      </x:c>
      <x:c r="S10" s="17" t="str"/>
      <x:c r="T10" s="17" t="str">
        <x:v>YES</x:v>
      </x:c>
      <x:c r="U10" s="17" t="str">
        <x:v>不得以旧输出、字符串搜索、页面资产或模型自述替代</x:v>
      </x:c>
    </x:row>
    <x:row r="11" ht="23" customHeight="1">
      <x:c r="A11" s="17" t="str">
        <x:v>EVD-010</x:v>
      </x:c>
      <x:c r="B11" s="17" t="str">
        <x:v>P0-010</x:v>
      </x:c>
      <x:c r="C11" s="17" t="str">
        <x:v>M2</x:v>
      </x:c>
      <x:c r="D11" s="17" t="str">
        <x:v>M2-P010</x:v>
      </x:c>
      <x:c r="E11" s="17" t="str">
        <x:v>AUTOMATED_AND_MANUAL_AS_REQUIRED</x:v>
      </x:c>
      <x:c r="F11" s="17" t="str">
        <x:v>CI_PASS</x:v>
      </x:c>
      <x:c r="G11" s="17" t="str">
        <x:v>NOT_EXECUTED</x:v>
      </x:c>
      <x:c r="H11" s="17" t="str">
        <x:v>在对应切片先登记失败测试ID，再记录focused tests与pnpm verify；真机/预发布按要求执行</x:v>
      </x:c>
      <x:c r="I11" s="17" t="str">
        <x:v>按 supplierId 筛选公司已上架商品，销售主体和统一货架不改变。</x:v>
      </x:c>
      <x:c r="J11" s="17" t="str"/>
      <x:c r="K11" s="17" t="str"/>
      <x:c r="L11" s="17" t="str"/>
      <x:c r="M11" s="17" t="str"/>
      <x:c r="N11" s="17" t="str"/>
      <x:c r="O11" s="17" t="str"/>
      <x:c r="P11" s="17" t="str"/>
      <x:c r="Q11" s="17" t="str"/>
      <x:c r="R11" s="17" t="str">
        <x:v>NO_EVIDENCE_YET</x:v>
      </x:c>
      <x:c r="S11" s="17" t="str"/>
      <x:c r="T11" s="17" t="str">
        <x:v>YES</x:v>
      </x:c>
      <x:c r="U11" s="17" t="str">
        <x:v>不得以旧输出、字符串搜索、页面资产或模型自述替代</x:v>
      </x:c>
    </x:row>
    <x:row r="12" ht="23" customHeight="1">
      <x:c r="A12" s="17" t="str">
        <x:v>EVD-011</x:v>
      </x:c>
      <x:c r="B12" s="17" t="str">
        <x:v>P0-011</x:v>
      </x:c>
      <x:c r="C12" s="17" t="str">
        <x:v>M2</x:v>
      </x:c>
      <x:c r="D12" s="17" t="str">
        <x:v>M2-P011</x:v>
      </x:c>
      <x:c r="E12" s="17" t="str">
        <x:v>AUTOMATED_AND_MANUAL_AS_REQUIRED</x:v>
      </x:c>
      <x:c r="F12" s="17" t="str">
        <x:v>CI_PASS</x:v>
      </x:c>
      <x:c r="G12" s="17" t="str">
        <x:v>NOT_EXECUTED</x:v>
      </x:c>
      <x:c r="H12" s="17" t="str">
        <x:v>在对应切片先登记失败测试ID，再记录focused tests与pnpm verify；真机/预发布按要求执行</x:v>
      </x:c>
      <x:c r="I12" s="17" t="str">
        <x:v>商品必须绑定启用的末级分类，分类支持排序、停用和历史引用保护。</x:v>
      </x:c>
      <x:c r="J12" s="17" t="str"/>
      <x:c r="K12" s="17" t="str"/>
      <x:c r="L12" s="17" t="str"/>
      <x:c r="M12" s="17" t="str"/>
      <x:c r="N12" s="17" t="str"/>
      <x:c r="O12" s="17" t="str"/>
      <x:c r="P12" s="17" t="str"/>
      <x:c r="Q12" s="17" t="str"/>
      <x:c r="R12" s="17" t="str">
        <x:v>NO_EVIDENCE_YET</x:v>
      </x:c>
      <x:c r="S12" s="17" t="str"/>
      <x:c r="T12" s="17" t="str">
        <x:v>YES</x:v>
      </x:c>
      <x:c r="U12" s="17" t="str">
        <x:v>不得以旧输出、字符串搜索、页面资产或模型自述替代</x:v>
      </x:c>
    </x:row>
    <x:row r="13" ht="23" customHeight="1">
      <x:c r="A13" s="17" t="str">
        <x:v>EVD-012</x:v>
      </x:c>
      <x:c r="B13" s="17" t="str">
        <x:v>P0-012</x:v>
      </x:c>
      <x:c r="C13" s="17" t="str">
        <x:v>M2</x:v>
      </x:c>
      <x:c r="D13" s="17" t="str">
        <x:v>M2-P012</x:v>
      </x:c>
      <x:c r="E13" s="17" t="str">
        <x:v>AUTOMATED_AND_MANUAL_AS_REQUIRED</x:v>
      </x:c>
      <x:c r="F13" s="17" t="str">
        <x:v>CI_PASS</x:v>
      </x:c>
      <x:c r="G13" s="17" t="str">
        <x:v>NOT_EXECUTED</x:v>
      </x:c>
      <x:c r="H13" s="17" t="str">
        <x:v>在对应切片先登记失败测试ID，再记录focused tests与pnpm verify；真机/预发布按要求执行</x:v>
      </x:c>
      <x:c r="I13" s="17" t="str">
        <x:v>末级分类绑定模板版本，决定必填字段、SKU、资质和详情模块。</x:v>
      </x:c>
      <x:c r="J13" s="17" t="str"/>
      <x:c r="K13" s="17" t="str"/>
      <x:c r="L13" s="17" t="str"/>
      <x:c r="M13" s="17" t="str"/>
      <x:c r="N13" s="17" t="str"/>
      <x:c r="O13" s="17" t="str"/>
      <x:c r="P13" s="17" t="str"/>
      <x:c r="Q13" s="17" t="str"/>
      <x:c r="R13" s="17" t="str">
        <x:v>NO_EVIDENCE_YET</x:v>
      </x:c>
      <x:c r="S13" s="17" t="str"/>
      <x:c r="T13" s="17" t="str">
        <x:v>YES</x:v>
      </x:c>
      <x:c r="U13" s="17" t="str">
        <x:v>不得以旧输出、字符串搜索、页面资产或模型自述替代</x:v>
      </x:c>
    </x:row>
    <x:row r="14" ht="23" customHeight="1">
      <x:c r="A14" s="17" t="str">
        <x:v>EVD-013</x:v>
      </x:c>
      <x:c r="B14" s="17" t="str">
        <x:v>P0-013</x:v>
      </x:c>
      <x:c r="C14" s="17" t="str">
        <x:v>M2</x:v>
      </x:c>
      <x:c r="D14" s="17" t="str">
        <x:v>M2-P013</x:v>
      </x:c>
      <x:c r="E14" s="17" t="str">
        <x:v>AUTOMATED_AND_MANUAL_AS_REQUIRED</x:v>
      </x:c>
      <x:c r="F14" s="17" t="str">
        <x:v>CI_PASS</x:v>
      </x:c>
      <x:c r="G14" s="17" t="str">
        <x:v>NOT_EXECUTED</x:v>
      </x:c>
      <x:c r="H14" s="17" t="str">
        <x:v>在对应切片先登记失败测试ID，再记录focused tests与pnpm verify；真机/预发布按要求执行</x:v>
      </x:c>
      <x:c r="I14" s="17" t="str">
        <x:v>配料、营养、许可、保质期、储存和过敏原按模板展示。</x:v>
      </x:c>
      <x:c r="J14" s="17" t="str"/>
      <x:c r="K14" s="17" t="str"/>
      <x:c r="L14" s="17" t="str"/>
      <x:c r="M14" s="17" t="str"/>
      <x:c r="N14" s="17" t="str"/>
      <x:c r="O14" s="17" t="str"/>
      <x:c r="P14" s="17" t="str"/>
      <x:c r="Q14" s="17" t="str"/>
      <x:c r="R14" s="17" t="str">
        <x:v>NO_EVIDENCE_YET</x:v>
      </x:c>
      <x:c r="S14" s="17" t="str"/>
      <x:c r="T14" s="17" t="str">
        <x:v>YES</x:v>
      </x:c>
      <x:c r="U14" s="17" t="str">
        <x:v>不得以旧输出、字符串搜索、页面资产或模型自述替代</x:v>
      </x:c>
    </x:row>
    <x:row r="15" ht="23" customHeight="1">
      <x:c r="A15" s="17" t="str">
        <x:v>EVD-014</x:v>
      </x:c>
      <x:c r="B15" s="17" t="str">
        <x:v>P0-014</x:v>
      </x:c>
      <x:c r="C15" s="17" t="str">
        <x:v>M2</x:v>
      </x:c>
      <x:c r="D15" s="17" t="str">
        <x:v>M2-P014</x:v>
      </x:c>
      <x:c r="E15" s="17" t="str">
        <x:v>AUTOMATED_AND_MANUAL_AS_REQUIRED</x:v>
      </x:c>
      <x:c r="F15" s="17" t="str">
        <x:v>CI_PASS</x:v>
      </x:c>
      <x:c r="G15" s="17" t="str">
        <x:v>NOT_EXECUTED</x:v>
      </x:c>
      <x:c r="H15" s="17" t="str">
        <x:v>在对应切片先登记失败测试ID，再记录focused tests与pnpm verify；真机/预发布按要求执行</x:v>
      </x:c>
      <x:c r="I15" s="17" t="str">
        <x:v>产地、等级、保鲜、温区、称重和售后规则按模板展示。</x:v>
      </x:c>
      <x:c r="J15" s="17" t="str"/>
      <x:c r="K15" s="17" t="str"/>
      <x:c r="L15" s="17" t="str"/>
      <x:c r="M15" s="17" t="str"/>
      <x:c r="N15" s="17" t="str"/>
      <x:c r="O15" s="17" t="str"/>
      <x:c r="P15" s="17" t="str"/>
      <x:c r="Q15" s="17" t="str"/>
      <x:c r="R15" s="17" t="str">
        <x:v>NO_EVIDENCE_YET</x:v>
      </x:c>
      <x:c r="S15" s="17" t="str"/>
      <x:c r="T15" s="17" t="str">
        <x:v>YES</x:v>
      </x:c>
      <x:c r="U15" s="17" t="str">
        <x:v>不得以旧输出、字符串搜索、页面资产或模型自述替代</x:v>
      </x:c>
    </x:row>
    <x:row r="16" ht="23" customHeight="1">
      <x:c r="A16" s="17" t="str">
        <x:v>EVD-015</x:v>
      </x:c>
      <x:c r="B16" s="17" t="str">
        <x:v>P0-015</x:v>
      </x:c>
      <x:c r="C16" s="17" t="str">
        <x:v>M2</x:v>
      </x:c>
      <x:c r="D16" s="17" t="str">
        <x:v>M2-P015</x:v>
      </x:c>
      <x:c r="E16" s="17" t="str">
        <x:v>AUTOMATED_AND_MANUAL_AS_REQUIRED</x:v>
      </x:c>
      <x:c r="F16" s="17" t="str">
        <x:v>CI_PASS</x:v>
      </x:c>
      <x:c r="G16" s="17" t="str">
        <x:v>NOT_EXECUTED</x:v>
      </x:c>
      <x:c r="H16" s="17" t="str">
        <x:v>在对应切片先登记失败测试ID，再记录focused tests与pnpm verify；真机/预发布按要求执行</x:v>
      </x:c>
      <x:c r="I16" s="17" t="str">
        <x:v>颜色尺码 SKU、材质、尺码表和洗护说明完整。</x:v>
      </x:c>
      <x:c r="J16" s="17" t="str"/>
      <x:c r="K16" s="17" t="str"/>
      <x:c r="L16" s="17" t="str"/>
      <x:c r="M16" s="17" t="str"/>
      <x:c r="N16" s="17" t="str"/>
      <x:c r="O16" s="17" t="str"/>
      <x:c r="P16" s="17" t="str"/>
      <x:c r="Q16" s="17" t="str"/>
      <x:c r="R16" s="17" t="str">
        <x:v>NO_EVIDENCE_YET</x:v>
      </x:c>
      <x:c r="S16" s="17" t="str"/>
      <x:c r="T16" s="17" t="str">
        <x:v>YES</x:v>
      </x:c>
      <x:c r="U16" s="17" t="str">
        <x:v>不得以旧输出、字符串搜索、页面资产或模型自述替代</x:v>
      </x:c>
    </x:row>
    <x:row r="17" ht="23" customHeight="1">
      <x:c r="A17" s="17" t="str">
        <x:v>EVD-016</x:v>
      </x:c>
      <x:c r="B17" s="17" t="str">
        <x:v>P0-016</x:v>
      </x:c>
      <x:c r="C17" s="17" t="str">
        <x:v>M2</x:v>
      </x:c>
      <x:c r="D17" s="17" t="str">
        <x:v>M2-P016</x:v>
      </x:c>
      <x:c r="E17" s="17" t="str">
        <x:v>AUTOMATED_AND_MANUAL_AS_REQUIRED</x:v>
      </x:c>
      <x:c r="F17" s="17" t="str">
        <x:v>CI_PASS</x:v>
      </x:c>
      <x:c r="G17" s="17" t="str">
        <x:v>NOT_EXECUTED</x:v>
      </x:c>
      <x:c r="H17" s="17" t="str">
        <x:v>在对应切片先登记失败测试ID，再记录focused tests与pnpm verify；真机/预发布按要求执行</x:v>
      </x:c>
      <x:c r="I17" s="17" t="str">
        <x:v>型号、参数、能效、包装清单和保修信息完整。</x:v>
      </x:c>
      <x:c r="J17" s="17" t="str"/>
      <x:c r="K17" s="17" t="str"/>
      <x:c r="L17" s="17" t="str"/>
      <x:c r="M17" s="17" t="str"/>
      <x:c r="N17" s="17" t="str"/>
      <x:c r="O17" s="17" t="str"/>
      <x:c r="P17" s="17" t="str"/>
      <x:c r="Q17" s="17" t="str"/>
      <x:c r="R17" s="17" t="str">
        <x:v>NO_EVIDENCE_YET</x:v>
      </x:c>
      <x:c r="S17" s="17" t="str"/>
      <x:c r="T17" s="17" t="str">
        <x:v>YES</x:v>
      </x:c>
      <x:c r="U17" s="17" t="str">
        <x:v>不得以旧输出、字符串搜索、页面资产或模型自述替代</x:v>
      </x:c>
    </x:row>
    <x:row r="18" ht="23" customHeight="1">
      <x:c r="A18" s="17" t="str">
        <x:v>EVD-017</x:v>
      </x:c>
      <x:c r="B18" s="17" t="str">
        <x:v>P0-017</x:v>
      </x:c>
      <x:c r="C18" s="17" t="str">
        <x:v>M2</x:v>
      </x:c>
      <x:c r="D18" s="17" t="str">
        <x:v>M2-P017</x:v>
      </x:c>
      <x:c r="E18" s="17" t="str">
        <x:v>AUTOMATED_AND_MANUAL_AS_REQUIRED</x:v>
      </x:c>
      <x:c r="F18" s="17" t="str">
        <x:v>CI_PASS</x:v>
      </x:c>
      <x:c r="G18" s="17" t="str">
        <x:v>NOT_EXECUTED</x:v>
      </x:c>
      <x:c r="H18" s="17" t="str">
        <x:v>在对应切片先登记失败测试ID，再记录focused tests与pnpm verify；真机/预发布按要求执行</x:v>
      </x:c>
      <x:c r="I18" s="17" t="str">
        <x:v>组合商品明确展示子项、数量、规格和有效期下限。</x:v>
      </x:c>
      <x:c r="J18" s="17" t="str"/>
      <x:c r="K18" s="17" t="str"/>
      <x:c r="L18" s="17" t="str"/>
      <x:c r="M18" s="17" t="str"/>
      <x:c r="N18" s="17" t="str"/>
      <x:c r="O18" s="17" t="str"/>
      <x:c r="P18" s="17" t="str"/>
      <x:c r="Q18" s="17" t="str"/>
      <x:c r="R18" s="17" t="str">
        <x:v>NO_EVIDENCE_YET</x:v>
      </x:c>
      <x:c r="S18" s="17" t="str"/>
      <x:c r="T18" s="17" t="str">
        <x:v>YES</x:v>
      </x:c>
      <x:c r="U18" s="17" t="str">
        <x:v>不得以旧输出、字符串搜索、页面资产或模型自述替代</x:v>
      </x:c>
    </x:row>
    <x:row r="19" ht="23" customHeight="1">
      <x:c r="A19" s="17" t="str">
        <x:v>EVD-018</x:v>
      </x:c>
      <x:c r="B19" s="17" t="str">
        <x:v>P0-018</x:v>
      </x:c>
      <x:c r="C19" s="17" t="str">
        <x:v>M2</x:v>
      </x:c>
      <x:c r="D19" s="17" t="str">
        <x:v>M2-P018</x:v>
      </x:c>
      <x:c r="E19" s="17" t="str">
        <x:v>AUTOMATED_AND_MANUAL_AS_REQUIRED</x:v>
      </x:c>
      <x:c r="F19" s="17" t="str">
        <x:v>CI_PASS</x:v>
      </x:c>
      <x:c r="G19" s="17" t="str">
        <x:v>NOT_EXECUTED</x:v>
      </x:c>
      <x:c r="H19" s="17" t="str">
        <x:v>在对应切片先登记失败测试ID，再记录focused tests与pnpm verify；真机/预发布按要求执行</x:v>
      </x:c>
      <x:c r="I19" s="17" t="str">
        <x:v>未配置公司资质、模板和人工开关的高风险品类不能交易。</x:v>
      </x:c>
      <x:c r="J19" s="17" t="str"/>
      <x:c r="K19" s="17" t="str"/>
      <x:c r="L19" s="17" t="str"/>
      <x:c r="M19" s="17" t="str"/>
      <x:c r="N19" s="17" t="str"/>
      <x:c r="O19" s="17" t="str"/>
      <x:c r="P19" s="17" t="str"/>
      <x:c r="Q19" s="17" t="str"/>
      <x:c r="R19" s="17" t="str">
        <x:v>NO_EVIDENCE_YET</x:v>
      </x:c>
      <x:c r="S19" s="17" t="str"/>
      <x:c r="T19" s="17" t="str">
        <x:v>YES</x:v>
      </x:c>
      <x:c r="U19" s="17" t="str">
        <x:v>不得以旧输出、字符串搜索、页面资产或模型自述替代</x:v>
      </x:c>
    </x:row>
    <x:row r="20" ht="23" customHeight="1">
      <x:c r="A20" s="17" t="str">
        <x:v>EVD-019</x:v>
      </x:c>
      <x:c r="B20" s="17" t="str">
        <x:v>P0-019</x:v>
      </x:c>
      <x:c r="C20" s="17" t="str">
        <x:v>M2</x:v>
      </x:c>
      <x:c r="D20" s="17" t="str">
        <x:v>M2-P019</x:v>
      </x:c>
      <x:c r="E20" s="17" t="str">
        <x:v>AUTOMATED_AND_MANUAL_AS_REQUIRED</x:v>
      </x:c>
      <x:c r="F20" s="17" t="str">
        <x:v>CI_PASS</x:v>
      </x:c>
      <x:c r="G20" s="17"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t="str"/>
      <x:c r="K20" s="17" t="str"/>
      <x:c r="L20" s="17" t="str"/>
      <x:c r="M20" s="17" t="str"/>
      <x:c r="N20" s="17" t="str"/>
      <x:c r="O20" s="17" t="str"/>
      <x:c r="P20" s="17" t="str"/>
      <x:c r="Q20" s="17" t="str"/>
      <x:c r="R20" s="17" t="str">
        <x:v>NO_EVIDENCE_YET</x:v>
      </x:c>
      <x:c r="S20" s="17" t="str"/>
      <x:c r="T20" s="17" t="str">
        <x:v>YES</x:v>
      </x:c>
      <x:c r="U20" s="17" t="str">
        <x:v>不得以旧输出、字符串搜索、页面资产或模型自述替代</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t="str"/>
      <x:c r="K21" s="17" t="str"/>
      <x:c r="L21" s="17" t="str"/>
      <x:c r="M21" s="17" t="str"/>
      <x:c r="N21" s="17" t="str"/>
      <x:c r="O21" s="17" t="str"/>
      <x:c r="P21" s="17" t="str"/>
      <x:c r="Q21" s="17" t="str"/>
      <x:c r="R21" s="17" t="str">
        <x:v>NO_EVIDENCE_YET</x:v>
      </x:c>
      <x:c r="S21" s="17" t="str"/>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t="str"/>
      <x:c r="K22" s="17" t="str"/>
      <x:c r="L22" s="17" t="str"/>
      <x:c r="M22" s="17" t="str"/>
      <x:c r="N22" s="17" t="str"/>
      <x:c r="O22" s="17" t="str"/>
      <x:c r="P22" s="17" t="str"/>
      <x:c r="Q22" s="17" t="str"/>
      <x:c r="R22" s="17" t="str">
        <x:v>NO_EVIDENCE_YET</x:v>
      </x:c>
      <x:c r="S22" s="17" t="str"/>
      <x:c r="T22" s="17" t="str">
        <x:v>YES</x:v>
      </x:c>
      <x:c r="U22" s="17" t="str">
        <x:v>不得以旧输出、字符串搜索、页面资产或模型自述替代</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t="str"/>
      <x:c r="K23" s="17" t="str"/>
      <x:c r="L23" s="17" t="str"/>
      <x:c r="M23" s="17" t="str"/>
      <x:c r="N23" s="17" t="str"/>
      <x:c r="O23" s="17" t="str"/>
      <x:c r="P23" s="17" t="str"/>
      <x:c r="Q23" s="17" t="str"/>
      <x:c r="R23" s="17" t="str">
        <x:v>NO_EVIDENCE_YET</x:v>
      </x:c>
      <x:c r="S23" s="17" t="str"/>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t="str"/>
      <x:c r="K24" s="17" t="str"/>
      <x:c r="L24" s="17" t="str"/>
      <x:c r="M24" s="17" t="str"/>
      <x:c r="N24" s="17" t="str"/>
      <x:c r="O24" s="17" t="str"/>
      <x:c r="P24" s="17" t="str"/>
      <x:c r="Q24" s="17" t="str"/>
      <x:c r="R24" s="17" t="str">
        <x:v>NO_EVIDENCE_YET</x:v>
      </x:c>
      <x:c r="S24" s="17" t="str"/>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t="str"/>
      <x:c r="K25" s="17" t="str"/>
      <x:c r="L25" s="17" t="str"/>
      <x:c r="M25" s="17" t="str"/>
      <x:c r="N25" s="17" t="str"/>
      <x:c r="O25" s="17" t="str"/>
      <x:c r="P25" s="17" t="str"/>
      <x:c r="Q25" s="17" t="str"/>
      <x:c r="R25" s="17" t="str">
        <x:v>NO_EVIDENCE_YET</x:v>
      </x:c>
      <x:c r="S25" s="17" t="str"/>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c r="K26" s="17" t="str"/>
      <x:c r="L26" s="17" t="str"/>
      <x:c r="M26" s="17" t="str"/>
      <x:c r="N26" s="17" t="str"/>
      <x:c r="O26" s="17" t="str"/>
      <x:c r="P26" s="17" t="str"/>
      <x:c r="Q26" s="17" t="str"/>
      <x:c r="R26" s="17" t="str">
        <x:v>NO_EVIDENCE_YET</x:v>
      </x:c>
      <x:c r="S26" s="17" t="str"/>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t="str"/>
      <x:c r="K27" s="17" t="str"/>
      <x:c r="L27" s="17" t="str"/>
      <x:c r="M27" s="17" t="str"/>
      <x:c r="N27" s="17" t="str"/>
      <x:c r="O27" s="17" t="str"/>
      <x:c r="P27" s="17" t="str"/>
      <x:c r="Q27" s="17" t="str"/>
      <x:c r="R27" s="17" t="str">
        <x:v>NO_EVIDENCE_YET</x:v>
      </x:c>
      <x:c r="S27" s="17" t="str"/>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17" t="str"/>
      <x:c r="L30" s="17" t="str"/>
      <x:c r="M30" s="17" t="str"/>
      <x:c r="N30" s="17" t="str"/>
      <x:c r="O30" s="17" t="str"/>
      <x:c r="P30" s="17" t="str"/>
      <x:c r="Q30" s="17" t="str"/>
      <x:c r="R30" s="17" t="str">
        <x:v>NO_EVIDENCE_YET</x:v>
      </x:c>
      <x:c r="S30" s="17" t="str"/>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17" t="str"/>
      <x:c r="L31" s="17" t="str"/>
      <x:c r="M31" s="17" t="str"/>
      <x:c r="N31" s="17" t="str"/>
      <x:c r="O31" s="17" t="str"/>
      <x:c r="P31" s="17" t="str"/>
      <x:c r="Q31" s="17" t="str"/>
      <x:c r="R31" s="17" t="str">
        <x:v>NO_EVIDENCE_YET</x:v>
      </x:c>
      <x:c r="S31" s="17" t="str"/>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17" t="str"/>
      <x:c r="L32" s="17" t="str"/>
      <x:c r="M32" s="17" t="str"/>
      <x:c r="N32" s="17" t="str"/>
      <x:c r="O32" s="17" t="str"/>
      <x:c r="P32" s="17" t="str"/>
      <x:c r="Q32" s="17" t="str"/>
      <x:c r="R32" s="17" t="str">
        <x:v>NO_EVIDENCE_YET</x:v>
      </x:c>
      <x:c r="S32" s="17" t="str"/>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17" t="str"/>
      <x:c r="L52" s="17" t="str"/>
      <x:c r="M52" s="17" t="str"/>
      <x:c r="N52" s="17" t="str"/>
      <x:c r="O52" s="17" t="str"/>
      <x:c r="P52" s="17" t="str"/>
      <x:c r="Q52" s="17" t="str"/>
      <x:c r="R52" s="17" t="str">
        <x:v>NO_EVIDENCE_YET</x:v>
      </x:c>
      <x:c r="S52" s="17" t="str"/>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17" t="str"/>
      <x:c r="L53" s="17" t="str"/>
      <x:c r="M53" s="17" t="str"/>
      <x:c r="N53" s="17" t="str"/>
      <x:c r="O53" s="17" t="str"/>
      <x:c r="P53" s="17" t="str"/>
      <x:c r="Q53" s="17" t="str"/>
      <x:c r="R53" s="17" t="str">
        <x:v>NO_EVIDENCE_YET</x:v>
      </x:c>
      <x:c r="S53" s="17" t="str"/>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t="str"/>
      <x:c r="K62" s="17" t="str"/>
      <x:c r="L62" s="17" t="str"/>
      <x:c r="M62" s="17" t="str"/>
      <x:c r="N62" s="17" t="str"/>
      <x:c r="O62" s="17" t="str"/>
      <x:c r="P62" s="17" t="str"/>
      <x:c r="Q62" s="17" t="str"/>
      <x:c r="R62" s="17" t="str">
        <x:v>NO_EVIDENCE_YET</x:v>
      </x:c>
      <x:c r="S62" s="17" t="str"/>
      <x:c r="T62" s="17" t="str">
        <x:v>YES</x:v>
      </x:c>
      <x:c r="U62" s="17" t="str">
        <x:v>不得以旧输出、字符串搜索、页面资产或模型自述替代</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t="str"/>
      <x:c r="K64" s="17" t="str"/>
      <x:c r="L64" s="17" t="str"/>
      <x:c r="M64" s="17" t="str"/>
      <x:c r="N64" s="17" t="str"/>
      <x:c r="O64" s="17" t="str"/>
      <x:c r="P64" s="17" t="str"/>
      <x:c r="Q64" s="17" t="str"/>
      <x:c r="R64" s="17" t="str">
        <x:v>NO_EVIDENCE_YET</x:v>
      </x:c>
      <x:c r="S64" s="17" t="str"/>
      <x:c r="T64" s="17" t="str">
        <x:v>YES</x:v>
      </x:c>
      <x:c r="U64" s="17" t="str">
        <x:v>不得以旧输出、字符串搜索、页面资产或模型自述替代</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c r="K72" s="17" t="str"/>
      <x:c r="L72" s="17" t="str"/>
      <x:c r="M72" s="17" t="str"/>
      <x:c r="N72" s="17" t="str"/>
      <x:c r="O72" s="17" t="str"/>
      <x:c r="P72" s="17" t="str"/>
      <x:c r="Q72" s="17" t="str"/>
      <x:c r="R72" s="17" t="str">
        <x:v>NO_EVIDENCE_YET</x:v>
      </x:c>
      <x:c r="S72" s="17" t="str"/>
      <x:c r="T72" s="17" t="str">
        <x:v>YES</x:v>
      </x:c>
      <x:c r="U72" s="17" t="str">
        <x:v>不得以旧输出、字符串搜索、页面资产或模型自述替代</x:v>
      </x:c>
    </x:row>
    <x:row r="73" ht="23" customHeight="1">
      <x:c r="A73" s="17" t="str">
        <x:v>EVD-072</x:v>
      </x:c>
      <x:c r="B73" s="17" t="str">
        <x:v>P0-072</x:v>
      </x:c>
      <x:c r="C73" s="17" t="str">
        <x:v>M1</x:v>
      </x:c>
      <x:c r="D73" s="17" t="str">
        <x:v>M1-P072</x:v>
      </x:c>
      <x:c r="E73" s="17" t="str">
        <x:v>AUTOMATED_AND_MANUAL_AS_REQUIRED</x:v>
      </x:c>
      <x:c r="F73" s="17" t="str">
        <x:v>CI_PASS</x:v>
      </x:c>
      <x:c r="G73" s="17" t="str">
        <x:v>CI_PASS</x:v>
      </x:c>
      <x:c r="H73" s="17" t="str">
        <x:v>API/OpenAPI/迁移/并发同键先红后绿；pnpm test:m1-contract；P072 MySQL迁移演练；pnpm verify</x:v>
      </x:c>
      <x:c r="I73" s="17" t="str">
        <x:v>同一自然人和超级管理员不能旁路；同版本并发决定一成一败；同幂等键并发创建合并；审计失败回滚；供应商按会话supplierId过滤</x:v>
      </x:c>
      <x:c r="J73" s="17" t="str">
        <x:v>API 14/14；P070/P072 Chromium 5/5；OpenAPI 17/17；M1契约37/37；P0 24/24；迁移product=11 cleanup=PASS</x:v>
      </x:c>
      <x:c r="K73" s="17" t="str">
        <x:v>LOCAL_WINDOWS_DOCKER_MYSQL_CHROMIUM_AND_GITHUB_ACTIONS</x:v>
      </x:c>
      <x:c r="L73" s="17" t="str">
        <x:v>Node 22.23.1；pnpm 10.12.1；MySQL 8.4.11；Chromium；GitHub Actions</x:v>
      </x:c>
      <x:c r="M73" s="17" t="n">
        <x:v>46242.269328703704</x:v>
      </x:c>
      <x:c r="N73" s="17" t="str">
        <x:v>efb50c01049686ce5acf8463342a53d4e572a7cd</x:v>
      </x:c>
      <x:c r="O73" s="17" t="str">
        <x:v>https://github.com/EasyStep-lee/flt1/actions/runs/31239438856</x:v>
      </x:c>
      <x:c r="P73" s="17" t="str">
        <x:v>artifacts/verification/M1-P072/sensitive-operations-audit.json</x:v>
      </x:c>
      <x:c r="Q73" s="17" t="str">
        <x:v>GITHUB_ACTIONS+CODEX</x:v>
      </x:c>
      <x:c r="R73" s="17" t="str">
        <x:v>EXACT_PR_HEAD_AND_POST_MERGE_MAIN_CI</x:v>
      </x:c>
      <x:c r="S73" s="17" t="str">
        <x:v>真实导出/预发布/生产未执行</x:v>
      </x:c>
      <x:c r="T73" s="17" t="str">
        <x:v>YES</x:v>
      </x:c>
      <x:c r="U73" s="17" t="str">
        <x:v>PR #32合并为4ff0258，main CI run 31240531655成功；M1-GATE候选main复验，不生成实际导出文件。</x:v>
      </x:c>
    </x:row>
    <x:row r="74" ht="23" customHeight="1">
      <x:c r="A74" s="17" t="str">
        <x:v>EVD-M1-GATE</x:v>
      </x:c>
      <x:c r="B74" s="17" t="str"/>
      <x:c r="C74" s="17" t="str">
        <x:v>M1</x:v>
      </x:c>
      <x:c r="D74" s="17" t="str">
        <x:v>M1-GATE</x:v>
      </x:c>
      <x:c r="E74" s="17" t="str">
        <x:v>AUTOMATED_AND_MANUAL_AS_REQUIRED</x:v>
      </x:c>
      <x:c r="F74" s="17" t="str">
        <x:v>LOCAL_PASS</x:v>
      </x:c>
      <x:c r="G74" s="17" t="str">
        <x:v>LOCAL_PASS</x:v>
      </x:c>
      <x:c r="H74" s="17" t="str">
        <x:v>产品基线校验；M1合同与P0 E2E；Prisma迁移演练；OpenAPI确定性/oasdiff；pnpm verify；GitHub PR/main证据审计</x:v>
      </x:c>
      <x:c r="I74" s="17" t="str">
        <x:v>所有15个M1前置任务和14项主P0有新鲜技术证据；真实人工门槛未满足时阶段必须阻塞且M2保持锁定。</x:v>
      </x:c>
      <x:c r="J74" s="17" t="str">
        <x:v>M1合同37/37、P0 Chromium 24/24、迁移product=11/cleanup PASS、根级verify 17/17；PR #32及合并后main CI成功；EXT-005为NOT_PROVIDED/BlocksStage=YES。</x:v>
      </x:c>
      <x:c r="K74" s="17" t="str">
        <x:v>LOCAL_WINDOWS_DOCKER_MYSQL_CHROMIUM+GITHUB_ACTIONS</x:v>
      </x:c>
      <x:c r="L74" s="17" t="str">
        <x:v>Node 22.23.1；pnpm 10.12.1；MySQL 8.4.11；Chromium；GitHub Actions</x:v>
      </x:c>
      <x:c r="M74" s="17" t="n">
        <x:v>46242.269328703704</x:v>
      </x:c>
      <x:c r="N74" s="17" t="str">
        <x:v>4ff02588379b1928448826d9f83b863c8c8b5bd8</x:v>
      </x:c>
      <x:c r="O74" s="17" t="str">
        <x:v>https://github.com/EasyStep-lee/flt1/actions/runs/31240531655</x:v>
      </x:c>
      <x:c r="P74" s="17" t="str">
        <x:v>artifacts/verification/M1-GATE/m1-gate-preflight.json</x:v>
      </x:c>
      <x:c r="Q74" s="17" t="str">
        <x:v>CODEX</x:v>
      </x:c>
      <x:c r="R74" s="17" t="str">
        <x:v>FRESH_GATE_PREFLIGHT</x:v>
      </x:c>
      <x:c r="S74" s="17" t="str">
        <x:v>EXT-005未提供且阻塞M1-GATE；门禁记录Draft PR精确head CI尚未执行</x:v>
      </x:c>
      <x:c r="T74" s="17" t="str">
        <x:v>YES</x:v>
      </x:c>
      <x:c r="U74" s="17" t="str">
        <x:v>技术证据通过不等于阶段PASS；不得进入M2。</x:v>
      </x:c>
    </x:row>
    <x:row r="75" ht="23" customHeight="1">
      <x:c r="A75" s="17" t="str">
        <x:v>EVD-073</x:v>
      </x:c>
      <x:c r="B75" s="17" t="str">
        <x:v>P0-073</x:v>
      </x:c>
      <x:c r="C75" s="17" t="str">
        <x:v>M3</x:v>
      </x:c>
      <x:c r="D75" s="17" t="str">
        <x:v>M3-P073</x:v>
      </x:c>
      <x:c r="E75" s="17" t="str">
        <x:v>AUTOMATED_AND_MANUAL_AS_REQUIRED</x:v>
      </x:c>
      <x:c r="F75" s="17" t="str">
        <x:v>CI_PASS</x:v>
      </x:c>
      <x:c r="G75" s="17" t="str">
        <x:v>NOT_EXECUTED</x:v>
      </x:c>
      <x:c r="H75" s="17" t="str">
        <x:v>在对应切片先登记失败测试ID，再记录focused tests与pnpm verify；真机/预发布按要求执行</x:v>
      </x:c>
      <x:c r="I75" s="17" t="str">
        <x:v>桌面和移动端均提供首页、关于、供应链能力、社区集采、福利卡、供应商合作、新闻和联系入口；登录前后企业入口、采购车和工作台状态正确，页脚主体和法律入口完整。</x:v>
      </x:c>
      <x:c r="J75" s="17" t="str"/>
      <x:c r="K75" s="17" t="str"/>
      <x:c r="L75" s="17" t="str"/>
      <x:c r="M75" s="17" t="str"/>
      <x:c r="N75" s="17" t="str"/>
      <x:c r="O75" s="17" t="str"/>
      <x:c r="P75" s="17" t="str"/>
      <x:c r="Q75" s="17" t="str"/>
      <x:c r="R75" s="17" t="str">
        <x:v>NO_EVIDENCE_YET</x:v>
      </x:c>
      <x:c r="S75" s="17" t="str"/>
      <x:c r="T75" s="17" t="str">
        <x:v>YES</x:v>
      </x:c>
      <x:c r="U75" s="17" t="str">
        <x:v>不得以旧输出、字符串搜索、页面资产或模型自述替代</x:v>
      </x:c>
    </x:row>
    <x:row r="76" ht="23" customHeight="1">
      <x:c r="A76" s="17" t="str">
        <x:v>EVD-074</x:v>
      </x:c>
      <x:c r="B76" s="17" t="str">
        <x:v>P0-074</x:v>
      </x:c>
      <x:c r="C76" s="17" t="str">
        <x:v>M3</x:v>
      </x:c>
      <x:c r="D76" s="17" t="str">
        <x:v>M3-P074</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首页按主视觉、核心服务、供应链能力、社区集采说明、分类预览、授权案例、供应商合作、新闻和底部 CTA 顺序展示；不使用虚构销量、倒计时或未授权案例。</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EVD-075</x:v>
      </x:c>
      <x:c r="B77" s="17" t="str">
        <x:v>P0-075</x:v>
      </x:c>
      <x:c r="C77" s="17" t="str">
        <x:v>M3</x:v>
      </x:c>
      <x:c r="D77" s="17" t="str">
        <x:v>M3-P075</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关于、能力、案例、新闻和联系页面内容完整，资质与案例按授权展示，规则公告保留版本和生效时间，页面具有明确下一步入口。</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EVD-076</x:v>
      </x:c>
      <x:c r="B78" s="17" t="str">
        <x:v>P0-076</x:v>
      </x:c>
      <x:c r="C78" s="17" t="str">
        <x:v>M3</x:v>
      </x:c>
      <x:c r="D78" s="17" t="str">
        <x:v>M3-P076</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供应商合作页明确条件、分类、资料、流程、注册与登录；福利卡服务页明确企业办理和员工使用流程，商务咨询表单最小化收集并幂等提交。</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EVD-077</x:v>
      </x:c>
      <x:c r="B79" s="17" t="str">
        <x:v>P0-077</x:v>
      </x:c>
      <x:c r="C79" s="17" t="str">
        <x:v>M3</x:v>
      </x:c>
      <x:c r="D79" s="17" t="str">
        <x:v>M3-P077</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企业注册、主体、联系人、开票、收货、预览提交和认证进度页面完整；补正定位字段，暂停说明影响，重复企业和上传异常均有安全且可操作的反馈。</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EVD-078</x:v>
      </x:c>
      <x:c r="B80" s="17" t="str">
        <x:v>P0-078</x:v>
      </x:c>
      <x:c r="C80" s="17" t="str">
        <x:v>M3</x:v>
      </x:c>
      <x:c r="D80" s="17" t="str">
        <x:v>M3-P078</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认证企业可使用分类、搜索、筛选、商品卡和模板化详情；只展示带集采标识的共用商品、集采销售价和必要库存状态，供应价与内部毛利在页面和接口中均不存在。</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EVD-079</x:v>
      </x:c>
      <x:c r="B81" s="17" t="str">
        <x:v>P0-079</x:v>
      </x:c>
      <x:c r="C81" s="17" t="str">
        <x:v>M3</x:v>
      </x:c>
      <x:c r="D81" s="17" t="str">
        <x:v>M3-P079</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采购车支持跨供应商分组但统一结账；结算页统一展示商品、地址、开票、配送、付款和总金额，价格/库存/配送变化逐项提示且不产生多次付款。</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EVD-080</x:v>
      </x:c>
      <x:c r="B82" s="17" t="str">
        <x:v>P0-080</x:v>
      </x:c>
      <x:c r="C82" s="17" t="str">
        <x:v>M3</x:v>
      </x:c>
      <x:c r="D82" s="17" t="str">
        <x:v>M3-P080</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工作台、订单列表、订单详情、统一配送时间线、售后、发票、常购清单、企业资料和消息页面完整；数据仅限本企业且不展示供应商内部结算。</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EVD-081</x:v>
      </x:c>
      <x:c r="B83" s="17" t="str">
        <x:v>P0-081</x:v>
      </x:c>
      <x:c r="C83" s="17" t="str">
        <x:v>M3</x:v>
      </x:c>
      <x:c r="D83" s="17" t="str">
        <x:v>M3-P081</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桌面、平板和手机可完成注册、浏览、采购车、下单、订单和售后；加载、空态、失败、未认证、无权限、对象失效和表单错误状态均有明确反馈。</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EVD-082</x:v>
      </x:c>
      <x:c r="B84" s="17" t="str">
        <x:v>P0-082</x:v>
      </x:c>
      <x:c r="C84" s="17" t="str">
        <x:v>M5</x:v>
      </x:c>
      <x:c r="D84" s="17" t="str">
        <x:v>M5-P082</x:v>
      </x:c>
      <x:c r="E84" s="17" t="str">
        <x:v>AUTOMATED_AND_MANUAL_AS_REQUIRED</x:v>
      </x:c>
      <x:c r="F84" s="17" t="str">
        <x:v>CI_PASS</x:v>
      </x:c>
      <x:c r="G84" s="17" t="str">
        <x:v>NOT_EXECUTED</x:v>
      </x:c>
      <x:c r="H84" s="17" t="str">
        <x:v>先登记失败测试；检查服务端HTML、metadata/canonical/structured data、sitemap/robots、按slug ISR失效及登录/预览/交易页noindex/private/no-store</x:v>
      </x:c>
      <x:c r="I84"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EVD-083</x:v>
      </x:c>
      <x:c r="B85" s="17" t="str">
        <x:v>P0-083</x:v>
      </x:c>
      <x:c r="C85" s="17" t="str">
        <x:v>M3</x:v>
      </x:c>
      <x:c r="D85" s="17" t="str">
        <x:v>M3-P083</x:v>
      </x:c>
      <x:c r="E85" s="17" t="str">
        <x:v>AUTOMATED_AND_MANUAL_AS_REQUIRED</x:v>
      </x:c>
      <x:c r="F85" s="17" t="str">
        <x:v>DEVICE_PASS</x:v>
      </x:c>
      <x:c r="G85" s="17" t="str">
        <x:v>NOT_EXECUTED</x:v>
      </x:c>
      <x:c r="H85" s="17" t="str">
        <x:v>在对应切片先登记失败测试ID，再记录focused tests与pnpm verify；真机/预发布按要求执行</x:v>
      </x:c>
      <x:c r="I85" s="17" t="str">
        <x:v>小程序是个人零售入口，游客可浏览、登录后交易；公司是唯一销售/收款/退款/开票/售后主体，页面不出现企业采购交易、供应商后台或跑腿工作台入口。</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EVD-084</x:v>
      </x:c>
      <x:c r="B86" s="17" t="str">
        <x:v>P0-084</x:v>
      </x:c>
      <x:c r="C86" s="17" t="str">
        <x:v>M3</x:v>
      </x:c>
      <x:c r="D86" s="17" t="str">
        <x:v>M3-P084</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首页、分类、购物车、我的四个 TabBar 入口及搜索、详情、确认订单、支付结果、订单、售后、福利卡、地址、发票、消息和客服页面路径完整，深链返回和登录回跳正确。</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EVD-085</x:v>
      </x:c>
      <x:c r="B87" s="17" t="str">
        <x:v>P0-085</x:v>
      </x:c>
      <x:c r="C87" s="17" t="str">
        <x:v>M3</x:v>
      </x:c>
      <x:c r="D87" s="17" t="str">
        <x:v>M3-P085</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启动不强制手机号、定位或订阅消息授权；受保护操作再登录并说明用途，拒绝授权仍可游客浏览；服务端以微信身份绑定 userId，前端不能指定他人身份。</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EVD-086</x:v>
      </x:c>
      <x:c r="B88" s="17" t="str">
        <x:v>P0-086</x:v>
      </x:c>
      <x:c r="C88" s="17" t="str">
        <x:v>M3</x:v>
      </x:c>
      <x:c r="D88" s="17" t="str">
        <x:v>M3-P086</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收货区域、搜索、运营位、快捷分类、福利专区、主题商品、推荐/继续购买和服务保障完整；运营内容有有效期与落地页白名单，切换区域后重新校验但不直接清空购物车。</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EVD-087</x:v>
      </x:c>
      <x:c r="B89" s="17" t="str">
        <x:v>P0-087</x:v>
      </x:c>
      <x:c r="C89" s="17" t="str">
        <x:v>M3</x:v>
      </x:c>
      <x:c r="D89" s="17" t="str">
        <x:v>M3-P087</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启用分类树、搜索建议、模板属性筛选、排序、稳定分页和状态恢复完整；只返回个人渠道可售商品和平台零售价，无结果、下架、售罄及区域不可售均可理解并可恢复。</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EVD-088</x:v>
      </x:c>
      <x:c r="B90" s="17" t="str">
        <x:v>P0-088</x:v>
      </x:c>
      <x:c r="C90" s="17" t="str">
        <x:v>M3</x:v>
      </x:c>
      <x:c r="D90" s="17" t="str">
        <x:v>M3-P088</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商品媒体、标题、平台零售价、SKU、福利卡适用、库存、配送、售后、分类模板模块、供应来源和底部操作完整；不同分类按模板版本展示且历史订单快照不被升级改写。</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EVD-089</x:v>
      </x:c>
      <x:c r="B91" s="17" t="str">
        <x:v>P0-089</x:v>
      </x:c>
      <x:c r="C91" s="17" t="str">
        <x:v>M3</x:v>
      </x:c>
      <x:c r="D91" s="17" t="str">
        <x:v>M3-P089</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按当前 supplierId 返回公司已审核上架且个人可售的 Product/Sku，继续使用公司货架、价格、购物车、协议和客服；不存在供应商店铺、装修、评分、联系方式、独立售后或独立付款。</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EVD-090</x:v>
      </x:c>
      <x:c r="B92" s="17" t="str">
        <x:v>P0-090</x:v>
      </x:c>
      <x:c r="C92" s="17" t="str">
        <x:v>M3</x:v>
      </x:c>
      <x:c r="D92" s="17" t="str">
        <x:v>M3-P090</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至少三个供应商商品可按供应来源分组选择、改数量、处理失效项并一次进入结算；前端不按供应商多次创建订单或多次付款，分组仅用于备货和配送说明。</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EVD-091</x:v>
      </x:c>
      <x:c r="B93" s="17" t="str">
        <x:v>P0-091</x:v>
      </x:c>
      <x:c r="C93" s="17" t="str">
        <x:v>M3</x:v>
      </x:c>
      <x:c r="D93" s="17" t="str">
        <x:v>M3-P091</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地址、商品分组、配送费、优惠、福利卡、微信支付应付、发票、备注、协议和金额明细完整；现金应付大于零时固定显示微信支付，不展示其他支付渠道；服务端统一试算并逐项提示价格、库存、区域、限购和配送变化。</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EVD-092</x:v>
      </x:c>
      <x:c r="B94" s="17" t="str">
        <x:v>P0-092</x:v>
      </x:c>
      <x:c r="C94" s="17" t="str">
        <x:v>M3</x:v>
      </x:c>
      <x:c r="D94" s="17" t="str">
        <x:v>M3-P092</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结算页只显示当前订单可用账户，P0 选择一个账户或不使用；系统自动按可用余额与可抵扣金额的较小值最大抵扣，不要求手填金额，适用与不可用商品说明一致。</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EVD-093</x:v>
      </x:c>
      <x:c r="B95" s="17" t="str">
        <x:v>P0-093</x:v>
      </x:c>
      <x:c r="C95" s="17" t="str">
        <x:v>M3</x:v>
      </x:c>
      <x:c r="D95" s="17" t="str">
        <x:v>M3-P093</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纯微信支付、福利卡全额和福利卡＋微信支付均只形成一次公司结账；结果页查询服务端微信支付真实状态，取消/失败/未知状态正确冻结或释放福利卡与库存，退出或断网后可恢复且不重复扣款。</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EVD-094</x:v>
      </x:c>
      <x:c r="B96" s="17" t="str">
        <x:v>P0-094</x:v>
      </x:c>
      <x:c r="C96" s="17" t="str">
        <x:v>M3</x:v>
      </x:c>
      <x:c r="D96" s="17" t="str">
        <x:v>M3-P094</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订单列表和详情同时表达一个公司主订单、一次支付、多个供应商履约子单、福利卡/微信支付结构、发票和售后；用户端不返回供应价、供应商应付、跑腿报酬或内部备注。</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EVD-095</x:v>
      </x:c>
      <x:c r="B97" s="17" t="str">
        <x:v>P0-095</x:v>
      </x:c>
      <x:c r="C97" s="17" t="str">
        <x:v>M4</x:v>
      </x:c>
      <x:c r="D97" s="17" t="str">
        <x:v>M4-P095</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同一主订单的每个个人供应商子单可展示独立跑腿配送卡与顺序节点，支持多个跑腿员、分批送达、异常和分项收货；单个子单送达不误标整单送达。</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EVD-096</x:v>
      </x:c>
      <x:c r="B98" s="17" t="str">
        <x:v>P0-096</x:v>
      </x:c>
      <x:c r="C98" s="17" t="str">
        <x:v>M3</x:v>
      </x:c>
      <x:c r="D98" s="17" t="str">
        <x:v>M3-P096</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支持按商品/子单申请、动态原因与凭证、补证、处理时间线、退货说明、客服申诉和部分退款；公司统一受理，福利卡与微信支付严格按原 OrderPaymentAllocation 退回。</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EVD-097</x:v>
      </x:c>
      <x:c r="B99" s="17" t="str">
        <x:v>P0-097</x:v>
      </x:c>
      <x:c r="C99" s="17" t="str">
        <x:v>M3</x:v>
      </x:c>
      <x:c r="D99" s="17" t="str">
        <x:v>M3-P097</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福利卡账户/绑定/流水、地址、发票资料、消息、客服、协议、隐私授权、账号安全和注销入口完整；卡码兑换幂等、敏感字段脱敏、订阅拒绝不影响交易。</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EVD-098</x:v>
      </x:c>
      <x:c r="B100" s="17" t="str">
        <x:v>P0-098</x:v>
      </x:c>
      <x:c r="C100" s="17" t="str">
        <x:v>M3</x:v>
      </x:c>
      <x:c r="D100" s="17" t="str">
        <x:v>M3-P098</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骨架、空态、失败、离线、登录失效、对象下架、支付未知、上传失败、分包、图片懒加载、弱网恢复、字号放大、对象级权限、分享安全和最小化埋点均通过验收；任何接口、日志、缓存或埋点均不泄露供应价及个人敏感数据。</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EVD-099</x:v>
      </x:c>
      <x:c r="B101" s="17" t="str">
        <x:v>P0-099</x:v>
      </x:c>
      <x:c r="C101" s="17" t="str">
        <x:v>M4</x:v>
      </x:c>
      <x:c r="D101" s="17" t="str">
        <x:v>M4-P099</x:v>
      </x:c>
      <x:c r="E101" s="17" t="str">
        <x:v>AUTOMATED_AND_MANUAL_AS_REQUIRED</x:v>
      </x:c>
      <x:c r="F101" s="17" t="str">
        <x:v>CI_PASS</x:v>
      </x:c>
      <x:c r="G101" s="17" t="str">
        <x:v>NOT_EXECUTED</x:v>
      </x:c>
      <x:c r="H101" s="17" t="str">
        <x:v>在对应切片先登记失败测试ID，再记录focused tests与pnpm verify；真机/预发布按要求执行</x:v>
      </x:c>
      <x:c r="I101" s="17" t="str">
        <x:v>个人零售子单只能生成 RETAIL_RUNNER DeliveryTask 并进入跑腿小程序；企业采购子单只能汇总进入 EnterpriseDeliveryOrder。两套接口、会话、通知、状态和数据权限互相拒绝。</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EVD-100</x:v>
      </x:c>
      <x:c r="B102" s="17" t="str">
        <x:v>P0-100</x:v>
      </x:c>
      <x:c r="C102" s="17" t="str">
        <x:v>M4</x:v>
      </x:c>
      <x:c r="D102" s="17" t="str">
        <x:v>M4-P100</x:v>
      </x:c>
      <x:c r="E102" s="17" t="str">
        <x:v>AUTOMATED_AND_MANUAL_AS_REQUIRED</x:v>
      </x:c>
      <x:c r="F102" s="17" t="str">
        <x:v>DEVICE_PASS</x:v>
      </x:c>
      <x:c r="G102" s="17" t="str">
        <x:v>NOT_EXECUTED</x:v>
      </x:c>
      <x:c r="H102" s="17" t="str">
        <x:v>在对应切片先登记失败测试ID，再记录focused tests与pnpm verify；真机/预发布按要求执行</x:v>
      </x:c>
      <x:c r="I102" s="17" t="str">
        <x:v>手机号验证、规则/隐私说明、申请资料、服务区域、草稿/待审/补正/通过/驳回及申诉页面完整；审核通过并启用前不能上线、查看大厅或抢单。</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EVD-101</x:v>
      </x:c>
      <x:c r="B103" s="17" t="str">
        <x:v>P0-101</x:v>
      </x:c>
      <x:c r="C103" s="17" t="str">
        <x:v>M4</x:v>
      </x:c>
      <x:c r="D103" s="17" t="str">
        <x:v>M4-P101</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跑腿应用独立于用户小程序，提供登录申请、配送首页、大厅、我的任务、任务详情、异常、记录和我的页面，以及大厅/任务/记录/我的四项 TabBar；不复用其他端会话。</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EVD-102</x:v>
      </x:c>
      <x:c r="B104" s="17" t="str">
        <x:v>P0-102</x:v>
      </x:c>
      <x:c r="C104" s="17" t="str">
        <x:v>M4</x:v>
      </x:c>
      <x:c r="D104" s="17" t="str">
        <x:v>M4-P102</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个人订单支付成功后按供应商子单幂等创建一个 DeliveryTask，供应商确认可取且子单有效后才进入 PENDING_HALL；重复回调不重复创建，取消/退款锁定任务不可抢。</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EVD-103</x:v>
      </x:c>
      <x:c r="B105" s="17" t="str">
        <x:v>P0-103</x:v>
      </x:c>
      <x:c r="C105" s="17" t="str">
        <x:v>M4</x:v>
      </x:c>
      <x:c r="D105" s="17" t="str">
        <x:v>M4-P103</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只有启用、资料有效、在线、服务区域匹配且未超在途上限的跑腿员可见可抢任务；下线仅停止新任务，不能隐藏或撤销已接任务。</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EVD-104</x:v>
      </x:c>
      <x:c r="B106" s="17" t="str">
        <x:v>P0-104</x:v>
      </x:c>
      <x:c r="C106" s="17" t="str">
        <x:v>M4</x:v>
      </x:c>
      <x:c r="D106" s="17" t="str">
        <x:v>M4-P104</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抢单前只显示取送区域、时间、件数、特殊要求和预计报酬，不显示精确门牌、完整电话、完整商品、价格/支付、供应价、企业订单或其他内部数据。</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EVD-105</x:v>
      </x:c>
      <x:c r="B107" s="17" t="str">
        <x:v>P0-105</x:v>
      </x:c>
      <x:c r="C107" s="17" t="str">
        <x:v>M4</x:v>
      </x:c>
      <x:c r="D107" s="17" t="str">
        <x:v>M4-P105</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抢单以幂等键和 DeliveryTask.version 乐观锁绑定唯一 runnerId；并发只有一人成功，弱网未知先查询本人任务，任务已抢/取消/区域不符/超限使用不同错误码。</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EVD-106</x:v>
      </x:c>
      <x:c r="B108" s="17" t="str">
        <x:v>P0-106</x:v>
      </x:c>
      <x:c r="C108" s="17" t="str">
        <x:v>M4</x:v>
      </x:c>
      <x:c r="D108" s="17" t="str">
        <x:v>M4-P106</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承接成功后同时返回本任务的供应商取货点快照和用户收货目的地快照，以及商品摘要、两个地点的受控联系、当前节点和操作；他人任务、其他供应商子单、企业数据、价格和结算字段均不可访问。</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EVD-107</x:v>
      </x:c>
      <x:c r="B109" s="17" t="str">
        <x:v>P0-107</x:v>
      </x:c>
      <x:c r="C109" s="17" t="str">
        <x:v>M4</x:v>
      </x:c>
      <x:c r="D109" s="17" t="str">
        <x:v>M4-P107</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已抢单、到取货地、取货、配送、到目的地、送达、完成必须按顺序推进；服务端校验 runnerId 和前置状态，每个节点幂等留痕，不能越级、倒退或替他人点击。</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EVD-108</x:v>
      </x:c>
      <x:c r="B110" s="17" t="str">
        <x:v>P0-108</x:v>
      </x:c>
      <x:c r="C110" s="17" t="str">
        <x:v>M4</x:v>
      </x:c>
      <x:c r="D110" s="17" t="str">
        <x:v>M4-P108</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EVD-109</x:v>
      </x:c>
      <x:c r="B111" s="17" t="str">
        <x:v>P0-109</x:v>
      </x:c>
      <x:c r="C111" s="17" t="str">
        <x:v>M4</x:v>
      </x:c>
      <x:c r="D111" s="17" t="str">
        <x:v>M4-P109</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未备好、缺货、联系不上、地址错误、无人收货、破损、拒收、网络故障和无法继续均可上报并留证；跑腿员不能取消订单、删除任务、修改退款或私下转派，公司处理结果完整留痕。</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EVD-110</x:v>
      </x:c>
      <x:c r="B112" s="17" t="str">
        <x:v>P0-110</x:v>
      </x:c>
      <x:c r="C112" s="17" t="str">
        <x:v>M4</x:v>
      </x:c>
      <x:c r="D112" s="17" t="str">
        <x:v>M4-P110</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公司批准转派时追加承接日志，原跑腿员立即失去后续节点权限，新跑腿员从批准状态继续；冻结/停用账号立即下线且已接任务进入明确处理队列。</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EVD-111</x:v>
      </x:c>
      <x:c r="B113" s="17" t="str">
        <x:v>P0-111</x:v>
      </x:c>
      <x:c r="C113" s="17" t="str">
        <x:v>M4</x:v>
      </x:c>
      <x:c r="D113" s="17" t="str">
        <x:v>M4-P111</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履约阶段使用隐私号/受控联系；取货和送达凭证按规则收集，普通个人订单不强制扫码；同一主订单多个任务分别送达和确认，单任务完成不误标整单完成。</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EVD-112</x:v>
      </x:c>
      <x:c r="B114" s="17" t="str">
        <x:v>P0-112</x:v>
      </x:c>
      <x:c r="C114" s="17" t="str">
        <x:v>M4</x:v>
      </x:c>
      <x:c r="D114" s="17" t="str">
        <x:v>M4-P112</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抢单、取消、节点提醒和异常结果支持站内/订阅通知，拒绝订阅不影响任务；通知、日志、缓存和埋点不包含完整地址/电话、价格、支付结构、供应价或内部责任结论。</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EVD-113</x:v>
      </x:c>
      <x:c r="B115" s="17" t="str">
        <x:v>P0-113</x:v>
      </x:c>
      <x:c r="C115" s="17" t="str">
        <x:v>M4</x:v>
      </x:c>
      <x:c r="D115" s="17" t="str">
        <x:v>M4-P113</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跑腿员可查看本人历史任务、节点、异常、申诉、报酬快照、调整和线下支付状态；不做跑腿钱包、充值、提现、自动分账或地图里程计费，已确认明细只能追加调整/冲正。</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EVD-114</x:v>
      </x:c>
      <x:c r="B116" s="17" t="str">
        <x:v>P0-114</x:v>
      </x:c>
      <x:c r="C116" s="17" t="str">
        <x:v>M4</x:v>
      </x:c>
      <x:c r="D116" s="17" t="str">
        <x:v>M4-P114</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空大厅、审核中、冻结、弱网、离线、任务被抢、节点重复、任务取消、上传失败和导航失败均可恢复；runnerId 服务端绑定，对象级越权、篡改状态及企业配送访问全部失败。</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EVD-115</x:v>
      </x:c>
      <x:c r="B117" s="17" t="str">
        <x:v>P0-115</x:v>
      </x:c>
      <x:c r="C117" s="17" t="str">
        <x:v>M4</x:v>
      </x:c>
      <x:c r="D117" s="17" t="str">
        <x:v>M4-P115</x:v>
      </x:c>
      <x:c r="E117" s="17" t="str">
        <x:v>AUTOMATED_AND_MANUAL_AS_REQUIRED</x:v>
      </x:c>
      <x:c r="F117" s="17" t="str">
        <x:v>CI_PASS</x:v>
      </x:c>
      <x:c r="G117" s="17" t="str">
        <x:v>NOT_EXECUTED</x:v>
      </x:c>
      <x:c r="H117" s="17" t="str">
        <x:v>在对应切片先登记失败测试ID，再记录focused tests与pnpm verify；真机/预发布按要求执行</x:v>
      </x:c>
      <x:c r="I117" s="17" t="str">
        <x:v>等待供应商、可收取、收货中、已汇总、已派车、运输中、已到达、已签收和已完成按顺序留痕；企业确认的部分齐套配送可形成可追溯批次。</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EVD-116</x:v>
      </x:c>
      <x:c r="B118" s="17" t="str">
        <x:v>P0-116</x:v>
      </x:c>
      <x:c r="C118" s="17" t="str">
        <x:v>M4</x:v>
      </x:c>
      <x:c r="D118" s="17" t="str">
        <x:v>M4-P116</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物流职能账号固定页面具备首页、备货汇总、汇总收货、配送列表/详情、移动执行、资源和异常子页面；其他公司职能、供应商和跑腿账号无权访问，页面不加载供应价及财务数据。</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EVD-117</x:v>
      </x:c>
      <x:c r="B119" s="17" t="str">
        <x:v>P0-117</x:v>
      </x:c>
      <x:c r="C119" s="17" t="str">
        <x:v>M4</x:v>
      </x:c>
      <x:c r="D119" s="17" t="str">
        <x:v>M4-P117</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应收/实收、批次、效期、温区、包装、照片、交接与少货/错货/破损差异可逐项登记；每个配送项可追溯原订单项和供应商子单，重复收货幂等且不覆盖原订单。</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EVD-118</x:v>
      </x:c>
      <x:c r="B120" s="18" t="str">
        <x:v>P0-118</x:v>
      </x:c>
      <x:c r="C120" s="18" t="str">
        <x:v>M4</x:v>
      </x:c>
      <x:c r="D120" s="18" t="str">
        <x:v>M4-P118</x:v>
      </x:c>
      <x:c r="E120" s="18" t="str">
        <x:v>AUTOMATED_AND_MANUAL_AS_REQUIRED</x:v>
      </x:c>
      <x:c r="F120" s="18" t="str">
        <x:v>STAGING_PASS</x:v>
      </x:c>
      <x:c r="G120" s="18" t="str">
        <x:v>NOT_EXECUTED</x:v>
      </x:c>
      <x:c r="H120" s="18" t="str">
        <x:v>在对应切片先登记失败测试ID，再记录focused tests与pnpm verify；真机/预发布按要求执行</x:v>
      </x:c>
      <x:c r="I120" s="18" t="str">
        <x:v>公司可为已汇总批次安排公司车辆/司机或指定承运商并保存快照；移动页完成发车、运输、到达、联系、签收、回单和异常，第三方承运商P0无独立后台账号。</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EVD-119</x:v>
      </x:c>
      <x:c r="B121" t="str">
        <x:v>P0-119</x:v>
      </x:c>
      <x:c r="C121" t="str">
        <x:v>M4</x:v>
      </x:c>
      <x:c r="D121" t="str">
        <x:v>M4-P119</x:v>
      </x:c>
      <x:c r="E121" t="str">
        <x:v>AUTOMATED_AND_MANUAL_AS_REQUIRED</x:v>
      </x:c>
      <x:c r="F121" t="str">
        <x:v>STAGING_PASS</x:v>
      </x:c>
      <x:c r="G121" t="str">
        <x:v>NOT_EXECUTED</x:v>
      </x:c>
      <x:c r="H121" t="str">
        <x:v>在对应切片先登记失败测试ID，再记录focused tests与pnpm verify；真机/预发布按要求执行</x:v>
      </x:c>
      <x:c r="I121" t="str">
        <x:v>企业门户只显示统一配送时间线、批次和签收结果；签收数量、签名/回单/照片、拒收和差异完整留痕。任务、节点、派车、异常和配送指标可审计且不泄露个人隐私或内部结算数据。</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9c2d4fe41914af8"/>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阶段</x:v>
      </x:c>
      <x:c r="C1" s="15" t="str">
        <x:v>计划名称</x:v>
      </x:c>
      <x:c r="D1" s="15" t="str">
        <x:v>依赖</x:v>
      </x:c>
      <x:c r="E1" s="15" t="str">
        <x:v>对象</x:v>
      </x:c>
      <x:c r="F1" s="15" t="str">
        <x:v>目的</x:v>
      </x:c>
      <x:c r="G1" s="15" t="str">
        <x:v>正向步骤</x:v>
      </x:c>
      <x:c r="H1" s="15" t="str">
        <x:v>回退/恢复</x:v>
      </x:c>
      <x:c r="I1" s="15" t="str">
        <x:v>数据回填</x:v>
      </x:c>
      <x:c r="J1" s="15" t="str">
        <x:v>验证</x:v>
      </x:c>
      <x:c r="K1" s="15" t="str">
        <x:v>需备份</x:v>
      </x:c>
      <x:c r="L1" s="15" t="str">
        <x:v>状态</x:v>
      </x:c>
      <x:c r="M1" s="15" t="str">
        <x:v>本地执行</x:v>
      </x:c>
      <x:c r="N1" s="15" t="str">
        <x:v>预发布执行</x:v>
      </x:c>
      <x:c r="O1" s="15" t="str">
        <x:v>生产执行</x:v>
      </x:c>
      <x:c r="P1" s="15" t="str">
        <x:v>提交SHA</x:v>
      </x:c>
      <x:c r="Q1" s="15" t="str">
        <x:v>证据链接</x:v>
      </x:c>
      <x:c r="R1" s="16" t="str">
        <x:v>备注</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0201_category_templates</x:v>
      </x:c>
      <x:c r="D6" s="17" t="str">
        <x:v>MIG-004</x:v>
      </x:c>
      <x:c r="E6" s="17" t="str">
        <x:v>Category/CategoryTemplate</x:v>
      </x:c>
      <x:c r="F6" s="17" t="str">
        <x:v>分类模板</x:v>
      </x:c>
      <x:c r="G6" s="17" t="str">
        <x:v>由阶段切片生成Prisma migration；事务/分批策略按数据量确定</x:v>
      </x:c>
      <x:c r="H6" s="17" t="str">
        <x:v>已发布迁移不回改；失败前恢复备份或创建向前修复迁移；应用版本可回退时保持schema兼容窗口</x:v>
      </x:c>
      <x:c r="I6" s="17" t="str">
        <x:v>阶段实现时明确批次、断点、校验和</x:v>
      </x:c>
      <x:c r="J6" s="17" t="str">
        <x:v>末级模板版本引用保护；prisma validate；空库/升级路径dry-run；关键不变量SQL</x:v>
      </x:c>
      <x:c r="K6" s="17" t="str">
        <x:v>BEFORE_STAGING_OR_PRODUCTION</x:v>
      </x:c>
      <x:c r="L6" s="17" t="str">
        <x:v>PLANNED</x:v>
      </x:c>
      <x:c r="M6" s="17" t="str"/>
      <x:c r="N6" s="17" t="str"/>
      <x:c r="O6" s="17" t="str"/>
      <x:c r="P6" s="17" t="str"/>
      <x:c r="Q6" s="17" t="str"/>
      <x:c r="R6" s="17" t="str"/>
    </x:row>
    <x:row r="7" ht="23" customHeight="1">
      <x:c r="A7" s="17" t="str">
        <x:v>MIG-006</x:v>
      </x:c>
      <x:c r="B7" s="17" t="str">
        <x:v>M2</x:v>
      </x:c>
      <x:c r="C7" s="17" t="str">
        <x:v>0202_supplier_product_drafts</x:v>
      </x:c>
      <x:c r="D7" s="17" t="str">
        <x:v>MIG-005</x:v>
      </x:c>
      <x:c r="E7" s="17" t="str">
        <x:v>SupplierProduct/SupplierProductSku</x:v>
      </x:c>
      <x:c r="F7" s="17" t="str">
        <x:v>供应商商品草稿</x:v>
      </x:c>
      <x:c r="G7" s="17" t="str">
        <x:v>由阶段切片生成Prisma migration；事务/分批策略按数据量确定</x:v>
      </x:c>
      <x:c r="H7" s="17" t="str">
        <x:v>已发布迁移不回改；失败前恢复备份或创建向前修复迁移；应用版本可回退时保持schema兼容窗口</x:v>
      </x:c>
      <x:c r="I7" s="17" t="str">
        <x:v>阶段实现时明确批次、断点、校验和</x:v>
      </x:c>
      <x:c r="J7" s="17" t="str">
        <x:v>商品页面价格字段物理/DTO隔离；prisma validate；空库/升级路径dry-run；关键不变量SQL</x:v>
      </x:c>
      <x:c r="K7" s="17" t="str">
        <x:v>BEFORE_STAGING_OR_PRODUCTION</x:v>
      </x:c>
      <x:c r="L7" s="17" t="str">
        <x:v>PLANNED</x:v>
      </x:c>
      <x:c r="M7" s="17" t="str"/>
      <x:c r="N7" s="17" t="str"/>
      <x:c r="O7" s="17" t="str"/>
      <x:c r="P7" s="17" t="str"/>
      <x:c r="Q7" s="17" t="str"/>
      <x:c r="R7" s="17" t="str"/>
    </x:row>
    <x:row r="8" ht="23" customHeight="1">
      <x:c r="A8" s="17" t="str">
        <x:v>MIG-007</x:v>
      </x:c>
      <x:c r="B8" s="17" t="str">
        <x:v>M2</x:v>
      </x:c>
      <x:c r="C8" s="17" t="str">
        <x:v>0203_sellable_product_sku</x:v>
      </x:c>
      <x:c r="D8" s="17" t="str">
        <x:v>MIG-006</x:v>
      </x:c>
      <x:c r="E8" s="17" t="str">
        <x:v>Product/Sku</x:v>
      </x:c>
      <x:c r="F8" s="17" t="str">
        <x:v>公司可售商品</x:v>
      </x:c>
      <x:c r="G8" s="17" t="str">
        <x:v>由阶段切片生成Prisma migration；事务/分批策略按数据量确定</x:v>
      </x:c>
      <x:c r="H8" s="17" t="str">
        <x:v>已发布迁移不回改；失败前恢复备份或创建向前修复迁移；应用版本可回退时保持schema兼容窗口</x:v>
      </x:c>
      <x:c r="I8" s="17" t="str">
        <x:v>阶段实现时明确批次、断点、校验和</x:v>
      </x:c>
      <x:c r="J8" s="17" t="str">
        <x:v>两层模型、上架状态和版本；prisma validate；空库/升级路径dry-run；关键不变量SQL</x:v>
      </x:c>
      <x:c r="K8" s="17" t="str">
        <x:v>BEFORE_STAGING_OR_PRODUCTION</x:v>
      </x:c>
      <x:c r="L8" s="17" t="str">
        <x:v>PLANNED</x:v>
      </x:c>
      <x:c r="M8" s="17" t="str"/>
      <x:c r="N8" s="17" t="str"/>
      <x:c r="O8" s="17" t="str"/>
      <x:c r="P8" s="17" t="str"/>
      <x:c r="Q8" s="17" t="str"/>
      <x:c r="R8" s="17" t="str"/>
    </x:row>
    <x:row r="9" ht="23" customHeight="1">
      <x:c r="A9" s="17" t="str">
        <x:v>MIG-008</x:v>
      </x:c>
      <x:c r="B9" s="17" t="str">
        <x:v>M2</x:v>
      </x:c>
      <x:c r="C9" s="17" t="str">
        <x:v>0204_price_history_approval</x:v>
      </x:c>
      <x:c r="D9" s="17" t="str">
        <x:v>MIG-007</x:v>
      </x:c>
      <x:c r="E9" s="17" t="str">
        <x:v>SupplyPriceChangeRequest/PriceChangeLog</x:v>
      </x:c>
      <x:c r="F9" s="17"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17" t="str">
        <x:v>BEFORE_STAGING_OR_PRODUCTION</x:v>
      </x:c>
      <x:c r="L9" s="17" t="str">
        <x:v>PLANNED</x:v>
      </x:c>
      <x:c r="M9" s="17" t="str"/>
      <x:c r="N9" s="17" t="str"/>
      <x:c r="O9" s="17" t="str"/>
      <x:c r="P9" s="17" t="str"/>
      <x:c r="Q9" s="17" t="str"/>
      <x:c r="R9" s="17" t="str"/>
    </x:row>
    <x:row r="10" ht="23" customHeight="1">
      <x:c r="A10" s="17" t="str">
        <x:v>MIG-009</x:v>
      </x:c>
      <x:c r="B10" s="17" t="str">
        <x:v>M2</x:v>
      </x:c>
      <x:c r="C10" s="17" t="str">
        <x:v>0205_inventory_truth</x:v>
      </x:c>
      <x:c r="D10" s="17" t="str">
        <x:v>MIG-008</x:v>
      </x:c>
      <x:c r="E10" s="17" t="str">
        <x:v>InventoryBalance/InventoryChangeLog</x:v>
      </x:c>
      <x:c r="F10" s="17"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17" t="str">
        <x:v>BEFORE_STAGING_OR_PRODUCTION</x:v>
      </x:c>
      <x:c r="L10" s="17" t="str">
        <x:v>PLANNED</x:v>
      </x:c>
      <x:c r="M10" s="17" t="str"/>
      <x:c r="N10" s="17" t="str"/>
      <x:c r="O10" s="17" t="str"/>
      <x:c r="P10" s="17" t="str"/>
      <x:c r="Q10" s="17" t="str"/>
      <x:c r="R10" s="17" t="str"/>
    </x:row>
    <x:row r="11" ht="23" customHeight="1">
      <x:c r="A11" s="17" t="str">
        <x:v>MIG-010</x:v>
      </x:c>
      <x:c r="B11" s="17" t="str">
        <x:v>M3</x:v>
      </x:c>
      <x:c r="C11" s="17" t="str">
        <x:v>0301_consumer_identity_profile</x:v>
      </x:c>
      <x:c r="D11" s="17" t="str">
        <x:v>MIG-009</x:v>
      </x:c>
      <x:c r="E11" s="17" t="str">
        <x:v>ConsumerUser/WechatIdentity/Session/Address/Invoice/Message</x:v>
      </x:c>
      <x:c r="F11" s="17"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17" t="str">
        <x:v>YES</x:v>
      </x:c>
      <x:c r="L11" s="17" t="str">
        <x:v>PLANNED</x:v>
      </x:c>
      <x:c r="M11" s="17" t="str"/>
      <x:c r="N11" s="17" t="str"/>
      <x:c r="O11" s="17" t="str"/>
      <x:c r="P11" s="17" t="str"/>
      <x:c r="Q11" s="17" t="str"/>
      <x:c r="R11" s="17" t="str"/>
    </x:row>
    <x:row r="12" ht="23" customHeight="1">
      <x:c r="A12" s="17" t="str">
        <x:v>MIG-011</x:v>
      </x:c>
      <x:c r="B12" s="17" t="str">
        <x:v>M3</x:v>
      </x:c>
      <x:c r="C12" s="17" t="str">
        <x:v>0302_enterprise_identity_profile</x:v>
      </x:c>
      <x:c r="D12" s="17" t="str">
        <x:v>MIG-010</x:v>
      </x:c>
      <x:c r="E12" s="17" t="str">
        <x:v>EnterpriseCustomer/User/Address/Invoice/ProcurementProfile</x:v>
      </x:c>
      <x:c r="F12" s="17"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MIG-012</x:v>
      </x:c>
      <x:c r="B13" s="17" t="str">
        <x:v>M3</x:v>
      </x:c>
      <x:c r="C13" s="17" t="str">
        <x:v>0303_cart_order_suborders</x:v>
      </x:c>
      <x:c r="D13" s="17" t="str">
        <x:v>MIG-011</x:v>
      </x:c>
      <x:c r="E13" s="17" t="str">
        <x:v>ShoppingCart/Item/Order/OrderItem/SupplierFulfillmentSubOrder</x:v>
      </x:c>
      <x:c r="F13" s="17"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MIG-013</x:v>
      </x:c>
      <x:c r="B14" s="17" t="str">
        <x:v>M3</x:v>
      </x:c>
      <x:c r="C14" s="17" t="str">
        <x:v>0304_payment_refund_allocation</x:v>
      </x:c>
      <x:c r="D14" s="17" t="str">
        <x:v>MIG-012</x:v>
      </x:c>
      <x:c r="E14" s="17" t="str">
        <x:v>OrderPaymentAllocation/PaymentTransaction/RefundTransaction</x:v>
      </x:c>
      <x:c r="F14" s="17"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17" t="str">
        <x:v>YES</x:v>
      </x:c>
      <x:c r="L14" s="17" t="str">
        <x:v>PLANNED</x:v>
      </x:c>
      <x:c r="M14" s="17" t="str"/>
      <x:c r="N14" s="17" t="str"/>
      <x:c r="O14" s="17" t="str"/>
      <x:c r="P14" s="17" t="str"/>
      <x:c r="Q14" s="17" t="str"/>
      <x:c r="R14" s="17" t="str"/>
    </x:row>
    <x:row r="15" ht="23" customHeight="1">
      <x:c r="A15" s="17" t="str">
        <x:v>MIG-014</x:v>
      </x:c>
      <x:c r="B15" s="17" t="str">
        <x:v>M3</x:v>
      </x:c>
      <x:c r="C15" s="17" t="str">
        <x:v>0305_welfare_card_ledger</x:v>
      </x:c>
      <x:c r="D15" s="17" t="str">
        <x:v>MIG-013</x:v>
      </x:c>
      <x:c r="E15" s="17" t="str">
        <x:v>WelfareCardProgram/Batch/Code/Account/Ledger</x:v>
      </x:c>
      <x:c r="F15" s="17"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17" t="str">
        <x:v>YES</x:v>
      </x:c>
      <x:c r="L15" s="17" t="str">
        <x:v>PLANNED</x:v>
      </x:c>
      <x:c r="M15" s="17" t="str"/>
      <x:c r="N15" s="17" t="str"/>
      <x:c r="O15" s="17" t="str"/>
      <x:c r="P15" s="17" t="str"/>
      <x:c r="Q15" s="17" t="str"/>
      <x:c r="R15" s="17" t="str"/>
    </x:row>
    <x:row r="16" ht="23" customHeight="1">
      <x:c r="A16" s="17" t="str">
        <x:v>MIG-015</x:v>
      </x:c>
      <x:c r="B16" s="17" t="str">
        <x:v>M3</x:v>
      </x:c>
      <x:c r="C16" s="17" t="str">
        <x:v>0306_enterprise_procurement</x:v>
      </x:c>
      <x:c r="D16" s="17" t="str">
        <x:v>MIG-014</x:v>
      </x:c>
      <x:c r="E16" s="17" t="str">
        <x:v>EnterpriseProcurementOrder/EnterpriseWelfarePurchase</x:v>
      </x:c>
      <x:c r="F16" s="17"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17" t="str">
        <x:v>YES</x:v>
      </x:c>
      <x:c r="L16" s="17" t="str">
        <x:v>PLANNED</x:v>
      </x:c>
      <x:c r="M16" s="17" t="str"/>
      <x:c r="N16" s="17" t="str"/>
      <x:c r="O16" s="17" t="str"/>
      <x:c r="P16" s="17" t="str"/>
      <x:c r="Q16" s="17" t="str"/>
      <x:c r="R16" s="17" t="str"/>
    </x:row>
    <x:row r="17" ht="23" customHeight="1">
      <x:c r="A17" s="17" t="str">
        <x:v>MIG-016</x:v>
      </x:c>
      <x:c r="B17" s="17" t="str">
        <x:v>M4</x:v>
      </x:c>
      <x:c r="C17" s="17" t="str">
        <x:v>0401_runner_delivery</x:v>
      </x:c>
      <x:c r="D17" s="17" t="str">
        <x:v>MIG-015</x:v>
      </x:c>
      <x:c r="E17" s="17" t="str">
        <x:v>RunnerApplication/Runner/RunnerSession/DeliveryTask/AssignmentLog/NodeLog</x:v>
      </x:c>
      <x:c r="F17" s="17"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MIG-017</x:v>
      </x:c>
      <x:c r="B18" s="17" t="str">
        <x:v>M4</x:v>
      </x:c>
      <x:c r="C18" s="17" t="str">
        <x:v>0402_delivery_exception_proof</x:v>
      </x:c>
      <x:c r="D18" s="17" t="str">
        <x:v>MIG-016</x:v>
      </x:c>
      <x:c r="E18" s="17" t="str">
        <x:v>DeliveryException/DeliveryProof/RunnerCompensationRecord</x:v>
      </x:c>
      <x:c r="F18" s="17"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MIG-018</x:v>
      </x:c>
      <x:c r="B19" s="17" t="str">
        <x:v>M4</x:v>
      </x:c>
      <x:c r="C19" s="17" t="str">
        <x:v>0403_enterprise_delivery</x:v>
      </x:c>
      <x:c r="D19" s="17" t="str">
        <x:v>MIG-017</x:v>
      </x:c>
      <x:c r="E19" s="17" t="str">
        <x:v>EnterpriseDeliveryOrder/Item/NodeLog/CompanyDeliveryResource</x:v>
      </x:c>
      <x:c r="F19" s="17"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MIG-019</x:v>
      </x:c>
      <x:c r="B20" s="17" t="str">
        <x:v>M5</x:v>
      </x:c>
      <x:c r="C20" s="17" t="str">
        <x:v>0501_aftersales_responsibility</x:v>
      </x:c>
      <x:c r="D20" s="17" t="str">
        <x:v>MIG-018</x:v>
      </x:c>
      <x:c r="E20" s="17" t="str">
        <x:v>AfterSale领域表/证据/责任快照（阶段冻结命名）</x:v>
      </x:c>
      <x:c r="F20" s="17"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MIG-020</x:v>
      </x:c>
      <x:c r="B21" s="17" t="str">
        <x:v>M5</x:v>
      </x:c>
      <x:c r="C21" s="17" t="str">
        <x:v>0502_supplier_statements</x:v>
      </x:c>
      <x:c r="D21" s="17" t="str">
        <x:v>MIG-019</x:v>
      </x:c>
      <x:c r="E21" s="17" t="str">
        <x:v>SupplierStatement/StatementItem/OfflineSettlementRecord</x:v>
      </x:c>
      <x:c r="F21" s="17"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MIG-021</x:v>
      </x:c>
      <x:c r="B22" s="17" t="str">
        <x:v>M5</x:v>
      </x:c>
      <x:c r="C22" s="17" t="str">
        <x:v>0503_portal_content</x:v>
      </x:c>
      <x:c r="D22" s="17" t="str">
        <x:v>MIG-020</x:v>
      </x:c>
      <x:c r="E22" s="17" t="str">
        <x:v>PortalContent/Revision/Navigation/Media/BusinessInquiry</x:v>
      </x:c>
      <x:c r="F22" s="17"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17" t="str">
        <x:v>YES</x:v>
      </x:c>
      <x:c r="L22" s="17" t="str">
        <x:v>PLANNED</x:v>
      </x:c>
      <x:c r="M22" s="17" t="str"/>
      <x:c r="N22" s="17" t="str"/>
      <x:c r="O22" s="17" t="str"/>
      <x:c r="P22" s="17" t="str"/>
      <x:c r="Q22" s="17" t="str"/>
      <x:c r="R22" s="17" t="str"/>
    </x:row>
    <x:row r="23" ht="23" customHeight="1">
      <x:c r="A23" s="18" t="str">
        <x:v>MIG-022</x:v>
      </x:c>
      <x:c r="B23" s="18" t="str">
        <x:v>M5</x:v>
      </x:c>
      <x:c r="C23" s="18" t="str">
        <x:v>0504_export_governance</x:v>
      </x:c>
      <x:c r="D23" s="18" t="str">
        <x:v>MIG-021</x:v>
      </x:c>
      <x:c r="E23" s="18" t="str">
        <x:v>ExportJob及审计索引/保留策略</x:v>
      </x:c>
      <x:c r="F23" s="18"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18" t="str">
        <x:v>YES</x:v>
      </x:c>
      <x:c r="L23" s="18" t="str">
        <x:v>PLANNED</x:v>
      </x:c>
      <x:c r="M23" s="18" t="str"/>
      <x:c r="N23" s="18" t="str"/>
      <x:c r="O23" s="18" t="str"/>
      <x:c r="P23" s="18" t="str"/>
      <x:c r="Q23" s="18" t="str"/>
      <x:c r="R23" s="18" t="str"/>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9474ff2bc5b49aa"/>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阶段</x:v>
      </x:c>
      <x:c r="C1" s="15" t="str">
        <x:v>领域</x:v>
      </x:c>
      <x:c r="D1" s="15" t="str">
        <x:v>方法</x:v>
      </x:c>
      <x:c r="E1" s="15" t="str">
        <x:v>路径</x:v>
      </x:c>
      <x:c r="F1" s="15" t="str">
        <x:v>角色</x:v>
      </x:c>
      <x:c r="G1" s="15" t="str">
        <x:v>请求DTO</x:v>
      </x:c>
      <x:c r="H1" s="15" t="str">
        <x:v>响应DTO</x:v>
      </x:c>
      <x:c r="I1" s="15" t="str">
        <x:v>统一响应</x:v>
      </x:c>
      <x:c r="J1" s="15" t="str">
        <x:v>错误码</x:v>
      </x:c>
      <x:c r="K1" s="15" t="str">
        <x:v>幂等</x:v>
      </x:c>
      <x:c r="L1" s="15" t="str">
        <x:v>敏感字段策略</x:v>
      </x:c>
      <x:c r="M1" s="15" t="str">
        <x:v>金额规则</x:v>
      </x:c>
      <x:c r="N1" s="15" t="str">
        <x:v>P0</x:v>
      </x:c>
      <x:c r="O1" s="15" t="str">
        <x:v>OpenAPI状态</x:v>
      </x:c>
      <x:c r="P1" s="15" t="str">
        <x:v>DTO状态</x:v>
      </x:c>
      <x:c r="Q1" s="15" t="str">
        <x:v>错误码状态</x:v>
      </x:c>
      <x:c r="R1" s="15" t="str">
        <x:v>契约测试</x:v>
      </x:c>
      <x:c r="S1" s="15" t="str">
        <x:v>负责人</x:v>
      </x:c>
      <x:c r="T1" s="16" t="str">
        <x:v>备注</x:v>
      </x:c>
    </x:row>
    <x:row r="2" ht="23" customHeight="1">
      <x:c r="A2" s="17" t="str">
        <x:v>API-001</x:v>
      </x:c>
      <x:c r="B2" s="17" t="str">
        <x:v>M0</x:v>
      </x:c>
      <x:c r="C2" s="17" t="str">
        <x:v>system</x:v>
      </x:c>
      <x:c r="D2" s="17"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17" t="str">
        <x:v>NONE</x:v>
      </x:c>
      <x:c r="L2" s="17" t="str">
        <x:v>NEVER_RETURN; DTO白名单；对象归属校验先于查询结果返回</x:v>
      </x:c>
      <x:c r="M2" s="17" t="str">
        <x:v>N/A</x:v>
      </x:c>
      <x:c r="N2" s="17" t="str">
        <x:v>P0-048</x:v>
      </x:c>
      <x:c r="O2" s="17" t="str">
        <x:v>GENERATED</x:v>
      </x:c>
      <x:c r="P2" s="17" t="str">
        <x:v>IMPLEMENTED</x:v>
      </x:c>
      <x:c r="Q2" s="17" t="str">
        <x:v>IMPLEMENTED</x:v>
      </x:c>
      <x:c r="R2" s="17" t="str">
        <x:v>M0-008-CONTRACT</x:v>
      </x:c>
      <x:c r="S2" s="17" t="str">
        <x:v>CODEX</x:v>
      </x:c>
      <x:c r="T2" s="17" t="str">
        <x:v>已由M0-008确定性生成；测试见tests/openapi/openapi-generation.test.mjs；成功响应为显式DTO白名单；异常由统一安全错误结构处理；无业务数据或供应价字段</x:v>
      </x:c>
    </x:row>
    <x:row r="3" ht="23" customHeight="1">
      <x:c r="A3" s="17" t="str">
        <x:v>API-002</x:v>
      </x:c>
      <x:c r="B3" s="17" t="str">
        <x:v>M0</x:v>
      </x:c>
      <x:c r="C3" s="17" t="str">
        <x:v>system</x:v>
      </x:c>
      <x:c r="D3" s="17"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17" t="str">
        <x:v>API-003</x:v>
      </x:c>
      <x:c r="B4" s="17" t="str">
        <x:v>M1</x:v>
      </x:c>
      <x:c r="C4" s="17" t="str">
        <x:v>company-auth</x:v>
      </x:c>
      <x:c r="D4" s="17" t="str">
        <x:v>POST</x:v>
      </x:c>
      <x:c r="E4" s="17" t="str">
        <x:v>/v1/company-auth/login</x:v>
      </x:c>
      <x:c r="F4" s="17" t="str">
        <x:v>COMPANY_USER</x:v>
      </x:c>
      <x:c r="G4" s="17" t="str">
        <x:v>CompanyLoginRequestDto</x:v>
      </x:c>
      <x:c r="H4" s="17" t="str">
        <x:v>WorkspaceChoiceResponseDto</x:v>
      </x:c>
      <x:c r="I4" s="17" t="str">
        <x:v>{success,data,error:{code,message,details?},requestId}</x:v>
      </x:c>
      <x:c r="J4" s="17" t="str">
        <x:v>AUTH_INVALID|ACCOUNT_SUSPENDED|RATE_LIMITED</x:v>
      </x:c>
      <x:c r="K4" s="17" t="str">
        <x:v>requestId</x:v>
      </x:c>
      <x:c r="L4" s="17" t="str">
        <x:v>NEVER_RETURN; DTO白名单；对象归属校验先于查询结果返回</x:v>
      </x:c>
      <x:c r="M4" s="17" t="str">
        <x:v>N/A</x:v>
      </x:c>
      <x:c r="N4" s="17" t="str">
        <x:v>P0-066</x:v>
      </x:c>
      <x:c r="O4" s="17" t="str">
        <x:v>GENERATED</x:v>
      </x:c>
      <x:c r="P4" s="17" t="str">
        <x:v>IMPLEMENTED</x:v>
      </x:c>
      <x:c r="Q4" s="17" t="str">
        <x:v>IMPLEMENTED</x:v>
      </x:c>
      <x:c r="R4" s="17" t="str">
        <x:v>tests/openapi/m1-p066-company-auth-contract.test.mjs;apps/api/test/supertest/company-auth-api.test.mjs</x:v>
      </x:c>
      <x:c r="S4" s="17" t="str">
        <x:v>CODEX</x:v>
      </x:c>
      <x:c r="T4" s="17" t="str">
        <x:v>独立公司登录；未知账号与错误凭证统一错误；5次失败后限流；单一有效账号直签Cookie，多账号返回服务端列表；生产凭证校验器未接入时失败关闭</x:v>
      </x:c>
    </x:row>
    <x:row r="5" ht="23" customHeight="1">
      <x:c r="A5" s="17" t="str">
        <x:v>API-004</x:v>
      </x:c>
      <x:c r="B5" s="17" t="str">
        <x:v>M1</x:v>
      </x:c>
      <x:c r="C5" s="17" t="str">
        <x:v>company-auth</x:v>
      </x:c>
      <x:c r="D5" s="17" t="str">
        <x:v>POST</x:v>
      </x:c>
      <x:c r="E5" s="17" t="str">
        <x:v>/v1/company-auth/workspaces/{accountId}/select</x:v>
      </x:c>
      <x:c r="F5" s="17" t="str">
        <x:v>COMPANY_USER</x:v>
      </x:c>
      <x:c r="G5" s="17" t="str">
        <x:v>SelectWorkspaceRequestDto</x:v>
      </x:c>
      <x:c r="H5" s="17" t="str">
        <x:v>SessionResponseDto</x:v>
      </x:c>
      <x:c r="I5" s="17" t="str">
        <x:v>{success,data,error:{code,message,details?},requestId}</x:v>
      </x:c>
      <x:c r="J5" s="17" t="str">
        <x:v>WORKSPACE_FORBIDDEN|SECOND_VERIFICATION_REQUIRED|WORKSPACE_SESSION_CONFLICT</x:v>
      </x:c>
      <x:c r="K5" s="17" t="str">
        <x:v>selectionNonce</x:v>
      </x:c>
      <x:c r="L5" s="17" t="str">
        <x:v>NEVER_RETURN; DTO白名单；对象归属校验先于查询结果返回</x:v>
      </x:c>
      <x:c r="M5" s="17" t="str">
        <x:v>N/A</x:v>
      </x:c>
      <x:c r="N5" s="17" t="str">
        <x:v>P0-066,P0-067</x:v>
      </x:c>
      <x:c r="O5" s="17" t="str">
        <x:v>GENERATED</x:v>
      </x:c>
      <x:c r="P5" s="17" t="str">
        <x:v>IMPLEMENTED</x:v>
      </x:c>
      <x:c r="Q5" s="17" t="str">
        <x:v>IMPLEMENTED</x:v>
      </x:c>
      <x:c r="R5" s="17" t="str">
        <x:v>tests/openapi/m1-p066-company-auth-contract.test.mjs;apps/api/test/supertest/company-auth-api.test.mjs</x:v>
      </x:c>
      <x:c r="S5" s="17" t="str">
        <x:v>CODEX</x:v>
      </x:c>
      <x:c r="T5" s="17" t="str">
        <x:v>选择nonce只存哈希且同requestId返回同值；客户端owner字段先拒绝；停用/过期账号不可选；同nonce改选其他账号冲突；原始会话令牌仅写Secure HttpOnly Cookie</x:v>
      </x:c>
    </x:row>
    <x:row r="6" ht="23" customHeight="1">
      <x:c r="A6" s="17" t="str">
        <x:v>API-005</x:v>
      </x:c>
      <x:c r="B6" s="17" t="str">
        <x:v>M1</x:v>
      </x:c>
      <x:c r="C6" s="17" t="str">
        <x:v>supplier-auth</x:v>
      </x:c>
      <x:c r="D6" s="17" t="str">
        <x:v>POST</x:v>
      </x:c>
      <x:c r="E6" s="17" t="str">
        <x:v>/v1/suppliers/registrations</x:v>
      </x:c>
      <x:c r="F6" s="17" t="str">
        <x:v>PUBLIC</x:v>
      </x:c>
      <x:c r="G6" s="17" t="str">
        <x:v>SupplierRegistrationRequestDto</x:v>
      </x:c>
      <x:c r="H6" s="17" t="str">
        <x:v>SupplierRegistrationResponseDto</x:v>
      </x:c>
      <x:c r="I6" s="17" t="str">
        <x:v>SupplierRegistrationResponseDto；错误={statusCode|code|message|details?|requestId}</x:v>
      </x:c>
      <x:c r="J6" s="17" t="str">
        <x:v>SUPPLIER_DUPLICATE|VALIDATION_FAILED|FIELD_FORBIDDEN|SINGLE_MERCHANT_VIOLATION|IDEMPOTENCY_CONFLICT|SERVICE_UNAVAILABLE</x:v>
      </x:c>
      <x:c r="K6" s="17" t="str">
        <x:v>Idempotency-Key</x:v>
      </x:c>
      <x:c r="L6" s="17" t="str">
        <x:v>NEVER_RETURN；DTO白名单；verificationCode仅写；响应不返回联系方式/完整资质/companyId/supplierId/供应价</x:v>
      </x:c>
      <x:c r="M6" s="17" t="str">
        <x:v>N/A</x:v>
      </x:c>
      <x:c r="N6" s="17" t="str">
        <x:v>P0-003,P0-069</x:v>
      </x:c>
      <x:c r="O6" s="17" t="str">
        <x:v>GENERATED</x:v>
      </x:c>
      <x:c r="P6" s="17" t="str">
        <x:v>IMPLEMENTED</x:v>
      </x:c>
      <x:c r="Q6" s="17" t="str">
        <x:v>IMPLEMENTED</x:v>
      </x:c>
      <x:c r="R6" s="17" t="str">
        <x:v>apps/api/test/supertest/supplier-onboarding-api.test.mjs；tests/contracts/m1-p003-supplier-onboarding.contract.test.mjs</x:v>
      </x:c>
      <x:c r="S6" s="17" t="str">
        <x:v>CODEX</x:v>
      </x:c>
      <x:c r="T6" s="17" t="str">
        <x:v>M1-P003任务内契约细化；公开注册只创建可编辑草稿；真实短信核验未接入时生产默认503；不授予供应商业务会话</x:v>
      </x:c>
    </x:row>
    <x:row r="7" ht="23" customHeight="1">
      <x:c r="A7" s="17" t="str">
        <x:v>API-006</x:v>
      </x:c>
      <x:c r="B7" s="17" t="str">
        <x:v>M1</x:v>
      </x:c>
      <x:c r="C7" s="17" t="str">
        <x:v>supplier-auth</x:v>
      </x:c>
      <x:c r="D7" s="17" t="str">
        <x:v>POST</x:v>
      </x:c>
      <x:c r="E7" s="17" t="str">
        <x:v>/v1/supplier-auth/login</x:v>
      </x:c>
      <x:c r="F7" s="17" t="str">
        <x:v>SUPPLIER_USER</x:v>
      </x:c>
      <x:c r="G7" s="17" t="str">
        <x:v>SupplierLoginRequestDto</x:v>
      </x:c>
      <x:c r="H7" s="17" t="str">
        <x:v>SupplierWorkspaceChoiceResponseDto</x:v>
      </x:c>
      <x:c r="I7" s="17" t="str">
        <x:v>{success,data,error:{code,message,details?},requestId}</x:v>
      </x:c>
      <x:c r="J7" s="17" t="str">
        <x:v>AUTH_INVALID|SUPPLIER_NOT_ACTIVE|ACCOUNT_SUSPENDED|RATE_LIMITED|VALIDATION_FAILED|DATA_SCOPE_FORBIDDEN</x:v>
      </x:c>
      <x:c r="K7" s="17" t="str">
        <x:v>requestId</x:v>
      </x:c>
      <x:c r="L7" s="17" t="str">
        <x:v>NEVER_RETURN; DTO白名单；对象归属校验先于查询结果返回</x:v>
      </x:c>
      <x:c r="M7" s="17" t="str">
        <x:v>N/A</x:v>
      </x:c>
      <x:c r="N7" s="17" t="str">
        <x:v>P0-069</x:v>
      </x:c>
      <x:c r="O7" s="17" t="str">
        <x:v>GENERATED</x:v>
      </x:c>
      <x:c r="P7" s="17" t="str">
        <x:v>IMPLEMENTED</x:v>
      </x:c>
      <x:c r="Q7" s="17" t="str">
        <x:v>IMPLEMENTED</x:v>
      </x:c>
      <x:c r="R7" s="17" t="str">
        <x:v>apps/api/test/supertest/supplier-auth-api.test.mjs;tests/openapi/m1-p069-supplier-auth-contract.test.mjs</x:v>
      </x:c>
      <x:c r="S7" s="17" t="str">
        <x:v>CODEX</x:v>
      </x:c>
      <x:c r="T7"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8" ht="23" customHeight="1">
      <x:c r="A8" s="17" t="str">
        <x:v>API-007</x:v>
      </x:c>
      <x:c r="B8" s="17" t="str">
        <x:v>M1</x:v>
      </x:c>
      <x:c r="C8" s="17" t="str">
        <x:v>supplier-auth</x:v>
      </x:c>
      <x:c r="D8" s="17" t="str">
        <x:v>POST</x:v>
      </x:c>
      <x:c r="E8" s="17" t="str">
        <x:v>/v1/supplier-auth/workspaces/{accountId}/select</x:v>
      </x:c>
      <x:c r="F8" s="17" t="str">
        <x:v>SUPPLIER_USER</x:v>
      </x:c>
      <x:c r="G8" s="17" t="str">
        <x:v>SupplierSelectWorkspaceRequestDto</x:v>
      </x:c>
      <x:c r="H8" s="17" t="str">
        <x:v>SupplierSessionResponseDto</x:v>
      </x:c>
      <x:c r="I8" s="17" t="str">
        <x:v>{success,data,error:{code,message,details?},requestId}</x:v>
      </x:c>
      <x:c r="J8" s="17" t="str">
        <x:v>WORKSPACE_FORBIDDEN|SECOND_VERIFICATION_REQUIRED|WORKSPACE_SESSION_CONFLICT|VALIDATION_FAILED|DATA_SCOPE_FORBIDDEN</x:v>
      </x:c>
      <x:c r="K8" s="17" t="str">
        <x:v>selectionNonce</x:v>
      </x:c>
      <x:c r="L8" s="17" t="str">
        <x:v>NEVER_RETURN; DTO白名单；对象归属校验先于查询结果返回</x:v>
      </x:c>
      <x:c r="M8" s="17" t="str">
        <x:v>N/A</x:v>
      </x:c>
      <x:c r="N8" s="17" t="str">
        <x:v>P0-069,P0-070</x:v>
      </x:c>
      <x:c r="O8" s="17" t="str">
        <x:v>GENERATED</x:v>
      </x:c>
      <x:c r="P8" s="17" t="str">
        <x:v>IMPLEMENTED</x:v>
      </x:c>
      <x:c r="Q8" s="17" t="str">
        <x:v>IMPLEMENTED</x:v>
      </x:c>
      <x:c r="R8" s="17" t="str">
        <x:v>apps/api/test/supertest/supplier-auth-api.test.mjs;tests/openapi/m1-p069-supplier-auth-contract.test.mjs</x:v>
      </x:c>
      <x:c r="S8" s="17" t="str">
        <x:v>CODEX</x:v>
      </x:c>
      <x:c r="T8"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9" ht="23" customHeight="1">
      <x:c r="A9" s="17" t="str">
        <x:v>API-008</x:v>
      </x:c>
      <x:c r="B9" s="17" t="str">
        <x:v>M1</x:v>
      </x:c>
      <x:c r="C9" s="17" t="str">
        <x:v>supplier</x:v>
      </x:c>
      <x:c r="D9" s="17" t="str">
        <x:v>GET</x:v>
      </x:c>
      <x:c r="E9" s="17" t="str">
        <x:v>/v1/supplier/me</x:v>
      </x:c>
      <x:c r="F9" s="17" t="str">
        <x:v>SUPPLIER_ACCOUNT_ADMIN</x:v>
      </x:c>
      <x:c r="G9" s="17" t="str">
        <x:v>None</x:v>
      </x:c>
      <x:c r="H9" s="17" t="str">
        <x:v>SupplierProfileResponseDto</x:v>
      </x:c>
      <x:c r="I9" s="17" t="str">
        <x:v>ApiErrorResponseDto</x:v>
      </x:c>
      <x:c r="J9" s="17" t="str">
        <x:v>SUPPLIER_SCOPE_FORBIDDEN|AUTHENTICATION_REQUIRED</x:v>
      </x:c>
      <x:c r="K9" s="17" t="str">
        <x:v>NONE</x:v>
      </x:c>
      <x:c r="L9" s="17" t="str">
        <x:v>NEVER_RETURN；DTO白名单；无supplierId查询参数；对象归属校验先于响应</x:v>
      </x:c>
      <x:c r="M9" s="17" t="str">
        <x:v>N/A</x:v>
      </x:c>
      <x:c r="N9" s="17" t="str">
        <x:v>P0-004,P0-005</x:v>
      </x:c>
      <x:c r="O9" s="17" t="str">
        <x:v>GENERATED</x:v>
      </x:c>
      <x:c r="P9" s="17" t="str">
        <x:v>IMPLEMENTED</x:v>
      </x:c>
      <x:c r="Q9" s="17" t="str">
        <x:v>IMPLEMENTED</x:v>
      </x:c>
      <x:c r="R9" s="17" t="str">
        <x:v>apps/api/test/supertest/supplier-onboarding-api.test.mjs；tests/contracts/m1-p004-supplier-isolation.contract.test.mjs</x:v>
      </x:c>
      <x:c r="S9" s="17" t="str">
        <x:v>CODEX</x:v>
      </x:c>
      <x:c r="T9" s="17" t="str">
        <x:v>M1-P004实现服务端会话绑定的本人资料读取；生产职能会话解析器仍默认401；账号业务仍归M1-P005/P069/P070</x:v>
      </x:c>
    </x:row>
    <x:row r="10" ht="23" customHeight="1">
      <x:c r="A10" s="17" t="str">
        <x:v>API-009</x:v>
      </x:c>
      <x:c r="B10" s="17" t="str">
        <x:v>M1</x:v>
      </x:c>
      <x:c r="C10" s="17" t="str">
        <x:v>supplier</x:v>
      </x:c>
      <x:c r="D10" s="17" t="str">
        <x:v>PATCH</x:v>
      </x:c>
      <x:c r="E10" s="17" t="str">
        <x:v>/v1/supplier/me</x:v>
      </x:c>
      <x:c r="F10" s="17" t="str">
        <x:v>SUPPLIER_ACCOUNT_ADMIN</x:v>
      </x:c>
      <x:c r="G10" s="17" t="str">
        <x:v>SupplierProfilePatchRequestDto</x:v>
      </x:c>
      <x:c r="H10" s="17" t="str">
        <x:v>SupplierProfileResponseDto</x:v>
      </x:c>
      <x:c r="I10" s="17" t="str">
        <x:v>SupplierProfileResponseDto；错误={statusCode|code|message|details?|requestId}</x:v>
      </x:c>
      <x:c r="J10" s="17" t="str">
        <x:v>AUTHENTICATION_REQUIRED|ACCESS_DENIED|SUPPLIER_SCOPE_FORBIDDEN|FIELD_FORBIDDEN|STATE_TRANSITION_INVALID|VERSION_CONFLICT|RESOURCE_NOT_FOUND|VALIDATION_FAILED|IDEMPOTENCY_CONFLICT|SECOND_VERIFICATION_REQUIRED</x:v>
      </x:c>
      <x:c r="K10" s="17" t="str">
        <x:v>Idempotency-Key</x:v>
      </x:c>
      <x:c r="L10" s="17" t="str">
        <x:v>NEVER_RETURN；supplierId仅取服务端会话；DTO白名单；不返回供应价或完整内部资质</x:v>
      </x:c>
      <x:c r="M10" s="17" t="str">
        <x:v>N/A</x:v>
      </x:c>
      <x:c r="N10" s="17" t="str">
        <x:v>P0-003,P0-005</x:v>
      </x:c>
      <x:c r="O10" s="17" t="str">
        <x:v>GENERATED</x:v>
      </x:c>
      <x:c r="P10" s="17" t="str">
        <x:v>IMPLEMENTED</x:v>
      </x:c>
      <x:c r="Q10" s="17" t="str">
        <x:v>IMPLEMENTED</x:v>
      </x:c>
      <x:c r="R10" s="17" t="str">
        <x:v>apps/api/test/supertest/supplier-onboarding-api.test.mjs；tests/contracts/m1-p003-supplier-onboarding.contract.test.mjs；tests/contracts/m1-p004-supplier-isolation.contract.test.mjs</x:v>
      </x:c>
      <x:c r="S10" s="17" t="str">
        <x:v>CODEX</x:v>
      </x:c>
      <x:c r="T10" s="17" t="str">
        <x:v>M1-P047将运行时结算账户变更的428二次验证要求补入确定性OpenAPI；仅DRAFT或CORRECTION_REQUIRED可按乐观版本补正；生产会话解析器默认拒绝</x:v>
      </x:c>
    </x:row>
    <x:row r="11" ht="23" customHeight="1">
      <x:c r="A11" s="17" t="str">
        <x:v>API-010</x:v>
      </x:c>
      <x:c r="B11" s="17" t="str">
        <x:v>M1</x:v>
      </x:c>
      <x:c r="C11" s="17" t="str">
        <x:v>supplier</x:v>
      </x:c>
      <x:c r="D11" s="17" t="str">
        <x:v>POST</x:v>
      </x:c>
      <x:c r="E11" s="17" t="str">
        <x:v>/v1/supplier/me/submit-review</x:v>
      </x:c>
      <x:c r="F11" s="17" t="str">
        <x:v>SUPPLIER_ACCOUNT_ADMIN</x:v>
      </x:c>
      <x:c r="G11" s="17" t="str">
        <x:v>SubmitReviewRequestDto</x:v>
      </x:c>
      <x:c r="H11" s="17" t="str">
        <x:v>ApprovalTaskResponseDto</x:v>
      </x:c>
      <x:c r="I11" s="17" t="str">
        <x:v>ApprovalTaskResponseDto；错误={statusCode|code|message|details?|requestId}</x:v>
      </x:c>
      <x:c r="J11" s="17" t="str">
        <x:v>AUTHENTICATION_REQUIRED|ACCESS_DENIED|SUPPLIER_SCOPE_FORBIDDEN|VALIDATION_FAILED|STATE_TRANSITION_INVALID|VERSION_CONFLICT|IDEMPOTENCY_CONFLICT</x:v>
      </x:c>
      <x:c r="K11" s="17" t="str">
        <x:v>Idempotency-Key</x:v>
      </x:c>
      <x:c r="L11" s="17" t="str">
        <x:v>NEVER_RETURN；supplierId与申请自然人仅取服务端会话；不返回供应价或结算资料</x:v>
      </x:c>
      <x:c r="M11" s="17" t="str">
        <x:v>N/A</x:v>
      </x:c>
      <x:c r="N11" s="17" t="str">
        <x:v>P0-003</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M1-P003实现提交审核；M1-P004补齐客户端归属字段篡改403契约；资料完整才创建追加式审核任务并进入PENDING_REVIEW；EXT-006正式资质规则未提供</x:v>
      </x:c>
    </x:row>
    <x:row r="12" ht="23" customHeight="1">
      <x:c r="A12" s="17" t="str">
        <x:v>API-011</x:v>
      </x:c>
      <x:c r="B12" s="17" t="str">
        <x:v>M1</x:v>
      </x:c>
      <x:c r="C12" s="17" t="str">
        <x:v>company-supplier</x:v>
      </x:c>
      <x:c r="D12" s="17" t="str">
        <x:v>GET</x:v>
      </x:c>
      <x:c r="E12" s="17" t="str">
        <x:v>/v1/company/suppliers</x:v>
      </x:c>
      <x:c r="F12" s="17" t="str">
        <x:v>COMPANY_SUPPLIER_OPS</x:v>
      </x:c>
      <x:c r="G12" s="17" t="str">
        <x:v>SupplierQueryDto</x:v>
      </x:c>
      <x:c r="H12" s="17" t="str">
        <x:v>SupplierPageResponseDto</x:v>
      </x:c>
      <x:c r="I12" s="17" t="str">
        <x:v>SupplierPageResponseDto；错误={statusCode|code|message|details?|requestId}</x:v>
      </x:c>
      <x:c r="J12" s="17" t="str">
        <x:v>AUTHENTICATION_REQUIRED|ACCESS_DENIED|VALIDATION_FAILED</x:v>
      </x:c>
      <x:c r="K12" s="17" t="str">
        <x:v>NONE</x:v>
      </x:c>
      <x:c r="L12" s="17" t="str">
        <x:v>NEVER_RETURN；仅公司供应商运营固定职能；信用代码脱敏；不返回联系方式/完整资质/供应价</x:v>
      </x:c>
      <x:c r="M12" s="17" t="str">
        <x:v>N/A</x:v>
      </x:c>
      <x:c r="N12" s="17" t="str">
        <x:v>P0-003,P0-004</x:v>
      </x:c>
      <x:c r="O12" s="17" t="str">
        <x:v>GENERATED</x:v>
      </x:c>
      <x:c r="P12" s="17" t="str">
        <x:v>IMPLEMENTED</x:v>
      </x:c>
      <x:c r="Q12" s="17" t="str">
        <x:v>IMPLEMENTED</x:v>
      </x:c>
      <x:c r="R12" s="17" t="str">
        <x:v>apps/api/test/supertest/supplier-onboarding-api.test.mjs；tests/contracts/m1-p003-supplier-onboarding.contract.test.mjs</x:v>
      </x:c>
      <x:c r="S12" s="17" t="str">
        <x:v>CODEX</x:v>
      </x:c>
      <x:c r="T12" s="17" t="str">
        <x:v>M1-P003任务内契约细化；仅提供入驻状态筛选和资质摘要；生产会话解析器默认拒绝；P0-004跨供应商业务隔离未执行</x:v>
      </x:c>
    </x:row>
    <x:row r="13" ht="23" customHeight="1">
      <x:c r="A13" s="17" t="str">
        <x:v>API-012</x:v>
      </x:c>
      <x:c r="B13" s="17" t="str">
        <x:v>M1</x:v>
      </x:c>
      <x:c r="C13" s="17" t="str">
        <x:v>company-supplier</x:v>
      </x:c>
      <x:c r="D13" s="17" t="str">
        <x:v>POST</x:v>
      </x:c>
      <x:c r="E13" s="17" t="str">
        <x:v>/v1/company/suppliers/{supplierId}/review</x:v>
      </x:c>
      <x:c r="F13" s="17" t="str">
        <x:v>COMPANY_SUPPLIER_OPS</x:v>
      </x:c>
      <x:c r="G13" s="17" t="str">
        <x:v>SupplierReviewRequestDto</x:v>
      </x:c>
      <x:c r="H13" s="17" t="str">
        <x:v>SupplierResponseDto</x:v>
      </x:c>
      <x:c r="I13" s="17" t="str">
        <x:v>SupplierResponseDto；错误={statusCode|code|message|details?|requestId}</x:v>
      </x:c>
      <x:c r="J13" s="17" t="str">
        <x:v>AUTHENTICATION_REQUIRED|ACCESS_DENIED|VALIDATION_FAILED|STATE_TRANSITION_INVALID|APPROVAL_VERSION_CONFLICT|SECOND_VERIFICATION_REQUIRED|IDEMPOTENCY_CONFLICT</x:v>
      </x:c>
      <x:c r="K13" s="17" t="str">
        <x:v>Idempotency-Key</x:v>
      </x:c>
      <x:c r="L13" s="17" t="str">
        <x:v>NEVER_RETURN；审核自然人仅取服务端会话；DTO白名单；不返回供应价/联系方式/完整资质</x:v>
      </x:c>
      <x:c r="M13" s="17" t="str">
        <x:v>N/A</x:v>
      </x:c>
      <x:c r="N13" s="17" t="str">
        <x:v>P0-003</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M1-P003任务内契约细化；只允许REQUEST_CORRECTION或APPROVE并按版本推进；历史状态和审核证据追加留痕</x:v>
      </x:c>
    </x:row>
    <x:row r="14" ht="23" customHeight="1">
      <x:c r="A14" s="17" t="str">
        <x:v>API-013</x:v>
      </x:c>
      <x:c r="B14" s="17" t="str">
        <x:v>M1</x:v>
      </x:c>
      <x:c r="C14" s="17" t="str">
        <x:v>functional-accounts</x:v>
      </x:c>
      <x:c r="D14" s="17" t="str">
        <x:v>GET</x:v>
      </x:c>
      <x:c r="E14" s="17" t="str">
        <x:v>/v1/{ownerType}/functional-accounts</x:v>
      </x:c>
      <x:c r="F14" s="17" t="str">
        <x:v>OWNER_ACCOUNT_ADMIN</x:v>
      </x:c>
      <x:c r="G14" s="17" t="str">
        <x:v>FunctionalAccountQueryDto</x:v>
      </x:c>
      <x:c r="H14" s="17" t="str">
        <x:v>FunctionalAccountPageResponseDto</x:v>
      </x:c>
      <x:c r="I14" s="17" t="str">
        <x:v>{success,data,error:{code,message,details?},requestId}</x:v>
      </x:c>
      <x:c r="J14" s="17" t="str">
        <x:v>DATA_SCOPE_FORBIDDEN|WORKSPACE_FORBIDDEN</x:v>
      </x:c>
      <x:c r="K14" s="17" t="str">
        <x:v>NONE</x:v>
      </x:c>
      <x:c r="L14" s="17" t="str">
        <x:v>NEVER_RETURN; DTO白名单；对象归属校验先于查询结果返回</x:v>
      </x:c>
      <x:c r="M14" s="17" t="str">
        <x:v>N/A</x:v>
      </x:c>
      <x:c r="N14" s="17" t="str">
        <x:v>P0-005,P0-067,P0-070</x:v>
      </x:c>
      <x:c r="O14" s="17" t="str">
        <x:v>GENERATED</x:v>
      </x:c>
      <x:c r="P14" s="17" t="str">
        <x:v>IMPLEMENTED</x:v>
      </x:c>
      <x:c r="Q14" s="17" t="str">
        <x:v>IMPLEMENTED</x:v>
      </x:c>
      <x:c r="R14" s="17" t="str">
        <x:v>FREEZE:tests/contracts/m1-contract-freeze.contract.test.mjs;RUNTIME:apps/api/test/supertest/supplier-functional-accounts-api.test.mjs;apps/api/test/supertest/company-workspace-api.test.mjs</x:v>
      </x:c>
      <x:c r="S14" s="17" t="str">
        <x:v>CODEX</x:v>
      </x:c>
      <x:c r="T14" s="17" t="str">
        <x:v>M1-P067任务内完成company归属分支；仅COMPANY_SUPER_ADMIN固定会话可列出唯一公司职能账号；供应商分支保持原合同</x:v>
      </x:c>
    </x:row>
    <x:row r="15" ht="23" customHeight="1">
      <x:c r="A15" s="17" t="str">
        <x:v>API-014</x:v>
      </x:c>
      <x:c r="B15" s="17" t="str">
        <x:v>M1</x:v>
      </x:c>
      <x:c r="C15" s="17" t="str">
        <x:v>functional-accounts</x:v>
      </x:c>
      <x:c r="D15" s="17" t="str">
        <x:v>POST</x:v>
      </x:c>
      <x:c r="E15" s="17" t="str">
        <x:v>/v1/{ownerType}/functional-accounts</x:v>
      </x:c>
      <x:c r="F15" s="17" t="str">
        <x:v>OWNER_ACCOUNT_ADMIN</x:v>
      </x:c>
      <x:c r="G15" s="17" t="str">
        <x:v>CreateFunctionalAccountRequestDto</x:v>
      </x:c>
      <x:c r="H15" s="17" t="str">
        <x:v>FunctionalAccountResponseDto</x:v>
      </x:c>
      <x:c r="I15" s="17" t="str">
        <x:v>{success,data,error:{code,message,details?},requestId}</x:v>
      </x:c>
      <x:c r="J15" s="17" t="str">
        <x:v>ACCOUNT_TYPE_INVALID|SECOND_VERIFICATION_REQUIRED|DATA_SCOPE_FORBIDDEN|WORKSPACE_FORBIDDEN|STATE_TRANSITION_INVALID|IDEMPOTENCY_CONFLICT|VALIDATION_FAILED</x:v>
      </x:c>
      <x:c r="K15" s="17" t="str">
        <x:v>Idempotency-Key</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M1-P067任务内完成company归属分支；公司邀请需二次验证、幂等、追加状态历史和审计；所有权字段禁止；供应商激活/登录仍归M1-P069</x:v>
      </x:c>
    </x:row>
    <x:row r="16" ht="23" customHeight="1">
      <x:c r="A16" s="17" t="str">
        <x:v>API-015</x:v>
      </x:c>
      <x:c r="B16" s="17" t="str">
        <x:v>M1</x:v>
      </x:c>
      <x:c r="C16" s="17" t="str">
        <x:v>audit</x:v>
      </x:c>
      <x:c r="D16" s="17" t="str">
        <x:v>GET</x:v>
      </x:c>
      <x:c r="E16" s="17" t="str">
        <x:v>/v1/audit/events</x:v>
      </x:c>
      <x:c r="F16" s="17" t="str">
        <x:v>AUTHORIZED_AUDITOR</x:v>
      </x:c>
      <x:c r="G16" s="17" t="str">
        <x:v>AuditQueryDto</x:v>
      </x:c>
      <x:c r="H16" s="17" t="str">
        <x:v>AuditEventPageResponseDto</x:v>
      </x:c>
      <x:c r="I16" s="17" t="str">
        <x:v>{success,data,error:{code,message,details?},requestId}</x:v>
      </x:c>
      <x:c r="J16" s="17" t="str">
        <x:v>FIELD_FORBIDDEN|WORKSPACE_FORBIDDEN</x:v>
      </x:c>
      <x:c r="K16" s="17" t="str">
        <x:v>NONE</x:v>
      </x:c>
      <x:c r="L16" s="17" t="str">
        <x:v>NEVER_RETURN; DTO白名单；供应商查询在数据库前加入会话supplierId；公司审计全局只读</x:v>
      </x:c>
      <x:c r="M16" s="17" t="str">
        <x:v>N/A</x:v>
      </x:c>
      <x:c r="N16" s="17" t="str">
        <x:v>P0-045,P0-072</x:v>
      </x:c>
      <x:c r="O16" s="17" t="str">
        <x:v>GENERATED</x:v>
      </x:c>
      <x:c r="P16" s="17" t="str">
        <x:v>IMPLEMENTED</x:v>
      </x:c>
      <x:c r="Q16" s="17" t="str">
        <x:v>IMPLEMENTED</x:v>
      </x:c>
      <x:c r="R16" s="17" t="str">
        <x:v>tests/contracts/m1-p045-sensitive-audit.contract.test.mjs;apps/api/test/supertest/audit-log-api.test.mjs;tests/e2e/p0/p0-072-sensitive-operations-audit.spec.ts</x:v>
      </x:c>
      <x:c r="S16" s="17" t="str">
        <x:v>CODEX</x:v>
      </x:c>
      <x:c r="T16" s="17" t="str">
        <x:v>M1-P072扩展为公司审计全局脱敏只读与供应商审计本方只读；响应不返回supplierId/functionalAccountId/IP/敏感原文</x:v>
      </x:c>
    </x:row>
    <x:row r="17" ht="23" customHeight="1">
      <x:c r="A17" s="17" t="str">
        <x:v>API-016</x:v>
      </x:c>
      <x:c r="B17" s="17" t="str">
        <x:v>M2</x:v>
      </x:c>
      <x:c r="C17" s="17" t="str">
        <x:v>categories</x:v>
      </x:c>
      <x:c r="D17" s="17" t="str">
        <x:v>GET</x:v>
      </x:c>
      <x:c r="E17" s="17" t="str">
        <x:v>/v1/company/categories</x:v>
      </x:c>
      <x:c r="F17" s="17" t="str">
        <x:v>COMPANY_PRODUCT_OPS</x:v>
      </x:c>
      <x:c r="G17" s="17" t="str">
        <x:v>CategoryQuery</x:v>
      </x:c>
      <x:c r="H17" s="17" t="str">
        <x:v>CategoryTreeResponse</x:v>
      </x:c>
      <x:c r="I17" s="17" t="str">
        <x:v>{success,data,error:{code,message,details?},requestId}</x:v>
      </x:c>
      <x:c r="J17" s="17" t="str">
        <x:v>COMMON_AUTH_VALIDATION_ERRORS</x:v>
      </x:c>
      <x:c r="K17" s="17" t="str">
        <x:v>NONE</x:v>
      </x:c>
      <x:c r="L17" s="17" t="str">
        <x:v>NEVER_RETURN; DTO白名单；对象归属校验先于查询结果返回</x:v>
      </x:c>
      <x:c r="M17" s="17" t="str">
        <x:v>金额字段整数分；服务端重算；禁止客户端提交供应价或结算快照</x:v>
      </x:c>
      <x:c r="N17" s="17" t="str">
        <x:v>P0-011</x:v>
      </x:c>
      <x:c r="O17" s="17" t="str">
        <x:v>PLANNED</x:v>
      </x:c>
      <x:c r="P17" s="17" t="str">
        <x:v>PLANNED</x:v>
      </x:c>
      <x:c r="Q17" s="17" t="str">
        <x:v>PLANNED</x:v>
      </x:c>
      <x:c r="R17" s="17" t="str">
        <x:v>TO_BE_CREATED</x:v>
      </x:c>
      <x:c r="S17" s="17" t="str">
        <x:v>UNASSIGNED</x:v>
      </x:c>
      <x:c r="T17" s="17" t="str">
        <x:v>路径为执行初始契约；阶段M*-000冻结后方可编码</x:v>
      </x:c>
    </x:row>
    <x:row r="18" ht="23" customHeight="1">
      <x:c r="A18" s="17" t="str">
        <x:v>API-017</x:v>
      </x:c>
      <x:c r="B18" s="17" t="str">
        <x:v>M2</x:v>
      </x:c>
      <x:c r="C18" s="17" t="str">
        <x:v>categories</x:v>
      </x:c>
      <x:c r="D18" s="17" t="str">
        <x:v>POST</x:v>
      </x:c>
      <x:c r="E18" s="17" t="str">
        <x:v>/v1/company/categories</x:v>
      </x:c>
      <x:c r="F18" s="17" t="str">
        <x:v>COMPANY_PRODUCT_OPS</x:v>
      </x:c>
      <x:c r="G18" s="17" t="str">
        <x:v>CategoryCreateRequest</x:v>
      </x:c>
      <x:c r="H18" s="17" t="str">
        <x:v>CategoryResponse</x:v>
      </x:c>
      <x:c r="I18" s="17" t="str">
        <x:v>{success,data,error:{code,message,details?},requestId}</x:v>
      </x:c>
      <x:c r="J18" s="17" t="str">
        <x:v>CATEGORY_PARENT_INVALID|CATEGORY_LEVEL_INVALID</x:v>
      </x:c>
      <x:c r="K18" s="17" t="str">
        <x:v>Idempotency-Key</x:v>
      </x:c>
      <x:c r="L18" s="17" t="str">
        <x:v>NEVER_RETURN; DTO白名单；对象归属校验先于查询结果返回</x:v>
      </x:c>
      <x:c r="M18" s="17" t="str">
        <x:v>金额字段整数分；服务端重算；禁止客户端提交供应价或结算快照</x:v>
      </x:c>
      <x:c r="N18" s="17" t="str">
        <x:v>P0-011</x:v>
      </x:c>
      <x:c r="O18" s="17" t="str">
        <x:v>PLANNED</x:v>
      </x:c>
      <x:c r="P18" s="17" t="str">
        <x:v>PLANNED</x:v>
      </x:c>
      <x:c r="Q18" s="17" t="str">
        <x:v>PLANNED</x:v>
      </x:c>
      <x:c r="R18" s="17" t="str">
        <x:v>TO_BE_CREATED</x:v>
      </x:c>
      <x:c r="S18" s="17" t="str">
        <x:v>UNASSIGNED</x:v>
      </x:c>
      <x:c r="T18" s="17" t="str">
        <x:v>路径为执行初始契约；阶段M*-000冻结后方可编码</x:v>
      </x:c>
    </x:row>
    <x:row r="19" ht="23" customHeight="1">
      <x:c r="A19" s="17" t="str">
        <x:v>API-018</x:v>
      </x:c>
      <x:c r="B19" s="17" t="str">
        <x:v>M2</x:v>
      </x:c>
      <x:c r="C19" s="17" t="str">
        <x:v>category-templates</x:v>
      </x:c>
      <x:c r="D19" s="17" t="str">
        <x:v>POST</x:v>
      </x:c>
      <x:c r="E19" s="17" t="str">
        <x:v>/v1/company/categories/{categoryId}/template-versions</x:v>
      </x:c>
      <x:c r="F19" s="17" t="str">
        <x:v>COMPANY_PRODUCT_OPS</x:v>
      </x:c>
      <x:c r="G19" s="17" t="str">
        <x:v>CategoryTemplateVersionRequest</x:v>
      </x:c>
      <x:c r="H19" s="17" t="str">
        <x:v>CategoryTemplateResponse</x:v>
      </x:c>
      <x:c r="I19" s="17" t="str">
        <x:v>{success,data,error:{code,message,details?},requestId}</x:v>
      </x:c>
      <x:c r="J19" s="17" t="str">
        <x:v>TEMPLATE_SCHEMA_INVALID</x:v>
      </x:c>
      <x:c r="K19" s="17" t="str">
        <x:v>Idempotency-Key</x:v>
      </x:c>
      <x:c r="L19" s="17" t="str">
        <x:v>NEVER_RETURN; DTO白名单；对象归属校验先于查询结果返回</x:v>
      </x:c>
      <x:c r="M19" s="17" t="str">
        <x:v>金额字段整数分；服务端重算；禁止客户端提交供应价或结算快照</x:v>
      </x:c>
      <x:c r="N19" s="17" t="str">
        <x:v>P0-012,P0-018</x:v>
      </x:c>
      <x:c r="O19" s="17" t="str">
        <x:v>PLANNED</x:v>
      </x:c>
      <x:c r="P19" s="17" t="str">
        <x:v>PLANNED</x:v>
      </x:c>
      <x:c r="Q19" s="17" t="str">
        <x:v>PLANNED</x:v>
      </x:c>
      <x:c r="R19" s="17" t="str">
        <x:v>TO_BE_CREATED</x:v>
      </x:c>
      <x:c r="S19" s="17" t="str">
        <x:v>UNASSIGNED</x:v>
      </x:c>
      <x:c r="T19" s="17" t="str">
        <x:v>路径为执行初始契约；阶段M*-000冻结后方可编码</x:v>
      </x:c>
    </x:row>
    <x:row r="20" ht="23" customHeight="1">
      <x:c r="A20" s="17" t="str">
        <x:v>API-019</x:v>
      </x:c>
      <x:c r="B20" s="17" t="str">
        <x:v>M2</x:v>
      </x:c>
      <x:c r="C20" s="17" t="str">
        <x:v>supplier-products</x:v>
      </x:c>
      <x:c r="D20" s="17" t="str">
        <x:v>POST</x:v>
      </x:c>
      <x:c r="E20" s="17" t="str">
        <x:v>/v1/supplier/products</x:v>
      </x:c>
      <x:c r="F20" s="17" t="str">
        <x:v>SUPPLIER_PRODUCT</x:v>
      </x:c>
      <x:c r="G20" s="17" t="str">
        <x:v>SupplierProductDraftRequest</x:v>
      </x:c>
      <x:c r="H20" s="17" t="str">
        <x:v>SupplierProductResponse</x:v>
      </x:c>
      <x:c r="I20" s="17" t="str">
        <x:v>{success,data,error:{code,message,details?},requestId}</x:v>
      </x:c>
      <x:c r="J20" s="17" t="str">
        <x:v>CATEGORY_TEMPLATE_INVALID|PRICE_FIELD_FORBIDDEN</x:v>
      </x:c>
      <x:c r="K20" s="17" t="str">
        <x:v>Idempotency-Key</x:v>
      </x:c>
      <x:c r="L20" s="17" t="str">
        <x:v>NEVER_RETURN; DTO白名单；对象归属校验先于查询结果返回</x:v>
      </x:c>
      <x:c r="M20" s="17" t="str">
        <x:v>金额字段整数分；服务端重算；禁止客户端提交供应价或结算快照</x:v>
      </x:c>
      <x:c r="N20" s="17" t="str">
        <x:v>P0-006,P0-008,P0-061</x:v>
      </x:c>
      <x:c r="O20" s="17" t="str">
        <x:v>PLANNED</x:v>
      </x:c>
      <x:c r="P20" s="17" t="str">
        <x:v>PLANNED</x:v>
      </x:c>
      <x:c r="Q20" s="17" t="str">
        <x:v>PLANNED</x:v>
      </x:c>
      <x:c r="R20" s="17" t="str">
        <x:v>TO_BE_CREATED</x:v>
      </x:c>
      <x:c r="S20" s="17" t="str">
        <x:v>UNASSIGNED</x:v>
      </x:c>
      <x:c r="T20" s="17" t="str">
        <x:v>路径为执行初始契约；阶段M*-000冻结后方可编码</x:v>
      </x:c>
    </x:row>
    <x:row r="21" ht="23" customHeight="1">
      <x:c r="A21" s="17" t="str">
        <x:v>API-020</x:v>
      </x:c>
      <x:c r="B21" s="17" t="str">
        <x:v>M2</x:v>
      </x:c>
      <x:c r="C21" s="17" t="str">
        <x:v>supplier-products</x:v>
      </x:c>
      <x:c r="D21" s="17" t="str">
        <x:v>PATCH</x:v>
      </x:c>
      <x:c r="E21" s="17" t="str">
        <x:v>/v1/supplier/products/{supplierProductId}</x:v>
      </x:c>
      <x:c r="F21" s="17" t="str">
        <x:v>SUPPLIER_PRODUCT</x:v>
      </x:c>
      <x:c r="G21" s="17" t="str">
        <x:v>SupplierProductPatchRequest</x:v>
      </x:c>
      <x:c r="H21" s="17" t="str">
        <x:v>SupplierProductResponse</x:v>
      </x:c>
      <x:c r="I21" s="17" t="str">
        <x:v>{success,data,error:{code,message,details?},requestId}</x:v>
      </x:c>
      <x:c r="J21" s="17" t="str">
        <x:v>SUPPLIER_SCOPE_FORBIDDEN|VERSION_CONFLICT|PRICE_FIELD_FORBIDDEN</x:v>
      </x:c>
      <x:c r="K21" s="17" t="str">
        <x:v>Idempotency-Key</x:v>
      </x:c>
      <x:c r="L21" s="17" t="str">
        <x:v>NEVER_RETURN; DTO白名单；对象归属校验先于查询结果返回</x:v>
      </x:c>
      <x:c r="M21" s="17" t="str">
        <x:v>金额字段整数分；服务端重算；禁止客户端提交供应价或结算快照</x:v>
      </x:c>
      <x:c r="N21" s="17" t="str">
        <x:v>P0-006,P0-008</x:v>
      </x:c>
      <x:c r="O21" s="17" t="str">
        <x:v>PLANNED</x:v>
      </x:c>
      <x:c r="P21" s="17" t="str">
        <x:v>PLANNED</x:v>
      </x:c>
      <x:c r="Q21" s="17" t="str">
        <x:v>PLANNED</x:v>
      </x:c>
      <x:c r="R21" s="17" t="str">
        <x:v>TO_BE_CREATED</x:v>
      </x:c>
      <x:c r="S21" s="17" t="str">
        <x:v>UNASSIGNED</x:v>
      </x:c>
      <x:c r="T21" s="17" t="str">
        <x:v>路径为执行初始契约；阶段M*-000冻结后方可编码</x:v>
      </x:c>
    </x:row>
    <x:row r="22" ht="23" customHeight="1">
      <x:c r="A22" s="17" t="str">
        <x:v>API-021</x:v>
      </x:c>
      <x:c r="B22" s="17" t="str">
        <x:v>M2</x:v>
      </x:c>
      <x:c r="C22" s="17" t="str">
        <x:v>supplier-products</x:v>
      </x:c>
      <x:c r="D22" s="17" t="str">
        <x:v>POST</x:v>
      </x:c>
      <x:c r="E22" s="17" t="str">
        <x:v>/v1/supplier/products/{supplierProductId}/submit-material</x:v>
      </x:c>
      <x:c r="F22" s="17" t="str">
        <x:v>SUPPLIER_PRODUCT</x:v>
      </x:c>
      <x:c r="G22" s="17" t="str">
        <x:v>SubmitMaterialRequest</x:v>
      </x:c>
      <x:c r="H22" s="17" t="str">
        <x:v>ApprovalTaskResponse</x:v>
      </x:c>
      <x:c r="I22" s="17" t="str">
        <x:v>{success,data,error:{code,message,details?},requestId}</x:v>
      </x:c>
      <x:c r="J22" s="17" t="str">
        <x:v>TEMPLATE_VALIDATION_FAILED|STATE_TRANSITION_INVALID</x:v>
      </x:c>
      <x:c r="K22" s="17" t="str">
        <x:v>Idempotency-Key</x:v>
      </x:c>
      <x:c r="L22" s="17" t="str">
        <x:v>NEVER_RETURN; DTO白名单；对象归属校验先于查询结果返回</x:v>
      </x:c>
      <x:c r="M22" s="17" t="str">
        <x:v>金额字段整数分；服务端重算；禁止客户端提交供应价或结算快照</x:v>
      </x:c>
      <x:c r="N22" s="17" t="str">
        <x:v>P0-006,P0-007</x:v>
      </x:c>
      <x:c r="O22" s="17" t="str">
        <x:v>PLANNED</x:v>
      </x:c>
      <x:c r="P22" s="17" t="str">
        <x:v>PLANNED</x:v>
      </x:c>
      <x:c r="Q22" s="17" t="str">
        <x:v>PLANNED</x:v>
      </x:c>
      <x:c r="R22" s="17" t="str">
        <x:v>TO_BE_CREATED</x:v>
      </x:c>
      <x:c r="S22" s="17" t="str">
        <x:v>UNASSIGNED</x:v>
      </x:c>
      <x:c r="T22" s="17" t="str">
        <x:v>路径为执行初始契约；阶段M*-000冻结后方可编码</x:v>
      </x:c>
    </x:row>
    <x:row r="23" ht="23" customHeight="1">
      <x:c r="A23" s="17" t="str">
        <x:v>API-022</x:v>
      </x:c>
      <x:c r="B23" s="17" t="str">
        <x:v>M2</x:v>
      </x:c>
      <x:c r="C23" s="17" t="str">
        <x:v>supplier-pricing</x:v>
      </x:c>
      <x:c r="D23" s="17" t="str">
        <x:v>PUT</x:v>
      </x:c>
      <x:c r="E23" s="17" t="str">
        <x:v>/v1/supplier/pricing/products/{supplierProductId}/initial-prices</x:v>
      </x:c>
      <x:c r="F23" s="17" t="str">
        <x:v>SUPPLIER_PRICING</x:v>
      </x:c>
      <x:c r="G23" s="17" t="str">
        <x:v>InitialPricesRequest</x:v>
      </x:c>
      <x:c r="H23" s="17" t="str">
        <x:v>InitialPricesResponse</x:v>
      </x:c>
      <x:c r="I23" s="17" t="str">
        <x:v>{success,data,error:{code,message,details?},requestId}</x:v>
      </x:c>
      <x:c r="J23" s="17" t="str">
        <x:v>PRICE_INVALID|SUPPLIER_SCOPE_FORBIDDEN</x:v>
      </x:c>
      <x:c r="K23" s="17" t="str">
        <x:v>Idempotency-Key</x:v>
      </x:c>
      <x:c r="L23" s="17" t="str">
        <x:v>ROLE_AND_SUPPLIER_SCOPE_WHITELIST; DTO白名单；对象归属校验先于查询结果返回</x:v>
      </x:c>
      <x:c r="M23" s="17" t="str">
        <x:v>金额字段整数分；服务端重算；禁止客户端提交供应价或结算快照</x:v>
      </x:c>
      <x:c r="N23" s="17" t="str">
        <x:v>P0-008</x:v>
      </x:c>
      <x:c r="O23" s="17" t="str">
        <x:v>PLANNED</x:v>
      </x:c>
      <x:c r="P23" s="17" t="str">
        <x:v>PLANNED</x:v>
      </x:c>
      <x:c r="Q23" s="17" t="str">
        <x:v>PLANNED</x:v>
      </x:c>
      <x:c r="R23" s="17" t="str">
        <x:v>TO_BE_CREATED</x:v>
      </x:c>
      <x:c r="S23" s="17" t="str">
        <x:v>UNASSIGNED</x:v>
      </x:c>
      <x:c r="T23" s="17" t="str">
        <x:v>路径为执行初始契约；阶段M*-000冻结后方可编码</x:v>
      </x:c>
    </x:row>
    <x:row r="24" ht="23" customHeight="1">
      <x:c r="A24" s="17" t="str">
        <x:v>API-023</x:v>
      </x:c>
      <x:c r="B24" s="17" t="str">
        <x:v>M2</x:v>
      </x:c>
      <x:c r="C24" s="17" t="str">
        <x:v>supplier-pricing</x:v>
      </x:c>
      <x:c r="D24" s="17"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17"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17" t="str">
        <x:v>PLANNED</x:v>
      </x:c>
      <x:c r="P24" s="17" t="str">
        <x:v>PLANNED</x:v>
      </x:c>
      <x:c r="Q24" s="17" t="str">
        <x:v>PLANNED</x:v>
      </x:c>
      <x:c r="R24" s="17" t="str">
        <x:v>TO_BE_CREATED</x:v>
      </x:c>
      <x:c r="S24" s="17" t="str">
        <x:v>UNASSIGNED</x:v>
      </x:c>
      <x:c r="T24" s="17" t="str">
        <x:v>路径为执行初始契约；阶段M*-000冻结后方可编码</x:v>
      </x:c>
    </x:row>
    <x:row r="25" ht="23" customHeight="1">
      <x:c r="A25" s="17" t="str">
        <x:v>API-024</x:v>
      </x:c>
      <x:c r="B25" s="17" t="str">
        <x:v>M2</x:v>
      </x:c>
      <x:c r="C25" s="17" t="str">
        <x:v>supplier-pricing</x:v>
      </x:c>
      <x:c r="D25" s="17"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17"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17" t="str">
        <x:v>PLANNED</x:v>
      </x:c>
      <x:c r="P25" s="17" t="str">
        <x:v>PLANNED</x:v>
      </x:c>
      <x:c r="Q25" s="17" t="str">
        <x:v>PLANNED</x:v>
      </x:c>
      <x:c r="R25" s="17" t="str">
        <x:v>TO_BE_CREATED</x:v>
      </x:c>
      <x:c r="S25" s="17" t="str">
        <x:v>UNASSIGNED</x:v>
      </x:c>
      <x:c r="T25" s="17" t="str">
        <x:v>路径为执行初始契约；阶段M*-000冻结后方可编码</x:v>
      </x:c>
    </x:row>
    <x:row r="26" ht="23" customHeight="1">
      <x:c r="A26" s="17" t="str">
        <x:v>API-025</x:v>
      </x:c>
      <x:c r="B26" s="17" t="str">
        <x:v>M2</x:v>
      </x:c>
      <x:c r="C26" s="17" t="str">
        <x:v>company-product-review</x:v>
      </x:c>
      <x:c r="D26" s="17" t="str">
        <x:v>POST</x:v>
      </x:c>
      <x:c r="E26" s="17" t="str">
        <x:v>/v1/company/product-material-reviews/{taskId}/decision</x:v>
      </x:c>
      <x:c r="F26" s="17" t="str">
        <x:v>COMPANY_PRODUCT_OPS</x:v>
      </x:c>
      <x:c r="G26" s="17" t="str">
        <x:v>ReviewDecisionRequest</x:v>
      </x:c>
      <x:c r="H26" s="17" t="str">
        <x:v>ApprovalTaskResponse</x:v>
      </x:c>
      <x:c r="I26" s="17" t="str">
        <x:v>{success,data,error:{code,message,details?},requestId}</x:v>
      </x:c>
      <x:c r="J26" s="17" t="str">
        <x:v>APPROVAL_VERSION_CONFLICT</x:v>
      </x:c>
      <x:c r="K26" s="17" t="str">
        <x:v>Idempotency-Key</x:v>
      </x:c>
      <x:c r="L26" s="17" t="str">
        <x:v>NEVER_RETURN; DTO白名单；对象归属校验先于查询结果返回</x:v>
      </x:c>
      <x:c r="M26" s="17" t="str">
        <x:v>金额字段整数分；服务端重算；禁止客户端提交供应价或结算快照</x:v>
      </x:c>
      <x:c r="N26" s="17" t="str">
        <x:v>P0-007</x:v>
      </x:c>
      <x:c r="O26" s="17" t="str">
        <x:v>PLANNED</x:v>
      </x:c>
      <x:c r="P26" s="17" t="str">
        <x:v>PLANNED</x:v>
      </x:c>
      <x:c r="Q26" s="17" t="str">
        <x:v>PLANNED</x:v>
      </x:c>
      <x:c r="R26" s="17" t="str">
        <x:v>TO_BE_CREATED</x:v>
      </x:c>
      <x:c r="S26" s="17" t="str">
        <x:v>UNASSIGNED</x:v>
      </x:c>
      <x:c r="T26" s="17" t="str">
        <x:v>路径为执行初始契约；阶段M*-000冻结后方可编码</x:v>
      </x:c>
    </x:row>
    <x:row r="27" ht="23" customHeight="1">
      <x:c r="A27" s="17" t="str">
        <x:v>API-026</x:v>
      </x:c>
      <x:c r="B27" s="17" t="str">
        <x:v>M2</x:v>
      </x:c>
      <x:c r="C27" s="17" t="str">
        <x:v>company-price-review</x:v>
      </x:c>
      <x:c r="D27" s="17" t="str">
        <x:v>POST</x:v>
      </x:c>
      <x:c r="E27" s="17" t="str">
        <x:v>/v1/company/price-reviews/{taskId}/decision</x:v>
      </x:c>
      <x:c r="F27" s="17" t="str">
        <x:v>COMPANY_PRICE_REVIEW</x:v>
      </x:c>
      <x:c r="G27" s="17" t="str">
        <x:v>ReviewDecisionRequest</x:v>
      </x:c>
      <x:c r="H27" s="17" t="str">
        <x:v>ApprovalTaskResponse</x:v>
      </x:c>
      <x:c r="I27" s="17" t="str">
        <x:v>{success,data,error:{code,message,details?},requestId}</x:v>
      </x:c>
      <x:c r="J27" s="17" t="str">
        <x:v>APPROVAL_VERSION_CONFLICT|SELF_APPROVAL_FORBIDDEN</x:v>
      </x:c>
      <x:c r="K27" s="17"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17" t="str">
        <x:v>PLANNED</x:v>
      </x:c>
      <x:c r="P27" s="17" t="str">
        <x:v>PLANNED</x:v>
      </x:c>
      <x:c r="Q27" s="17" t="str">
        <x:v>PLANNED</x:v>
      </x:c>
      <x:c r="R27" s="17" t="str">
        <x:v>TO_BE_CREATED</x:v>
      </x:c>
      <x:c r="S27" s="17" t="str">
        <x:v>UNASSIGNED</x:v>
      </x:c>
      <x:c r="T27" s="17" t="str">
        <x:v>路径为执行初始契约；阶段M*-000冻结后方可编码</x:v>
      </x:c>
    </x:row>
    <x:row r="28" ht="23" customHeight="1">
      <x:c r="A28" s="17" t="str">
        <x:v>API-027</x:v>
      </x:c>
      <x:c r="B28" s="17" t="str">
        <x:v>M2</x:v>
      </x:c>
      <x:c r="C28" s="17" t="str">
        <x:v>inventory</x:v>
      </x:c>
      <x:c r="D28" s="17"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17" t="str">
        <x:v>NONE</x:v>
      </x:c>
      <x:c r="L28" s="17" t="str">
        <x:v>NEVER_RETURN; DTO白名单；对象归属校验先于查询结果返回</x:v>
      </x:c>
      <x:c r="M28" s="17" t="str">
        <x:v>金额字段整数分；服务端重算；禁止客户端提交供应价或结算快照</x:v>
      </x:c>
      <x:c r="N28" s="17" t="str">
        <x:v>P0-023,P0-063</x:v>
      </x:c>
      <x:c r="O28" s="17" t="str">
        <x:v>PLANNED</x:v>
      </x:c>
      <x:c r="P28" s="17" t="str">
        <x:v>PLANNED</x:v>
      </x:c>
      <x:c r="Q28" s="17" t="str">
        <x:v>PLANNED</x:v>
      </x:c>
      <x:c r="R28" s="17" t="str">
        <x:v>TO_BE_CREATED</x:v>
      </x:c>
      <x:c r="S28" s="17" t="str">
        <x:v>UNASSIGNED</x:v>
      </x:c>
      <x:c r="T28" s="17" t="str">
        <x:v>路径为执行初始契约；阶段M*-000冻结后方可编码</x:v>
      </x:c>
    </x:row>
    <x:row r="29" ht="23" customHeight="1">
      <x:c r="A29" s="17" t="str">
        <x:v>API-028</x:v>
      </x:c>
      <x:c r="B29" s="17" t="str">
        <x:v>M2</x:v>
      </x:c>
      <x:c r="C29" s="17" t="str">
        <x:v>inventory</x:v>
      </x:c>
      <x:c r="D29" s="17"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17" t="str">
        <x:v>Idempotency-Key</x:v>
      </x:c>
      <x:c r="L29" s="17" t="str">
        <x:v>NEVER_RETURN; DTO白名单；对象归属校验先于查询结果返回</x:v>
      </x:c>
      <x:c r="M29" s="17" t="str">
        <x:v>金额字段整数分；服务端重算；禁止客户端提交供应价或结算快照</x:v>
      </x:c>
      <x:c r="N29" s="17" t="str">
        <x:v>P0-023,P0-063</x:v>
      </x:c>
      <x:c r="O29" s="17" t="str">
        <x:v>PLANNED</x:v>
      </x:c>
      <x:c r="P29" s="17" t="str">
        <x:v>PLANNED</x:v>
      </x:c>
      <x:c r="Q29" s="17" t="str">
        <x:v>PLANNED</x:v>
      </x:c>
      <x:c r="R29" s="17" t="str">
        <x:v>TO_BE_CREATED</x:v>
      </x:c>
      <x:c r="S29" s="17" t="str">
        <x:v>UNASSIGNED</x:v>
      </x:c>
      <x:c r="T29" s="17" t="str">
        <x:v>路径为执行初始契约；阶段M*-000冻结后方可编码</x:v>
      </x:c>
    </x:row>
    <x:row r="30" ht="23" customHeight="1">
      <x:c r="A30" s="17" t="str">
        <x:v>API-029</x:v>
      </x:c>
      <x:c r="B30" s="17" t="str">
        <x:v>M3</x:v>
      </x:c>
      <x:c r="C30" s="17" t="str">
        <x:v>catalog</x:v>
      </x:c>
      <x:c r="D30" s="17"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17" t="str">
        <x:v>NONE</x:v>
      </x:c>
      <x:c r="L30" s="17" t="str">
        <x:v>NEVER_RETURN; DTO白名单；对象归属校验先于查询结果返回</x:v>
      </x:c>
      <x:c r="M30" s="17" t="str">
        <x:v>金额字段整数分；服务端重算；禁止客户端提交供应价或结算快照</x:v>
      </x:c>
      <x:c r="N30" s="17" t="str">
        <x:v>P0-020,P0-078,P0-087</x:v>
      </x:c>
      <x:c r="O30" s="17" t="str">
        <x:v>PLANNED</x:v>
      </x:c>
      <x:c r="P30" s="17" t="str">
        <x:v>PLANNED</x:v>
      </x:c>
      <x:c r="Q30" s="17" t="str">
        <x:v>PLANNED</x:v>
      </x:c>
      <x:c r="R30" s="17" t="str">
        <x:v>TO_BE_CREATED</x:v>
      </x:c>
      <x:c r="S30" s="17" t="str">
        <x:v>UNASSIGNED</x:v>
      </x:c>
      <x:c r="T30" s="17" t="str">
        <x:v>路径为执行初始契约；阶段M*-000冻结后方可编码</x:v>
      </x:c>
    </x:row>
    <x:row r="31" ht="23" customHeight="1">
      <x:c r="A31" s="17" t="str">
        <x:v>API-030</x:v>
      </x:c>
      <x:c r="B31" s="17" t="str">
        <x:v>M3</x:v>
      </x:c>
      <x:c r="C31" s="17" t="str">
        <x:v>catalog</x:v>
      </x:c>
      <x:c r="D31" s="17" t="str">
        <x:v>GET</x:v>
      </x:c>
      <x:c r="E31" s="17" t="str">
        <x:v>/v1/catalog/products/{productId}</x:v>
      </x:c>
      <x:c r="F31" s="17" t="str">
        <x:v>PUBLIC_OR_AUTHENTICATED</x:v>
      </x:c>
      <x:c r="G31" s="17" t="str">
        <x:v>CatalogContextQuery</x:v>
      </x:c>
      <x:c r="H31" s="17" t="str">
        <x:v>PublicProductDetailResponse</x:v>
      </x:c>
      <x:c r="I31" s="17" t="str">
        <x:v>{success,data,error:{code,message,details?},requestId}</x:v>
      </x:c>
      <x:c r="J31" s="17" t="str">
        <x:v>PRODUCT_NOT_SALEABLE</x:v>
      </x:c>
      <x:c r="K31" s="17" t="str">
        <x:v>NONE</x:v>
      </x:c>
      <x:c r="L31" s="17" t="str">
        <x:v>NEVER_RETURN; DTO白名单；对象归属校验先于查询结果返回</x:v>
      </x:c>
      <x:c r="M31" s="17" t="str">
        <x:v>金额字段整数分；服务端重算；禁止客户端提交供应价或结算快照</x:v>
      </x:c>
      <x:c r="N31" s="17" t="str">
        <x:v>P0-021,P0-088</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API-031</x:v>
      </x:c>
      <x:c r="B32" s="17" t="str">
        <x:v>M3</x:v>
      </x:c>
      <x:c r="C32" s="17" t="str">
        <x:v>catalog</x:v>
      </x:c>
      <x:c r="D32" s="17"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x:v>
      </x:c>
      <x:c r="K32" s="17" t="str">
        <x:v>NONE</x:v>
      </x:c>
      <x:c r="L32" s="17" t="str">
        <x:v>NEVER_RETURN; DTO白名单；对象归属校验先于查询结果返回</x:v>
      </x:c>
      <x:c r="M32" s="17" t="str">
        <x:v>金额字段整数分；服务端重算；禁止客户端提交供应价或结算快照</x:v>
      </x:c>
      <x:c r="N32" s="17" t="str">
        <x:v>P0-010,P0-089</x:v>
      </x:c>
      <x:c r="O32" s="17" t="str">
        <x:v>PLANNED</x:v>
      </x:c>
      <x:c r="P32" s="17" t="str">
        <x:v>PLANNED</x:v>
      </x:c>
      <x:c r="Q32" s="17" t="str">
        <x:v>PLANNED</x:v>
      </x:c>
      <x:c r="R32" s="17" t="str">
        <x:v>TO_BE_CREATED</x:v>
      </x:c>
      <x:c r="S32" s="17" t="str">
        <x:v>UNASSIGNED</x:v>
      </x:c>
      <x:c r="T32" s="17" t="str">
        <x:v>路径为执行初始契约；阶段M*-000冻结后方可编码</x:v>
      </x:c>
    </x:row>
    <x:row r="33" ht="23" customHeight="1">
      <x:c r="A33" s="17" t="str">
        <x:v>API-032</x:v>
      </x:c>
      <x:c r="B33" s="17" t="str">
        <x:v>M3</x:v>
      </x:c>
      <x:c r="C33" s="17" t="str">
        <x:v>consumer-auth</x:v>
      </x:c>
      <x:c r="D33" s="17"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17" t="str">
        <x:v>loginNonce</x:v>
      </x:c>
      <x:c r="L33" s="17" t="str">
        <x:v>NEVER_RETURN; DTO白名单；对象归属校验先于查询结果返回</x:v>
      </x:c>
      <x:c r="M33" s="17" t="str">
        <x:v>金额字段整数分；服务端重算；禁止客户端提交供应价或结算快照</x:v>
      </x:c>
      <x:c r="N33" s="17" t="str">
        <x:v>P0-085</x:v>
      </x:c>
      <x:c r="O33" s="17" t="str">
        <x:v>PLANNED</x:v>
      </x:c>
      <x:c r="P33" s="17" t="str">
        <x:v>PLANNED</x:v>
      </x:c>
      <x:c r="Q33" s="17" t="str">
        <x:v>PLANNED</x:v>
      </x:c>
      <x:c r="R33" s="17" t="str">
        <x:v>TO_BE_CREATED</x:v>
      </x:c>
      <x:c r="S33" s="17" t="str">
        <x:v>UNASSIGNED</x:v>
      </x:c>
      <x:c r="T33" s="17" t="str">
        <x:v>路径为执行初始契约；阶段M*-000冻结后方可编码</x:v>
      </x:c>
    </x:row>
    <x:row r="34" ht="23" customHeight="1">
      <x:c r="A34" s="17" t="str">
        <x:v>API-033</x:v>
      </x:c>
      <x:c r="B34" s="17" t="str">
        <x:v>M3</x:v>
      </x:c>
      <x:c r="C34" s="17" t="str">
        <x:v>cart</x:v>
      </x:c>
      <x:c r="D34" s="17"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17" t="str">
        <x:v>NONE</x:v>
      </x:c>
      <x:c r="L34" s="17" t="str">
        <x:v>NEVER_RETURN; DTO白名单；对象归属校验先于查询结果返回</x:v>
      </x:c>
      <x:c r="M34" s="17" t="str">
        <x:v>金额字段整数分；服务端重算；禁止客户端提交供应价或结算快照</x:v>
      </x:c>
      <x:c r="N34" s="17" t="str">
        <x:v>P0-022,P0-090</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API-034</x:v>
      </x:c>
      <x:c r="B35" s="17" t="str">
        <x:v>M3</x:v>
      </x:c>
      <x:c r="C35" s="17" t="str">
        <x:v>cart</x:v>
      </x:c>
      <x:c r="D35" s="17"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17" t="str">
        <x:v>Idempotency-Key</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API-035</x:v>
      </x:c>
      <x:c r="B36" s="17" t="str">
        <x:v>M3</x:v>
      </x:c>
      <x:c r="C36" s="17" t="str">
        <x:v>checkout</x:v>
      </x:c>
      <x:c r="D36" s="17"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17" t="str">
        <x:v>previewKey</x:v>
      </x:c>
      <x:c r="L36" s="17" t="str">
        <x:v>NEVER_RETURN; DTO白名单；对象归属校验先于查询结果返回</x:v>
      </x:c>
      <x:c r="M36" s="17" t="str">
        <x:v>金额字段整数分；服务端重算；禁止客户端提交供应价或结算快照</x:v>
      </x:c>
      <x:c r="N36" s="17" t="str">
        <x:v>P0-022,P0-053,P0-091,P0-092</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API-036</x:v>
      </x:c>
      <x:c r="B37" s="17" t="str">
        <x:v>M3</x:v>
      </x:c>
      <x:c r="C37" s="17" t="str">
        <x:v>orders</x:v>
      </x:c>
      <x:c r="D37" s="17"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17"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API-037</x:v>
      </x:c>
      <x:c r="B38" s="17" t="str">
        <x:v>M3</x:v>
      </x:c>
      <x:c r="C38" s="17" t="str">
        <x:v>orders</x:v>
      </x:c>
      <x:c r="D38" s="17"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17" t="str">
        <x:v>NONE</x:v>
      </x:c>
      <x:c r="L38" s="17" t="str">
        <x:v>NEVER_RETURN; DTO白名单；对象归属校验先于查询结果返回</x:v>
      </x:c>
      <x:c r="M38" s="17" t="str">
        <x:v>金额字段整数分；服务端重算；禁止客户端提交供应价或结算快照</x:v>
      </x:c>
      <x:c r="N38" s="17" t="str">
        <x:v>P0-094,P0-095</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API-038</x:v>
      </x:c>
      <x:c r="B39" s="17" t="str">
        <x:v>M3</x:v>
      </x:c>
      <x:c r="C39" s="17" t="str">
        <x:v>welfare-card</x:v>
      </x:c>
      <x:c r="D39" s="17"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17" t="str">
        <x:v>Idempotency-Key</x:v>
      </x:c>
      <x:c r="L39" s="17" t="str">
        <x:v>NEVER_RETURN; DTO白名单；对象归属校验先于查询结果返回</x:v>
      </x:c>
      <x:c r="M39" s="17" t="str">
        <x:v>金额字段整数分；服务端重算；禁止客户端提交供应价或结算快照</x:v>
      </x:c>
      <x:c r="N39" s="17" t="str">
        <x:v>P0-052</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API-039</x:v>
      </x:c>
      <x:c r="B40" s="17" t="str">
        <x:v>M3</x:v>
      </x:c>
      <x:c r="C40" s="17" t="str">
        <x:v>welfare-card</x:v>
      </x:c>
      <x:c r="D40" s="17"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17" t="str">
        <x:v>NONE</x:v>
      </x:c>
      <x:c r="L40" s="17" t="str">
        <x:v>NEVER_RETURN; DTO白名单；对象归属校验先于查询结果返回</x:v>
      </x:c>
      <x:c r="M40" s="17" t="str">
        <x:v>金额字段整数分；服务端重算；禁止客户端提交供应价或结算快照</x:v>
      </x:c>
      <x:c r="N40" s="17" t="str">
        <x:v>P0-053,P0-054,P0-092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API-040</x:v>
      </x:c>
      <x:c r="B41" s="17" t="str">
        <x:v>M3</x:v>
      </x:c>
      <x:c r="C41" s="17" t="str">
        <x:v>welfare-card</x:v>
      </x:c>
      <x:c r="D41" s="17"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17" t="str">
        <x:v>NONE</x:v>
      </x:c>
      <x:c r="L41" s="17" t="str">
        <x:v>NEVER_RETURN; DTO白名单；对象归属校验先于查询结果返回</x:v>
      </x:c>
      <x:c r="M41" s="17" t="str">
        <x:v>金额字段整数分；服务端重算；禁止客户端提交供应价或结算快照</x:v>
      </x:c>
      <x:c r="N41" s="17" t="str">
        <x:v>P0-059,P0-097</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API-041</x:v>
      </x:c>
      <x:c r="B42" s="17" t="str">
        <x:v>M3</x:v>
      </x:c>
      <x:c r="C42" s="17" t="str">
        <x:v>payments</x:v>
      </x:c>
      <x:c r="D42" s="17"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17" t="str">
        <x:v>Idempotency-Key</x:v>
      </x:c>
      <x:c r="L42" s="17" t="str">
        <x:v>NEVER_RETURN; DTO白名单；对象归属校验先于查询结果返回</x:v>
      </x:c>
      <x:c r="M42" s="17" t="str">
        <x:v>金额字段整数分；服务端重算；禁止客户端提交供应价或结算快照</x:v>
      </x:c>
      <x:c r="N42" s="17" t="str">
        <x:v>P0-024,P0-056,P0-093</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API-042</x:v>
      </x:c>
      <x:c r="B43" s="17" t="str">
        <x:v>M3</x:v>
      </x:c>
      <x:c r="C43" s="17" t="str">
        <x:v>payments</x:v>
      </x:c>
      <x:c r="D43" s="17"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17" t="str">
        <x:v>wechatTransactionId</x:v>
      </x:c>
      <x:c r="L43" s="17" t="str">
        <x:v>NEVER_RETURN; DTO白名单；对象归属校验先于查询结果返回</x:v>
      </x:c>
      <x:c r="M43" s="17" t="str">
        <x:v>金额字段整数分；服务端重算；禁止客户端提交供应价或结算快照</x:v>
      </x:c>
      <x:c r="N43" s="17" t="str">
        <x:v>P0-024,P0-056</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API-043</x:v>
      </x:c>
      <x:c r="B44" s="17" t="str">
        <x:v>M3</x:v>
      </x:c>
      <x:c r="C44" s="17" t="str">
        <x:v>refunds</x:v>
      </x:c>
      <x:c r="D44" s="17"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17" t="str">
        <x:v>Idempotency-Key</x:v>
      </x:c>
      <x:c r="L44" s="17" t="str">
        <x:v>NEVER_RETURN; DTO白名单；对象归属校验先于查询结果返回</x:v>
      </x:c>
      <x:c r="M44" s="17" t="str">
        <x:v>金额字段整数分；服务端重算；禁止客户端提交供应价或结算快照</x:v>
      </x:c>
      <x:c r="N44" s="17" t="str">
        <x:v>P0-026,P0-058,P0-096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API-044</x:v>
      </x:c>
      <x:c r="B45" s="17" t="str">
        <x:v>M3</x:v>
      </x:c>
      <x:c r="C45" s="17" t="str">
        <x:v>enterprise-auth</x:v>
      </x:c>
      <x:c r="D45" s="17"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17" t="str">
        <x:v>Idempotency-Key</x:v>
      </x:c>
      <x:c r="L45" s="17" t="str">
        <x:v>NEVER_RETURN; DTO白名单；对象归属校验先于查询结果返回</x:v>
      </x:c>
      <x:c r="M45" s="17" t="str">
        <x:v>金额字段整数分；服务端重算；禁止客户端提交供应价或结算快照</x:v>
      </x:c>
      <x:c r="N45" s="17" t="str">
        <x:v>P0-028,P0-077</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API-045</x:v>
      </x:c>
      <x:c r="B46" s="17" t="str">
        <x:v>M3</x:v>
      </x:c>
      <x:c r="C46" s="17" t="str">
        <x:v>enterprise-auth</x:v>
      </x:c>
      <x:c r="D46" s="17"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17" t="str">
        <x:v>requestId</x:v>
      </x:c>
      <x:c r="L46" s="17" t="str">
        <x:v>NEVER_RETURN; DTO白名单；对象归属校验先于查询结果返回</x:v>
      </x:c>
      <x:c r="M46" s="17" t="str">
        <x:v>金额字段整数分；服务端重算；禁止客户端提交供应价或结算快照</x:v>
      </x:c>
      <x:c r="N46" s="17" t="str">
        <x:v>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API-046</x:v>
      </x:c>
      <x:c r="B47" s="17" t="str">
        <x:v>M3</x:v>
      </x:c>
      <x:c r="C47" s="17" t="str">
        <x:v>company-enterprise-review</x:v>
      </x:c>
      <x:c r="D47" s="17"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17" t="str">
        <x:v>Idempotency-Key</x:v>
      </x:c>
      <x:c r="L47" s="17" t="str">
        <x:v>NEVER_RETURN; DTO白名单；对象归属校验先于查询结果返回</x:v>
      </x:c>
      <x:c r="M47" s="17" t="str">
        <x:v>金额字段整数分；服务端重算；禁止客户端提交供应价或结算快照</x:v>
      </x:c>
      <x:c r="N47" s="17" t="str">
        <x:v>P0-028,P0-077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API-047</x:v>
      </x:c>
      <x:c r="B48" s="17" t="str">
        <x:v>M3</x:v>
      </x:c>
      <x:c r="C48" s="17" t="str">
        <x:v>enterprise-procurement</x:v>
      </x:c>
      <x:c r="D48" s="17"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17" t="str">
        <x:v>NONE</x:v>
      </x:c>
      <x:c r="L48" s="17" t="str">
        <x:v>NEVER_RETURN; DTO白名单；对象归属校验先于查询结果返回</x:v>
      </x:c>
      <x:c r="M48" s="17" t="str">
        <x:v>金额字段整数分；服务端重算；禁止客户端提交供应价或结算快照</x:v>
      </x:c>
      <x:c r="N48" s="17" t="str">
        <x:v>P0-029,P0-061,P0-078</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API-048</x:v>
      </x:c>
      <x:c r="B49" s="17" t="str">
        <x:v>M3</x:v>
      </x:c>
      <x:c r="C49" s="17" t="str">
        <x:v>enterprise-procurement</x:v>
      </x:c>
      <x:c r="D49" s="17"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17" t="str">
        <x:v>Idempotency-Key</x:v>
      </x:c>
      <x:c r="L49" s="17" t="str">
        <x:v>NEVER_RETURN; DTO白名单；对象归属校验先于查询结果返回</x:v>
      </x:c>
      <x:c r="M49" s="17" t="str">
        <x:v>金额字段整数分；服务端重算；禁止客户端提交供应价或结算快照</x:v>
      </x:c>
      <x:c r="N49" s="17" t="str">
        <x:v>P0-029,P0-062,P0-079</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API-049</x:v>
      </x:c>
      <x:c r="B50" s="17" t="str">
        <x:v>M3</x:v>
      </x:c>
      <x:c r="C50" s="17" t="str">
        <x:v>enterprise-procurement</x:v>
      </x:c>
      <x:c r="D50" s="17"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17" t="str">
        <x:v>NONE</x:v>
      </x:c>
      <x:c r="L50" s="17" t="str">
        <x:v>NEVER_RETURN; DTO白名单；对象归属校验先于查询结果返回</x:v>
      </x:c>
      <x:c r="M50" s="17" t="str">
        <x:v>金额字段整数分；服务端重算；禁止客户端提交供应价或结算快照</x:v>
      </x:c>
      <x:c r="N50" s="17" t="str">
        <x:v>P0-080,P0-117,P0-119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API-050</x:v>
      </x:c>
      <x:c r="B51" s="17" t="str">
        <x:v>M3</x:v>
      </x:c>
      <x:c r="C51" s="17" t="str">
        <x:v>enterprise-remittance</x:v>
      </x:c>
      <x:c r="D51" s="17"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17" t="str">
        <x:v>Idempotency-Key</x:v>
      </x:c>
      <x:c r="L51" s="17" t="str">
        <x:v>NEVER_RETURN; DTO白名单；对象归属校验先于查询结果返回</x:v>
      </x:c>
      <x:c r="M51" s="17" t="str">
        <x:v>金额字段整数分；服务端重算；禁止客户端提交供应价或结算快照</x:v>
      </x:c>
      <x:c r="N51" s="17" t="str">
        <x:v>P0-025,P0-029,P0-079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API-051</x:v>
      </x:c>
      <x:c r="B52" s="17" t="str">
        <x:v>M3</x:v>
      </x:c>
      <x:c r="C52" s="17" t="str">
        <x:v>enterprise-remittance</x:v>
      </x:c>
      <x:c r="D52" s="17"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API-052</x:v>
      </x:c>
      <x:c r="B53" s="17" t="str">
        <x:v>M3</x:v>
      </x:c>
      <x:c r="C53" s="17" t="str">
        <x:v>supplier-fulfillment</x:v>
      </x:c>
      <x:c r="D53" s="17"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17" t="str">
        <x:v>NONE</x:v>
      </x:c>
      <x:c r="L53" s="17" t="str">
        <x:v>NEVER_RETURN; DTO白名单；对象归属校验先于查询结果返回</x:v>
      </x:c>
      <x:c r="M53" s="17" t="str">
        <x:v>金额字段整数分；服务端重算；禁止客户端提交供应价或结算快照</x:v>
      </x:c>
      <x:c r="N53" s="17" t="str">
        <x:v>P0-031</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API-053</x:v>
      </x:c>
      <x:c r="B54" s="17" t="str">
        <x:v>M3</x:v>
      </x:c>
      <x:c r="C54" s="17" t="str">
        <x:v>supplier-fulfillment</x:v>
      </x:c>
      <x:c r="D54" s="17"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17" t="str">
        <x:v>Idempotency-Key</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API-054</x:v>
      </x:c>
      <x:c r="B55" s="17" t="str">
        <x:v>M4</x:v>
      </x:c>
      <x:c r="C55" s="17" t="str">
        <x:v>runner-auth</x:v>
      </x:c>
      <x:c r="D55" s="17"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17" t="str">
        <x:v>Idempotency-Key</x:v>
      </x:c>
      <x:c r="L55" s="17" t="str">
        <x:v>NEVER_RETURN; DTO白名单；对象归属校验先于查询结果返回</x:v>
      </x:c>
      <x:c r="M55" s="17" t="str">
        <x:v>N/A</x:v>
      </x:c>
      <x:c r="N55" s="17" t="str">
        <x:v>P0-100,P0-101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API-055</x:v>
      </x:c>
      <x:c r="B56" s="17" t="str">
        <x:v>M4</x:v>
      </x:c>
      <x:c r="C56" s="17" t="str">
        <x:v>runner-auth</x:v>
      </x:c>
      <x:c r="D56" s="17"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17" t="str">
        <x:v>loginNonce</x:v>
      </x:c>
      <x:c r="L56" s="17" t="str">
        <x:v>NEVER_RETURN; DTO白名单；对象归属校验先于查询结果返回</x:v>
      </x:c>
      <x:c r="M56" s="17" t="str">
        <x:v>N/A</x:v>
      </x:c>
      <x:c r="N56" s="17" t="str">
        <x:v>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API-056</x:v>
      </x:c>
      <x:c r="B57" s="17" t="str">
        <x:v>M4</x:v>
      </x:c>
      <x:c r="C57" s="17" t="str">
        <x:v>company-runner-review</x:v>
      </x:c>
      <x:c r="D57" s="17"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17" t="str">
        <x:v>Idempotency-Key</x:v>
      </x:c>
      <x:c r="L57" s="17" t="str">
        <x:v>NEVER_RETURN; DTO白名单；对象归属校验先于查询结果返回</x:v>
      </x:c>
      <x:c r="M57" s="17" t="str">
        <x:v>N/A</x:v>
      </x:c>
      <x:c r="N57" s="17" t="str">
        <x:v>P0-100</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API-057</x:v>
      </x:c>
      <x:c r="B58" s="17" t="str">
        <x:v>M4</x:v>
      </x:c>
      <x:c r="C58" s="17" t="str">
        <x:v>runner-tasks</x:v>
      </x:c>
      <x:c r="D58" s="17"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17" t="str">
        <x:v>NONE</x:v>
      </x:c>
      <x:c r="L58" s="17" t="str">
        <x:v>NEVER_RETURN; DTO白名单；对象归属校验先于查询结果返回</x:v>
      </x:c>
      <x:c r="M58" s="17" t="str">
        <x:v>N/A</x:v>
      </x:c>
      <x:c r="N58" s="17" t="str">
        <x:v>P0-103,P0-104</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API-058</x:v>
      </x:c>
      <x:c r="B59" s="17" t="str">
        <x:v>M4</x:v>
      </x:c>
      <x:c r="C59" s="17" t="str">
        <x:v>runner-tasks</x:v>
      </x:c>
      <x:c r="D59" s="17"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17" t="str">
        <x:v>Idempotency-Key</x:v>
      </x:c>
      <x:c r="L59" s="17" t="str">
        <x:v>NEVER_RETURN; DTO白名单；对象归属校验先于查询结果返回</x:v>
      </x:c>
      <x:c r="M59" s="17" t="str">
        <x:v>N/A</x:v>
      </x:c>
      <x:c r="N59" s="17" t="str">
        <x:v>P0-105</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API-059</x:v>
      </x:c>
      <x:c r="B60" s="17" t="str">
        <x:v>M4</x:v>
      </x:c>
      <x:c r="C60" s="17" t="str">
        <x:v>runner-tasks</x:v>
      </x:c>
      <x:c r="D60" s="17"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17" t="str">
        <x:v>NONE</x:v>
      </x:c>
      <x:c r="L60" s="17" t="str">
        <x:v>NEVER_RETURN; DTO白名单；对象归属校验先于查询结果返回</x:v>
      </x:c>
      <x:c r="M60" s="17" t="str">
        <x:v>N/A</x:v>
      </x:c>
      <x:c r="N60" s="17" t="str">
        <x:v>P0-106,P0-108,P0-111</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API-060</x:v>
      </x:c>
      <x:c r="B61" s="17" t="str">
        <x:v>M4</x:v>
      </x:c>
      <x:c r="C61" s="17" t="str">
        <x:v>runner-tasks</x:v>
      </x:c>
      <x:c r="D61" s="17"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17" t="str">
        <x:v>Idempotency-Key</x:v>
      </x:c>
      <x:c r="L61" s="17" t="str">
        <x:v>NEVER_RETURN; DTO白名单；对象归属校验先于查询结果返回</x:v>
      </x:c>
      <x:c r="M61" s="17" t="str">
        <x:v>N/A</x:v>
      </x:c>
      <x:c r="N61" s="17" t="str">
        <x:v>P0-107</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API-061</x:v>
      </x:c>
      <x:c r="B62" s="17" t="str">
        <x:v>M4</x:v>
      </x:c>
      <x:c r="C62" s="17" t="str">
        <x:v>runner-tasks</x:v>
      </x:c>
      <x:c r="D62" s="17"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17" t="str">
        <x:v>Idempotency-Key</x:v>
      </x:c>
      <x:c r="L62" s="17" t="str">
        <x:v>NEVER_RETURN; DTO白名单；对象归属校验先于查询结果返回</x:v>
      </x:c>
      <x:c r="M62" s="17" t="str">
        <x:v>N/A</x:v>
      </x:c>
      <x:c r="N62" s="17" t="str">
        <x:v>P0-109</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API-062</x:v>
      </x:c>
      <x:c r="B63" s="17" t="str">
        <x:v>M4</x:v>
      </x:c>
      <x:c r="C63" s="17" t="str">
        <x:v>runner-tasks</x:v>
      </x:c>
      <x:c r="D63" s="17"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17" t="str">
        <x:v>Idempotency-Key</x:v>
      </x:c>
      <x:c r="L63" s="17" t="str">
        <x:v>NEVER_RETURN; DTO白名单；对象归属校验先于查询结果返回</x:v>
      </x:c>
      <x:c r="M63" s="17" t="str">
        <x:v>N/A</x:v>
      </x:c>
      <x:c r="N63" s="17" t="str">
        <x:v>P0-108</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API-063</x:v>
      </x:c>
      <x:c r="B64" s="17" t="str">
        <x:v>M4</x:v>
      </x:c>
      <x:c r="C64" s="17" t="str">
        <x:v>company-logistics</x:v>
      </x:c>
      <x:c r="D64" s="17"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17" t="str">
        <x:v>Idempotency-Key</x:v>
      </x:c>
      <x:c r="L64" s="17" t="str">
        <x:v>NEVER_RETURN; DTO白名单；对象归属校验先于查询结果返回</x:v>
      </x:c>
      <x:c r="M64" s="17" t="str">
        <x:v>N/A</x:v>
      </x:c>
      <x:c r="N64" s="17" t="str">
        <x:v>P0-102,P0-103</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API-064</x:v>
      </x:c>
      <x:c r="B65" s="17" t="str">
        <x:v>M4</x:v>
      </x:c>
      <x:c r="C65" s="17" t="str">
        <x:v>company-logistics</x:v>
      </x:c>
      <x:c r="D65" s="17"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17" t="str">
        <x:v>Idempotency-Key</x:v>
      </x:c>
      <x:c r="L65" s="17" t="str">
        <x:v>NEVER_RETURN; DTO白名单；对象归属校验先于查询结果返回</x:v>
      </x:c>
      <x:c r="M65" s="17" t="str">
        <x:v>N/A</x:v>
      </x:c>
      <x:c r="N65" s="17" t="str">
        <x:v>P0-110</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API-065</x:v>
      </x:c>
      <x:c r="B66" s="17" t="str">
        <x:v>M4</x:v>
      </x:c>
      <x:c r="C66" s="17" t="str">
        <x:v>enterprise-logistics</x:v>
      </x:c>
      <x:c r="D66" s="17"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17" t="str">
        <x:v>Idempotency-Key</x:v>
      </x:c>
      <x:c r="L66" s="17" t="str">
        <x:v>NEVER_RETURN; DTO白名单；对象归属校验先于查询结果返回</x:v>
      </x:c>
      <x:c r="M66" s="17" t="str">
        <x:v>N/A</x:v>
      </x:c>
      <x:c r="N66" s="17" t="str">
        <x:v>P0-064,P0-115,P0-116</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API-066</x:v>
      </x:c>
      <x:c r="B67" s="17" t="str">
        <x:v>M4</x:v>
      </x:c>
      <x:c r="C67" s="17" t="str">
        <x:v>enterprise-logistics</x:v>
      </x:c>
      <x:c r="D67" s="17"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17" t="str">
        <x:v>Idempotency-Key</x:v>
      </x:c>
      <x:c r="L67" s="17" t="str">
        <x:v>NEVER_RETURN; DTO白名单；对象归属校验先于查询结果返回</x:v>
      </x:c>
      <x:c r="M67" s="17" t="str">
        <x:v>N/A</x:v>
      </x:c>
      <x:c r="N67" s="17" t="str">
        <x:v>P0-118</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API-067</x:v>
      </x:c>
      <x:c r="B68" s="17" t="str">
        <x:v>M4</x:v>
      </x:c>
      <x:c r="C68" s="17" t="str">
        <x:v>enterprise-logistics</x:v>
      </x:c>
      <x:c r="D68" s="17"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17" t="str">
        <x:v>Idempotency-Key</x:v>
      </x:c>
      <x:c r="L68" s="17" t="str">
        <x:v>NEVER_RETURN; DTO白名单；对象归属校验先于查询结果返回</x:v>
      </x:c>
      <x:c r="M68" s="17" t="str">
        <x:v>N/A</x:v>
      </x:c>
      <x:c r="N68" s="17" t="str">
        <x:v>P0-118,P0-119</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API-068</x:v>
      </x:c>
      <x:c r="B69" s="17" t="str">
        <x:v>M4</x:v>
      </x:c>
      <x:c r="C69" s="17" t="str">
        <x:v>enterprise-logistics</x:v>
      </x:c>
      <x:c r="D69" s="17"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17" t="str">
        <x:v>Idempotency-Key</x:v>
      </x:c>
      <x:c r="L69" s="17" t="str">
        <x:v>NEVER_RETURN; DTO白名单；对象归属校验先于查询结果返回</x:v>
      </x:c>
      <x:c r="M69" s="17" t="str">
        <x:v>N/A</x:v>
      </x:c>
      <x:c r="N69" s="17" t="str">
        <x:v>P0-117,P0-119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API-069</x:v>
      </x:c>
      <x:c r="B70" s="17" t="str">
        <x:v>M5</x:v>
      </x:c>
      <x:c r="C70" s="17" t="str">
        <x:v>aftersales</x:v>
      </x:c>
      <x:c r="D70" s="17"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17" t="str">
        <x:v>Idempotency-Key</x:v>
      </x:c>
      <x:c r="L70" s="17" t="str">
        <x:v>NEVER_RETURN; DTO白名单；对象归属校验先于查询结果返回</x:v>
      </x:c>
      <x:c r="M70" s="17" t="str">
        <x:v>金额字段整数分；服务端重算；禁止客户端提交供应价或结算快照</x:v>
      </x:c>
      <x:c r="N70" s="17" t="str">
        <x:v>P0-038,P0-096</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API-070</x:v>
      </x:c>
      <x:c r="B71" s="17" t="str">
        <x:v>M5</x:v>
      </x:c>
      <x:c r="C71" s="17" t="str">
        <x:v>aftersales</x:v>
      </x:c>
      <x:c r="D71" s="17"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17" t="str">
        <x:v>Idempotency-Key</x:v>
      </x:c>
      <x:c r="L71" s="17" t="str">
        <x:v>NEVER_RETURN; DTO白名单；对象归属校验先于查询结果返回</x:v>
      </x:c>
      <x:c r="M71" s="17" t="str">
        <x:v>金额字段整数分；服务端重算；禁止客户端提交供应价或结算快照</x:v>
      </x:c>
      <x:c r="N71" s="17" t="str">
        <x:v>P0-039</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API-071</x:v>
      </x:c>
      <x:c r="B72" s="17" t="str">
        <x:v>M5</x:v>
      </x:c>
      <x:c r="C72" s="17" t="str">
        <x:v>statements</x:v>
      </x:c>
      <x:c r="D72" s="17"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17"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API-072</x:v>
      </x:c>
      <x:c r="B73" s="17" t="str">
        <x:v>M5</x:v>
      </x:c>
      <x:c r="C73" s="17" t="str">
        <x:v>statements</x:v>
      </x:c>
      <x:c r="D73" s="17"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API-073</x:v>
      </x:c>
      <x:c r="B74" s="17" t="str">
        <x:v>M5</x:v>
      </x:c>
      <x:c r="C74" s="17" t="str">
        <x:v>statements</x:v>
      </x:c>
      <x:c r="D74" s="17"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API-074</x:v>
      </x:c>
      <x:c r="B75" s="17" t="str">
        <x:v>M5</x:v>
      </x:c>
      <x:c r="C75" s="17" t="str">
        <x:v>statements</x:v>
      </x:c>
      <x:c r="D75" s="17"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API-075</x:v>
      </x:c>
      <x:c r="B76" s="17" t="str">
        <x:v>M5</x:v>
      </x:c>
      <x:c r="C76" s="17" t="str">
        <x:v>portal</x:v>
      </x:c>
      <x:c r="D76" s="17"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17" t="str">
        <x:v>NONE</x:v>
      </x:c>
      <x:c r="L76" s="17" t="str">
        <x:v>NEVER_RETURN; DTO白名单；对象归属校验先于查询结果返回</x:v>
      </x:c>
      <x:c r="M76" s="17" t="str">
        <x:v>金额字段整数分；服务端重算；禁止客户端提交供应价或结算快照</x:v>
      </x:c>
      <x:c r="N76" s="17" t="str">
        <x:v>P0-027,P0-073,P0-075,P0-076,P0-082</x:v>
      </x:c>
      <x:c r="O76" s="17" t="str">
        <x:v>PLANNED</x:v>
      </x:c>
      <x:c r="P76" s="17" t="str">
        <x:v>PLANNED</x:v>
      </x:c>
      <x:c r="Q76" s="17" t="str">
        <x:v>PLANNED</x:v>
      </x:c>
      <x:c r="R76" s="17" t="str">
        <x:v>TO_BE_CREATED</x:v>
      </x:c>
      <x:c r="S76" s="17" t="str">
        <x:v>UNASSIGNED</x:v>
      </x:c>
      <x:c r="T76" s="17" t="str">
        <x:v>Next.js公开SSG/ISR数据源；仅返回PUBLISHED不可变revision；响应支持slug级失效且绝不含内部/供应价字段</x:v>
      </x:c>
    </x:row>
    <x:row r="77" ht="23" customHeight="1">
      <x:c r="A77" s="17" t="str">
        <x:v>API-076</x:v>
      </x:c>
      <x:c r="B77" s="17" t="str">
        <x:v>M5</x:v>
      </x:c>
      <x:c r="C77" s="17" t="str">
        <x:v>portal</x:v>
      </x:c>
      <x:c r="D77" s="17"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17" t="str">
        <x:v>Idempotency-Key</x:v>
      </x:c>
      <x:c r="L77" s="17" t="str">
        <x:v>NEVER_RETURN; DTO白名单；对象归属校验先于查询结果返回</x:v>
      </x:c>
      <x:c r="M77" s="17" t="str">
        <x:v>金额字段整数分；服务端重算；禁止客户端提交供应价或结算快照</x:v>
      </x:c>
      <x:c r="N77" s="17" t="str">
        <x:v>P0-074,P0-076,P0-082</x:v>
      </x:c>
      <x:c r="O77" s="17" t="str">
        <x:v>PLANNED</x:v>
      </x:c>
      <x:c r="P77" s="17" t="str">
        <x:v>PLANNED</x:v>
      </x:c>
      <x:c r="Q77" s="17" t="str">
        <x:v>PLANNED</x:v>
      </x:c>
      <x:c r="R77" s="17" t="str">
        <x:v>TO_BE_CREATED</x:v>
      </x:c>
      <x:c r="S77" s="17" t="str">
        <x:v>UNASSIGNED</x:v>
      </x:c>
      <x:c r="T77" s="17" t="str">
        <x:v>路径为执行初始契约；阶段M*-000冻结后方可编码</x:v>
      </x:c>
    </x:row>
    <x:row r="78" ht="23" customHeight="1">
      <x:c r="A78" s="17" t="str">
        <x:v>API-077</x:v>
      </x:c>
      <x:c r="B78" s="17" t="str">
        <x:v>M5</x:v>
      </x:c>
      <x:c r="C78" s="17" t="str">
        <x:v>portal-content</x:v>
      </x:c>
      <x:c r="D78" s="17"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17" t="str">
        <x:v>Idempotency-Key</x:v>
      </x:c>
      <x:c r="L78" s="17" t="str">
        <x:v>NEVER_RETURN; DTO白名单；对象归属校验先于查询结果返回</x:v>
      </x:c>
      <x:c r="M78" s="17" t="str">
        <x:v>金额字段整数分；服务端重算；禁止客户端提交供应价或结算快照</x:v>
      </x:c>
      <x:c r="N78" s="17" t="str">
        <x:v>P0-073,P0-082</x:v>
      </x:c>
      <x:c r="O78" s="17" t="str">
        <x:v>PLANNED</x:v>
      </x:c>
      <x:c r="P78" s="17" t="str">
        <x:v>PLANNED</x:v>
      </x:c>
      <x:c r="Q78" s="17" t="str">
        <x:v>PLANNED</x:v>
      </x:c>
      <x:c r="R78" s="17" t="str">
        <x:v>TO_BE_CREATED</x:v>
      </x:c>
      <x:c r="S78" s="17" t="str">
        <x:v>UNASSIGNED</x:v>
      </x:c>
      <x:c r="T78" s="17" t="str">
        <x:v>保存草稿不触发公开缓存；路径和DTO由生成契约类型约束</x:v>
      </x:c>
    </x:row>
    <x:row r="79" ht="23" customHeight="1">
      <x:c r="A79" s="17" t="str">
        <x:v>API-078</x:v>
      </x:c>
      <x:c r="B79" s="17" t="str">
        <x:v>M5</x:v>
      </x:c>
      <x:c r="C79" s="17" t="str">
        <x:v>portal-content</x:v>
      </x:c>
      <x:c r="D79" s="17"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发布/下线成功后发出受鉴权slug失效事件；失败可重试且不覆盖已发布revision；同一自然人双审规则按配置执行</x:v>
      </x:c>
    </x:row>
    <x:row r="80" ht="23" customHeight="1">
      <x:c r="A80" s="17" t="str">
        <x:v>API-079</x:v>
      </x:c>
      <x:c r="B80" s="17" t="str">
        <x:v>M5</x:v>
      </x:c>
      <x:c r="C80" s="17" t="str">
        <x:v>exports</x:v>
      </x:c>
      <x:c r="D80" s="17"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17" t="str">
        <x:v>Idempotency-Key</x:v>
      </x:c>
      <x:c r="L80" s="17" t="str">
        <x:v>NEVER_RETURN; DTO白名单；对象归属校验先于查询结果返回</x:v>
      </x:c>
      <x:c r="M80" s="17" t="str">
        <x:v>金额字段整数分；服务端重算；禁止客户端提交供应价或结算快照</x:v>
      </x:c>
      <x:c r="N80" s="17" t="str">
        <x:v>P0-045,P0-046,P0-072</x:v>
      </x:c>
      <x:c r="O80" s="17" t="str">
        <x:v>PLANNED</x:v>
      </x:c>
      <x:c r="P80" s="17" t="str">
        <x:v>PLANNED</x:v>
      </x:c>
      <x:c r="Q80" s="17" t="str">
        <x:v>PLANNED</x:v>
      </x:c>
      <x:c r="R80" s="17" t="str">
        <x:v>TO_BE_CREATED</x:v>
      </x:c>
      <x:c r="S80" s="17" t="str">
        <x:v>UNASSIGNED</x:v>
      </x:c>
      <x:c r="T80" s="17" t="str">
        <x:v>路径为执行初始契约；阶段M*-000冻结后方可编码</x:v>
      </x:c>
    </x:row>
    <x:row r="81" ht="23" customHeight="1">
      <x:c r="A81" s="18" t="str">
        <x:v>API-080</x:v>
      </x:c>
      <x:c r="B81" s="18" t="str">
        <x:v>M5</x:v>
      </x:c>
      <x:c r="C81" s="18" t="str">
        <x:v>exports</x:v>
      </x:c>
      <x:c r="D81" s="18"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18" t="str">
        <x:v>NONE</x:v>
      </x:c>
      <x:c r="L81" s="18" t="str">
        <x:v>NEVER_RETURN; DTO白名单；对象归属校验先于查询结果返回</x:v>
      </x:c>
      <x:c r="M81" s="18" t="str">
        <x:v>金额字段整数分；服务端重算；禁止客户端提交供应价或结算快照</x:v>
      </x:c>
      <x:c r="N81" s="18" t="str">
        <x:v>P0-045,P0-046</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API-081</x:v>
      </x:c>
      <x:c r="B82" s="189" t="str">
        <x:v>M1</x:v>
      </x:c>
      <x:c r="C82" s="189" t="str">
        <x:v>public-merchant</x:v>
      </x:c>
      <x:c r="D82" s="189" t="str">
        <x:v>GET</x:v>
      </x:c>
      <x:c r="E82" s="189" t="str">
        <x:v>/v1/public/merchant-profile</x:v>
      </x:c>
      <x:c r="F82" s="189" t="str">
        <x:v>PUBLIC</x:v>
      </x:c>
      <x:c r="G82" s="189" t="str">
        <x:v>PublicMerchantProfileQuery</x:v>
      </x:c>
      <x:c r="H82" s="189" t="str">
        <x:v>PublicMerchantProfileResponse</x:v>
      </x:c>
      <x:c r="I82" s="189" t="str">
        <x:v>PublicMerchantProfileResponse；错误={statusCode,code,message,details?,requestId}</x:v>
      </x:c>
      <x:c r="J82" s="189" t="str">
        <x:v>SELLER_IDENTITY_FORBIDDEN|PAYEE_FORBIDDEN|SINGLE_MERCHANT_VIOLATION</x:v>
      </x:c>
      <x:c r="K82" s="189" t="str">
        <x:v>NONE</x:v>
      </x:c>
      <x:c r="L82" s="189" t="str">
        <x:v>NEVER_RETURN；DTO白名单；wechatPayConfigRef/companyId/supplierId/status不返回；禁止客户端覆盖交易主体</x:v>
      </x:c>
      <x:c r="M82" s="189" t="str">
        <x:v>N/A</x:v>
      </x:c>
      <x:c r="N82" s="189" t="str">
        <x:v>P0-001</x:v>
      </x:c>
      <x:c r="O82" s="189" t="str">
        <x:v>GENERATED</x:v>
      </x:c>
      <x:c r="P82" s="189" t="str">
        <x:v>IMPLEMENTED</x:v>
      </x:c>
      <x:c r="Q82" s="189" t="str">
        <x:v>IMPLEMENTED</x:v>
      </x:c>
      <x:c r="R82" s="189" t="str">
        <x:v>apps/api/test/supertest/single-merchant-api.test.mjs；tests/contracts/m1-p001-single-merchant.contract.test.mjs</x:v>
      </x:c>
      <x:c r="S82" s="189" t="str">
        <x:v>CODEX</x:v>
      </x:c>
      <x:c r="T82" s="189" t="str">
        <x:v>M1-P001任务内契约细化；只读公开主体白名单；不实现交易/支付/退款阶段外能力</x:v>
      </x:c>
    </x:row>
    <x:row r="83">
      <x:c r="A83" t="str">
        <x:v>API-082</x:v>
      </x:c>
      <x:c r="B83" t="str">
        <x:v>M1</x:v>
      </x:c>
      <x:c r="C83" t="str">
        <x:v>company-auth</x:v>
      </x:c>
      <x:c r="D83" t="str">
        <x:v>GET</x:v>
      </x:c>
      <x:c r="E83" t="str">
        <x:v>/v1/company-auth/workspace/current</x:v>
      </x:c>
      <x:c r="F83" t="str">
        <x:v>COMPANY_FUNCTIONAL_ACCOUNT</x:v>
      </x:c>
      <x:c r="G83" t="str">
        <x:v>CompanyWorkspaceQueryDto</x:v>
      </x:c>
      <x:c r="H83" t="str">
        <x:v>CompanyWorkspaceResponseDto</x:v>
      </x:c>
      <x:c r="I83" t="str">
        <x:v>CompanyWorkspaceResponseDto；错误={statusCode,code,message,requestId}</x:v>
      </x:c>
      <x:c r="J83" t="str">
        <x:v>AUTHENTICATION_REQUIRED|AUTH_SESSION_REVOKED|WORKSPACE_FORBIDDEN|VALIDATION_FAILED</x:v>
      </x:c>
      <x:c r="K83" t="str">
        <x:v>NONE</x:v>
      </x:c>
      <x:c r="L83" t="str">
        <x:v>NEVER_RETURN；DTO仅返回当前职能code/name/pageId/workspaceRoute和单一menuItems；不返回companyId/identityId/token/supplyPrice</x:v>
      </x:c>
      <x:c r="M83" t="str">
        <x:v>N/A</x:v>
      </x:c>
      <x:c r="N83" t="str">
        <x:v>P0-067</x:v>
      </x:c>
      <x:c r="O83" t="str">
        <x:v>GENERATED</x:v>
      </x:c>
      <x:c r="P83" t="str">
        <x:v>IMPLEMENTED</x:v>
      </x:c>
      <x:c r="Q83" t="str">
        <x:v>IMPLEMENTED</x:v>
      </x:c>
      <x:c r="R83" t="str">
        <x:v>apps/api/test/supertest/company-workspace-api.test.mjs；tests/openapi/m1-p067-company-workspace-contract.test.mjs</x:v>
      </x:c>
      <x:c r="S83" t="str">
        <x:v>CODEX</x:v>
      </x:c>
      <x:c r="T83" t="str">
        <x:v>M1-P067任务内契约细化；Secure HttpOnly Cookie服务端解析；目标路由必须等于会话固定路由；切换后旧会话返回AUTH_SESSION_REVOKED</x:v>
      </x:c>
    </x:row>
    <x:row r="84">
      <x:c r="A84" t="str">
        <x:v>API-083</x:v>
      </x:c>
      <x:c r="B84" t="str">
        <x:v>M1</x:v>
      </x:c>
      <x:c r="C84" t="str">
        <x:v>company-auth</x:v>
      </x:c>
      <x:c r="D84" t="str">
        <x:v>GET</x:v>
      </x:c>
      <x:c r="E84" t="str">
        <x:v>/v1/company-auth/workspace/page</x:v>
      </x:c>
      <x:c r="F84" t="str">
        <x:v>COMPANY_FUNCTIONAL_ACCOUNT</x:v>
      </x:c>
      <x:c r="G84" t="str">
        <x:v>CompanyWorkspacePageQueryDto</x:v>
      </x:c>
      <x:c r="H84" t="str">
        <x:v>CompanyWorkspacePageResponseDto</x:v>
      </x:c>
      <x:c r="I84" t="str">
        <x:v>CompanyWorkspacePageResponseDto；错误={statusCode,code,message,requestId}</x:v>
      </x:c>
      <x:c r="J84" t="str">
        <x:v>AUTHENTICATION_REQUIRED|AUTH_SESSION_REVOKED|WORKSPACE_FORBIDDEN|DATA_SCOPE_FORBIDDEN|WORKSPACE_MODULE_NOT_FOUND|VALIDATION_FAILED</x:v>
      </x:c>
      <x:c r="K84" t="str">
        <x:v>NONE</x:v>
      </x:c>
      <x:c r="L84" t="str">
        <x:v>NEVER_RETURN；DTO仅返回服务端当前职能页面、筛选、模块目录、选中详情和交付时间线；禁止companyId/functionalAccountId/identityId/token/supplyPrice/supplierPayable/grossMargin/bankAccount</x:v>
      </x:c>
      <x:c r="M84" t="str">
        <x:v>N/A</x:v>
      </x:c>
      <x:c r="N84" t="str">
        <x:v>P0-068</x:v>
      </x:c>
      <x:c r="O84" t="str">
        <x:v>GENERATED</x:v>
      </x:c>
      <x:c r="P84" t="str">
        <x:v>IMPLEMENTED</x:v>
      </x:c>
      <x:c r="Q84" t="str">
        <x:v>IMPLEMENTED</x:v>
      </x:c>
      <x:c r="R84" t="str">
        <x:v>apps/api/test/supertest/company-workspace-page-api.test.mjs；tests/openapi/m1-p068-company-workspace-page-contract.test.mjs；tests/e2e/p0/p0-068-company-workspace-completeness.spec.ts</x:v>
      </x:c>
      <x:c r="S84" t="str">
        <x:v>CODEX</x:v>
      </x:c>
      <x:c r="T84" t="str">
        <x:v>M1-P068任务内契约细化；Secure HttpOnly Cookie服务端解析；route必须等于会话固定路由；客户端上下文覆盖字段先拒绝；十类职能目录互不泄露；M2-M5业务模块标记DEFERRED且不伪造记录</x:v>
      </x:c>
    </x:row>
    <x:row r="85">
      <x:c r="A85" t="str">
        <x:v>API-084</x:v>
      </x:c>
      <x:c r="B85" t="str">
        <x:v>M1</x:v>
      </x:c>
      <x:c r="C85" t="str">
        <x:v>supplier-auth</x:v>
      </x:c>
      <x:c r="D85" t="str">
        <x:v>GET</x:v>
      </x:c>
      <x:c r="E85" t="str">
        <x:v>/v1/supplier-auth/workspace/current</x:v>
      </x:c>
      <x:c r="F85" t="str">
        <x:v>SUPPLIER_FUNCTIONAL_ACCOUNT</x:v>
      </x:c>
      <x:c r="G85" t="str">
        <x:v>SupplierWorkspaceQueryDto</x:v>
      </x:c>
      <x:c r="H85" t="str">
        <x:v>SupplierWorkspaceResponseDto</x:v>
      </x:c>
      <x:c r="I85" t="str">
        <x:v>SupplierWorkspaceResponseDto；错误={statusCode,code,message,requestId}</x:v>
      </x:c>
      <x:c r="J85" t="str">
        <x:v>AUTHENTICATION_REQUIRED|AUTH_SESSION_REVOKED|WORKSPACE_FORBIDDEN|DATA_SCOPE_FORBIDDEN|VALIDATION_FAILED</x:v>
      </x:c>
      <x:c r="K85" t="str">
        <x:v>NONE</x:v>
      </x:c>
      <x:c r="L85" t="str">
        <x:v>NEVER_RETURN；DTO仅返回当前职能code/name/pageId/workspaceRoute和单一menuItems；禁止supplierId/functionalAccountId/identityId/token/supplyPrice/supplierPayable/bankAccount</x:v>
      </x:c>
      <x:c r="M85" t="str">
        <x:v>N/A</x:v>
      </x:c>
      <x:c r="N85" t="str">
        <x:v>P0-070</x:v>
      </x:c>
      <x:c r="O85" t="str">
        <x:v>GENERATED</x:v>
      </x:c>
      <x:c r="P85" t="str">
        <x:v>IMPLEMENTED</x:v>
      </x:c>
      <x:c r="Q85" t="str">
        <x:v>IMPLEMENTED</x:v>
      </x:c>
      <x:c r="R85" t="str">
        <x:v>apps/api/test/supertest/supplier-workspace-api.test.mjs；tests/openapi/m1-p070-supplier-workspace-contract.test.mjs；tests/e2e/p0/p0-070-supplier-workspaces.spec.ts</x:v>
      </x:c>
      <x:c r="S85" t="str">
        <x:v>CODEX</x:v>
      </x:c>
      <x:c r="T85" t="str">
        <x:v>M1-P070任务内契约细化；Secure HttpOnly供应商会话解析；目标route必须等于服务端固定路由；客户端归属覆盖字段先拒绝；切换后旧会话返回AUTH_SESSION_REVOKED</x:v>
      </x:c>
    </x:row>
    <x:row r="86">
      <x:c r="A86" t="str">
        <x:v>API-085</x:v>
      </x:c>
      <x:c r="B86" t="str">
        <x:v>M1</x:v>
      </x:c>
      <x:c r="C86" t="str">
        <x:v>supplier-auth</x:v>
      </x:c>
      <x:c r="D86" t="str">
        <x:v>GET</x:v>
      </x:c>
      <x:c r="E86" t="str">
        <x:v>/v1/supplier-auth/workspace/page</x:v>
      </x:c>
      <x:c r="F86" t="str">
        <x:v>SUPPLIER_FUNCTIONAL_ACCOUNT</x:v>
      </x:c>
      <x:c r="G86" t="str">
        <x:v>SupplierWorkspacePageQueryDto</x:v>
      </x:c>
      <x:c r="H86" t="str">
        <x:v>SupplierWorkspacePageResponseDto</x:v>
      </x:c>
      <x:c r="I86" t="str">
        <x:v>SupplierWorkspacePageResponseDto；错误={statusCode,code,message,requestId}</x:v>
      </x:c>
      <x:c r="J86" t="str">
        <x:v>AUTHENTICATION_REQUIRED|AUTH_SESSION_REVOKED|WORKSPACE_FORBIDDEN|DATA_SCOPE_FORBIDDEN|WORKSPACE_MODULE_NOT_FOUND|VALIDATION_FAILED</x:v>
      </x:c>
      <x:c r="K86" t="str">
        <x:v>NONE</x:v>
      </x:c>
      <x:c r="L86" t="str">
        <x:v>NEVER_RETURN；DTO仅返回当前供应商职能页面、筛选、模块目录、选中详情和交付时间线；禁止supplierId/functionalAccountId/identityId/token/supplyPrice/supplierPayable/grossMargin/bankAccount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M1-P070任务内契约细化；八类职能目录互不泄露；route必须等于会话固定路由；未知本职能模块404；M2-M5业务模块标记DEFERRED且不伪造记录</x:v>
      </x:c>
    </x:row>
    <x:row r="87">
      <x:c r="A87" t="str">
        <x:v>API-086</x:v>
      </x:c>
      <x:c r="B87" t="str">
        <x:v>M1</x:v>
      </x:c>
      <x:c r="C87" t="str">
        <x:v>sensitive-approval</x:v>
      </x:c>
      <x:c r="D87" t="str">
        <x:v>POST</x:v>
      </x:c>
      <x:c r="E87" t="str">
        <x:v>/v1/audit/sensitive-export-approvals</x:v>
      </x:c>
      <x:c r="F87" t="str">
        <x:v>COMPANY_OR_SUPPLIER_AUDIT</x:v>
      </x:c>
      <x:c r="G87" t="str">
        <x:v>CreateSensitiveApprovalRequestDto</x:v>
      </x:c>
      <x:c r="H87" t="str">
        <x:v>SensitiveApprovalTaskResponseDto</x:v>
      </x:c>
      <x:c r="I87" t="str">
        <x:v>显式白名单DTO</x:v>
      </x:c>
      <x:c r="J87" t="str">
        <x:v>IDEMPOTENCY_KEY_REQUIRED|IDEMPOTENCY_KEY_CONFLICT|AUDIT_REQUIRED</x:v>
      </x:c>
      <x:c r="K87" t="str">
        <x:v>Idempotency-Key</x:v>
      </x:c>
      <x:c r="L87" t="str">
        <x:v>会话派生归属；不返回applicant/reviewer/functionalAccount/supplier/company内部键</x:v>
      </x:c>
      <x:c r="M87" t="str">
        <x:v>N/A</x:v>
      </x:c>
      <x:c r="N87" t="str">
        <x:v>P0-072</x:v>
      </x:c>
      <x:c r="O87" t="str">
        <x:v>GENERATED</x:v>
      </x:c>
      <x:c r="P87" t="str">
        <x:v>IMPLEMENTED</x:v>
      </x:c>
      <x:c r="Q87" t="str">
        <x:v>IMPLEMENTED</x:v>
      </x:c>
      <x:c r="R87" t="str">
        <x:v>apps/api/test/supertest/sensitive-approval-api.test.mjs;tests/openapi/m1-p072-sensitive-approval-contract.test.mjs</x:v>
      </x:c>
      <x:c r="S87" t="str">
        <x:v>CODEX</x:v>
      </x:c>
      <x:c r="T87" t="str">
        <x:v>M1-P072任务内契约细化；只创建审批任务与追加审计；不生成实际导出文件</x:v>
      </x:c>
    </x:row>
    <x:row r="88">
      <x:c r="A88" t="str">
        <x:v>API-087</x:v>
      </x:c>
      <x:c r="B88" t="str">
        <x:v>M1</x:v>
      </x:c>
      <x:c r="C88" t="str">
        <x:v>sensitive-approval</x:v>
      </x:c>
      <x:c r="D88" t="str">
        <x:v>GET</x:v>
      </x:c>
      <x:c r="E88" t="str">
        <x:v>/v1/audit/sensitive-export-approvals</x:v>
      </x:c>
      <x:c r="F88" t="str">
        <x:v>COMPANY_OR_SUPPLIER_AUDIT</x:v>
      </x:c>
      <x:c r="G88" t="str">
        <x:v>None</x:v>
      </x:c>
      <x:c r="H88" t="str">
        <x:v>SensitiveApprovalPageResponseDto</x:v>
      </x:c>
      <x:c r="I88" t="str">
        <x:v>显式白名单DTO</x:v>
      </x:c>
      <x:c r="J88" t="str">
        <x:v>WORKSPACE_FORBIDDEN</x:v>
      </x:c>
      <x:c r="K88" t="str">
        <x:v>NONE</x:v>
      </x:c>
      <x:c r="L88" t="str">
        <x:v>供应商按会话supplierId查询前过滤；公司审计可见待办</x:v>
      </x:c>
      <x:c r="M88" t="str">
        <x:v>N/A</x:v>
      </x:c>
      <x:c r="N88" t="str">
        <x:v>P0-072</x:v>
      </x:c>
      <x:c r="O88" t="str">
        <x:v>GENERATED</x:v>
      </x:c>
      <x:c r="P88" t="str">
        <x:v>IMPLEMENTED</x:v>
      </x:c>
      <x:c r="Q88" t="str">
        <x:v>IMPLEMENTED</x:v>
      </x:c>
      <x:c r="R88" t="str">
        <x:v>apps/api/test/supertest/sensitive-approval-api.test.mjs;tests/e2e/p0/p0-072-sensitive-operations-audit.spec.ts</x:v>
      </x:c>
      <x:c r="S88" t="str">
        <x:v>CODEX</x:v>
      </x:c>
      <x:c r="T88" t="str">
        <x:v>M1-P072任务内契约细化；供应商不可查看其他供应商申请</x:v>
      </x:c>
    </x:row>
    <x:row r="89">
      <x:c r="A89" t="str">
        <x:v>API-088</x:v>
      </x:c>
      <x:c r="B89" t="str">
        <x:v>M1</x:v>
      </x:c>
      <x:c r="C89" t="str">
        <x:v>sensitive-approval</x:v>
      </x:c>
      <x:c r="D89" t="str">
        <x:v>POST</x:v>
      </x:c>
      <x:c r="E89" t="str">
        <x:v>/v1/audit/sensitive-export-approvals/{taskId}/claim</x:v>
      </x:c>
      <x:c r="F89" t="str">
        <x:v>COMPANY_AUDIT</x:v>
      </x:c>
      <x:c r="G89" t="str">
        <x:v>ClaimSensitiveApprovalRequestDto</x:v>
      </x:c>
      <x:c r="H89" t="str">
        <x:v>SensitiveApprovalTaskResponseDto</x:v>
      </x:c>
      <x:c r="I89" t="str">
        <x:v>显式白名单DTO</x:v>
      </x:c>
      <x:c r="J89" t="str">
        <x:v>SAME_NATURAL_PERSON_REVIEW|SECOND_REVIEW_REQUIRED|APPROVAL_VERSION_CONFLICT</x:v>
      </x:c>
      <x:c r="K89" t="str">
        <x:v>Idempotency-Key</x:v>
      </x:c>
      <x:c r="L89" t="str">
        <x:v>只允许公司审计；自然人身份复合键隔离；超级管理员无旁路</x:v>
      </x:c>
      <x:c r="M89" t="str">
        <x:v>N/A</x:v>
      </x:c>
      <x:c r="N89" t="str">
        <x:v>P0-072</x:v>
      </x:c>
      <x:c r="O89" t="str">
        <x:v>GENERATED</x:v>
      </x:c>
      <x:c r="P89" t="str">
        <x:v>IMPLEMENTED</x:v>
      </x:c>
      <x:c r="Q89" t="str">
        <x:v>IMPLEMENTED</x:v>
      </x:c>
      <x:c r="R89" t="str">
        <x:v>apps/api/test/supertest/sensitive-approval-api.test.mjs</x:v>
      </x:c>
      <x:c r="S89" t="str">
        <x:v>CODEX</x:v>
      </x:c>
      <x:c r="T89" t="str">
        <x:v>M1-P072任务内契约细化；PENDING到IN_REVIEW使用version乐观锁并追加历史与审计</x:v>
      </x:c>
    </x:row>
    <x:row r="90">
      <x:c r="A90" t="str">
        <x:v>API-089</x:v>
      </x:c>
      <x:c r="B90" t="str">
        <x:v>M1</x:v>
      </x:c>
      <x:c r="C90" t="str">
        <x:v>sensitive-approval</x:v>
      </x:c>
      <x:c r="D90" t="str">
        <x:v>POST</x:v>
      </x:c>
      <x:c r="E90" t="str">
        <x:v>/v1/audit/sensitive-export-approvals/{taskId}/decision</x:v>
      </x:c>
      <x:c r="F90" t="str">
        <x:v>COMPANY_AUDIT</x:v>
      </x:c>
      <x:c r="G90" t="str">
        <x:v>DecideSensitiveApprovalRequestDto</x:v>
      </x:c>
      <x:c r="H90" t="str">
        <x:v>SensitiveApprovalTaskResponseDto</x:v>
      </x:c>
      <x:c r="I90" t="str">
        <x:v>显式白名单DTO</x:v>
      </x:c>
      <x:c r="J90" t="str">
        <x:v>SECOND_VERIFICATION_REQUIRED|APPROVAL_VERSION_CONFLICT|APPROVAL_STATE_INVALID</x:v>
      </x:c>
      <x:c r="K90" t="str">
        <x:v>Idempotency-Key</x:v>
      </x:c>
      <x:c r="L90" t="str">
        <x:v>仅已认领的独立公司审计自然人可决定；二次验证必需</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M1-P072任务内契约细化；并发同版本恰好一个成功；状态历史与审计同事务</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fa27efe0333473a"/>
  </x:tableParts>
</x:worksheet>
</file>