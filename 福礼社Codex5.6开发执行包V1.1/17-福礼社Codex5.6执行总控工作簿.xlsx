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ef8e19741c84f41" /></Relationships>
</file>

<file path=xl/workbook.xml><?xml version="1.0" encoding="utf-8"?>
<x:workbook xmlns:x="http://schemas.openxmlformats.org/spreadsheetml/2006/main">
  <x:sheets>
    <x:sheet xmlns:r="http://schemas.openxmlformats.org/officeDocument/2006/relationships" name="总控看板" sheetId="1" r:id="R84988f02c2804ce7"/>
    <x:sheet xmlns:r="http://schemas.openxmlformats.org/officeDocument/2006/relationships" name="阶段门禁" sheetId="2" r:id="R2385ed6933a54378"/>
    <x:sheet xmlns:r="http://schemas.openxmlformats.org/officeDocument/2006/relationships" name="任务台账" sheetId="3" r:id="R829b7ca172f54f17"/>
    <x:sheet xmlns:r="http://schemas.openxmlformats.org/officeDocument/2006/relationships" name="P0验收矩阵" sheetId="4" r:id="Rf1ada8ca316e4705"/>
    <x:sheet xmlns:r="http://schemas.openxmlformats.org/officeDocument/2006/relationships" name="字段字典" sheetId="5" r:id="Rdffe41d0493747be"/>
    <x:sheet xmlns:r="http://schemas.openxmlformats.org/officeDocument/2006/relationships" name="状态机" sheetId="6" r:id="Re5ca6a0b45fd4658"/>
    <x:sheet xmlns:r="http://schemas.openxmlformats.org/officeDocument/2006/relationships" name="权限矩阵" sheetId="7" r:id="Rc8de0c5b251342da"/>
    <x:sheet xmlns:r="http://schemas.openxmlformats.org/officeDocument/2006/relationships" name="页面映射" sheetId="8" r:id="R4f608a2d6a5b4cd1"/>
    <x:sheet xmlns:r="http://schemas.openxmlformats.org/officeDocument/2006/relationships" name="外部依赖" sheetId="9" r:id="Rd796bb9237df46a4"/>
    <x:sheet xmlns:r="http://schemas.openxmlformats.org/officeDocument/2006/relationships" name="测试证据" sheetId="10" r:id="Re9e31a3de5794a65"/>
    <x:sheet xmlns:r="http://schemas.openxmlformats.org/officeDocument/2006/relationships" name="迁移台账" sheetId="11" r:id="Rd9268cab8ed9427d"/>
    <x:sheet xmlns:r="http://schemas.openxmlformats.org/officeDocument/2006/relationships" name="API台账" sheetId="12" r:id="Rf18929b3bdad425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596b68570e44651" /><Relationship Type="http://schemas.openxmlformats.org/officeDocument/2006/relationships/theme" Target="/xl/theme/theme1.xml" Id="R87198f06b5aa4a7a" /><Relationship Type="http://schemas.openxmlformats.org/officeDocument/2006/relationships/sharedStrings" Target="/xl/sharedStrings.xml" Id="Rbbe81b12f8634060" /><Relationship Type="http://schemas.openxmlformats.org/officeDocument/2006/relationships/worksheet" Target="/xl/worksheets/sheet1.xml" Id="R84988f02c2804ce7" /><Relationship Type="http://schemas.openxmlformats.org/officeDocument/2006/relationships/worksheet" Target="/xl/worksheets/sheet2.xml" Id="R2385ed6933a54378" /><Relationship Type="http://schemas.openxmlformats.org/officeDocument/2006/relationships/worksheet" Target="/xl/worksheets/sheet3.xml" Id="R829b7ca172f54f17" /><Relationship Type="http://schemas.openxmlformats.org/officeDocument/2006/relationships/worksheet" Target="/xl/worksheets/sheet4.xml" Id="Rf1ada8ca316e4705" /><Relationship Type="http://schemas.openxmlformats.org/officeDocument/2006/relationships/worksheet" Target="/xl/worksheets/sheet5.xml" Id="Rdffe41d0493747be" /><Relationship Type="http://schemas.openxmlformats.org/officeDocument/2006/relationships/worksheet" Target="/xl/worksheets/sheet6.xml" Id="Re5ca6a0b45fd4658" /><Relationship Type="http://schemas.openxmlformats.org/officeDocument/2006/relationships/worksheet" Target="/xl/worksheets/sheet7.xml" Id="Rc8de0c5b251342da" /><Relationship Type="http://schemas.openxmlformats.org/officeDocument/2006/relationships/worksheet" Target="/xl/worksheets/sheet8.xml" Id="R4f608a2d6a5b4cd1" /><Relationship Type="http://schemas.openxmlformats.org/officeDocument/2006/relationships/worksheet" Target="/xl/worksheets/sheet9.xml" Id="Rd796bb9237df46a4" /><Relationship Type="http://schemas.openxmlformats.org/officeDocument/2006/relationships/worksheet" Target="/xl/worksheets/sheet10.xml" Id="Re9e31a3de5794a65" /><Relationship Type="http://schemas.openxmlformats.org/officeDocument/2006/relationships/worksheet" Target="/xl/worksheets/sheet11.xml" Id="Rd9268cab8ed9427d" /><Relationship Type="http://schemas.openxmlformats.org/officeDocument/2006/relationships/worksheet" Target="/xl/worksheets/sheet12.xml" Id="Rf18929b3bdad4253" /><Relationship Type="http://schemas.microsoft.com/office/2017/10/relationships/person" Target="/xl/persons/person.xml" Id="R92a1e2dc1e6444ef"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d899a881e6f417d" /></Relationships>
</file>

<file path=xl/worksheets/_rels/sheet3.xml.rels>&#65279;<?xml version="1.0" encoding="utf-8"?><Relationships xmlns="http://schemas.openxmlformats.org/package/2006/relationships"><Relationship Type="http://schemas.openxmlformats.org/officeDocument/2006/relationships/table" Target="/xl/tables/table2.xml" Id="R24bafe667e9245f6" /></Relationships>
</file>

<file path=xl/worksheets/_rels/sheet4.xml.rels>&#65279;<?xml version="1.0" encoding="utf-8"?><Relationships xmlns="http://schemas.openxmlformats.org/package/2006/relationships"><Relationship Type="http://schemas.openxmlformats.org/officeDocument/2006/relationships/table" Target="/xl/tables/table3.xml" Id="Raa8ab83b81c24fe4" /></Relationships>
</file>

<file path=xl/worksheets/_rels/sheet5.xml.rels>&#65279;<?xml version="1.0" encoding="utf-8"?><Relationships xmlns="http://schemas.openxmlformats.org/package/2006/relationships"><Relationship Type="http://schemas.openxmlformats.org/officeDocument/2006/relationships/table" Target="/xl/tables/table4.xml" Id="R4fd5a75025bf40ff" /></Relationships>
</file>

<file path=xl/worksheets/_rels/sheet6.xml.rels>&#65279;<?xml version="1.0" encoding="utf-8"?><Relationships xmlns="http://schemas.openxmlformats.org/package/2006/relationships"><Relationship Type="http://schemas.openxmlformats.org/officeDocument/2006/relationships/table" Target="/xl/tables/table5.xml" Id="Re21f1184f0f74716" /></Relationships>
</file>

<file path=xl/worksheets/_rels/sheet7.xml.rels>&#65279;<?xml version="1.0" encoding="utf-8"?><Relationships xmlns="http://schemas.openxmlformats.org/package/2006/relationships"><Relationship Type="http://schemas.openxmlformats.org/officeDocument/2006/relationships/table" Target="/xl/tables/table6.xml" Id="Ra2687281c9bf4380" /></Relationships>
</file>

<file path=xl/worksheets/_rels/sheet8.xml.rels>&#65279;<?xml version="1.0" encoding="utf-8"?><Relationships xmlns="http://schemas.openxmlformats.org/package/2006/relationships"><Relationship Type="http://schemas.openxmlformats.org/officeDocument/2006/relationships/table" Target="/xl/tables/table7.xml" Id="R55344cecc3bd4875" /></Relationships>
</file>

<file path=xl/worksheets/_rels/sheet9.xml.rels>&#65279;<?xml version="1.0" encoding="utf-8"?><Relationships xmlns="http://schemas.openxmlformats.org/package/2006/relationships"><Relationship Type="http://schemas.openxmlformats.org/officeDocument/2006/relationships/table" Target="/xl/tables/table8.xml" Id="Rba808423926e4980" /></Relationships>
</file>

<file path=xl/worksheets/_rels/sheet10.xml.rels>&#65279;<?xml version="1.0" encoding="utf-8"?><Relationships xmlns="http://schemas.openxmlformats.org/package/2006/relationships"><Relationship Type="http://schemas.openxmlformats.org/officeDocument/2006/relationships/table" Target="/xl/tables/table9.xml" Id="R06b50ee18b6e4d36" /></Relationships>
</file>

<file path=xl/worksheets/_rels/sheet11.xml.rels>&#65279;<?xml version="1.0" encoding="utf-8"?><Relationships xmlns="http://schemas.openxmlformats.org/package/2006/relationships"><Relationship Type="http://schemas.openxmlformats.org/officeDocument/2006/relationships/table" Target="/xl/tables/table10.xml" Id="R9d26ee8e5ba14814" /></Relationships>
</file>

<file path=xl/worksheets/_rels/sheet12.xml.rels>&#65279;<?xml version="1.0" encoding="utf-8"?><Relationships xmlns="http://schemas.openxmlformats.org/package/2006/relationships"><Relationship Type="http://schemas.openxmlformats.org/officeDocument/2006/relationships/table" Target="/xl/tables/table11.xml" Id="R164f71384d73457a"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main@dfd03e1 CI_PASS · M2-P015 merged-main CI_PASS · M2-P016 CI_PASS（Issue #57 / Draft PR #58 / f76b2c0 / run 31468592265）· 人工合并与main CI待执行 · P0-017及以后锁定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40</x:v>
      </x:c>
      <x:c r="E6" s="83"/>
      <x:c r="F6" s="187"/>
      <x:c r="G6" s="109" t="n">
        <x:f>COUNTIF('P0验收矩阵'!$I$2:$I$120,"LOCAL_PASS")+COUNTIF('P0验收矩阵'!$I$2:$I$120,"CI_PASS")+COUNTIF('P0验收矩阵'!$I$2:$I$120,"STAGING_PASS")+COUNTIF('P0验收矩阵'!$I$2:$I$120,"DEVICE_PASS")+COUNTIF('P0验收矩阵'!$I$2:$I$120,"PRODUCTION_PASS")</x:f>
        <x:v>25</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11</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11</x:v>
      </x:c>
      <x:c r="G13" s="152" t="str">
        <x:f>INDEX('阶段门禁'!$N$2:$N$8,MATCH(A13,'阶段门禁'!$A$2:$A$8,0))</x:f>
        <x:v>IN_PROGRESS</x:v>
      </x:c>
      <x:c r="H13" s="152" t="str">
        <x:f>INDEX('阶段门禁'!$O$2:$O$8,MATCH(A13,'阶段门禁'!$A$2:$A$8,0))</x:f>
        <x:v>CI_PASS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94</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25</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PASS；M2-P006至M2-P015已合并且main CI PASS；M2-P016已完成RED→GREEN、clean-head pnpm verify 17/17，Draft PR #58实现head f76b2c0的run 31468592265通过；人工合并及合并后main CI待执行，P0-017及以后保持锁定。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CI_PASS</x:v>
      </x:c>
      <x:c r="P4" s="17" t="str"/>
      <x:c r="Q4" s="17" t="str"/>
      <x:c r="R4" s="17" t="str">
        <x:v>M2-P006至M2-P015已在main取得CI_PASS；M2-P016的clean-head pnpm verify 17/17及Draft PR #58实现head f76b2c0的Actions run 31468592265通过，人工合并和合并后main CI待执行；M2-P017及以后保持锁定。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d899a881e6f417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IN_PROGRESS</x:v>
      </x:c>
      <x:c r="N42" s="17" t="str">
        <x:v>CI_PASS</x:v>
      </x:c>
      <x:c r="O42" s="17" t="str">
        <x:v>CODEX</x:v>
      </x:c>
      <x:c r="P42" s="17" t="str">
        <x:v>https://github.com/EasyStep-lee/flt1/issues/57</x:v>
      </x:c>
      <x:c r="Q42" s="17" t="str">
        <x:v>codex/m2-m2-p016</x:v>
      </x:c>
      <x:c r="R42" s="17" t="str">
        <x:v>codex/m2-digital-detail</x:v>
      </x:c>
      <x:c r="S42" s="17" t="str">
        <x:v>f76b2c0708bba03c3ce52d72b23b12d8206ed08d</x:v>
      </x:c>
      <x:c r="T42" s="17" t="str">
        <x:v>https://github.com/EasyStep-lee/flt1/pull/58</x:v>
      </x:c>
      <x:c r="U42" s="17" t="str">
        <x:v>CI_PASS</x:v>
      </x:c>
      <x:c r="V42" s="17" t="str">
        <x:v>NO</x:v>
      </x:c>
      <x:c r="W42" s="17" t="str">
        <x:v>按原子提交回退；迁移仅向前修复</x:v>
      </x:c>
      <x:c r="X42" s="17" t="n">
        <x:v>46245.31234953704</x:v>
      </x:c>
      <x:c r="Y42" s="17" t="str">
        <x:v>RED退出1；GREEN unit 2/2、focused API 17/17、全量API unit53和Supertest157、用户小程序10/10、迁移36/36、P016 Playwright 1/1、clean-head pnpm verify 17/17；Draft PR #58的实现head f76b2c0在run 31468592265通过。人工合并与合并后main CI未执行，P017锁定。</x:v>
      </x:c>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4bafe667e9245f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31468592265</x:v>
      </x:c>
      <x:c r="N17" s="17" t="str">
        <x:v>f76b2c0708bba03c3ce52d72b23b12d8206ed08d</x:v>
      </x:c>
      <x:c r="O17" s="17" t="str">
        <x:v>CODEX</x:v>
      </x:c>
      <x:c r="P17" s="17" t="n">
        <x:v>46245.31234953704</x:v>
      </x:c>
      <x:c r="Q17" s="17" t="str">
        <x:v>RED退出1；数码九项商品字段、颜色容量型号SKU、公司售后保修和六个详情模块已有本地17/17全量门禁及Draft PR #58实现head f76b2c0精确CI证据。人工合并、main CI、正式数据、staging/device/production未执行。</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a8ab83b81c24fe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and DIGITAL enforce frozen product fields and SKU dimensions</x:v>
      </x:c>
      <x:c r="L242" s="17" t="str">
        <x:v>按实体version或审计日志保留变更证据</x:v>
      </x:c>
      <x:c r="M242" s="4" t="str">
        <x:v>M2</x:v>
      </x:c>
      <x:c r="N242" s="4" t="str">
        <x:v>P0-012,P0-013,P0-014,P0-015,P0-016,P0-017,P0-018</x:v>
      </x:c>
      <x:c r="O242" s="4" t="str">
        <x:v>综合方案§13核心数据模型</x:v>
      </x:c>
      <x:c r="P242" s="4" t="str">
        <x:v>IMPLEMENTED_P0_016</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GENERIC|FOOD|FRESH|APPAREL|DIGITAL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IMPLEMENTED_P0_016</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fd5a75025bf40f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21f1184f0f7471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2687281c9bf438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P0-007_CI_PASS;P0-011_CI_PASS;P0-012_CI_PASS;P0-013_CI_PASS;P0-014_CI_PASS;P0-015_CI_PASS;P0-016_CI_PASS;P0-067_CI_PASS;P0-068_CI_PASS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-067-company-workspaces.spec.ts|tests/e2e/p0/p0-068-company-workspace-completeness.spec.ts</x:v>
      </x:c>
      <x:c r="Q6" s="17" t="str">
        <x:v>商品资料审核、分类树和版本化模板位于同一固定商品运营职能页面但保持独立区块；P016数码模板预置在Draft PR #58实现head f76b2c0取得CI_PASS；供应价始终NEVER_RETURN，外部正式模板数据未执行。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PARTIAL_IMPLEMENTED_M2_P016</x:v>
      </x:c>
      <x:c r="O54" s="17" t="str">
        <x:v>P0-013_CI_PASS;P0-014_CI_PASS;P0-015_CI_PASS;P0-016_CI_PASS;P0-021_NOT_EXECUTED;P0-088_NOT_EXECUTED</x:v>
      </x:c>
      <x:c r="P54" s="17" t="str">
        <x:v>apps/user-miniapp/test/product-detail-build.test.mjs|tests/e2e/p0/p0-013-food-detail.spec.ts|tests/e2e/p0/p0-014-fresh-detail.spec.ts|tests/e2e/p0/p0-015-apparel-detail.spec.ts|tests/e2e/p0/p0-016-digital-detail.spec.ts</x:v>
      </x:c>
      <x:c r="Q54" s="17" t="str">
        <x:v>P013食品、P014生鲜、P015服饰和P016数码详情区块、SKU规格、固定提示/售后、加载/错误/重试及miniapp-kit请求契约已有CI证据；P016为Draft PR #58实现head CI_PASS，完整商品详情P0-021/P0-088、真机与交易能力仍未执行。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5344cecc3bd487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a808423926e498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17/17；实现head f76b2c0的Draft PR #58 Actions run 31468592265 / job 93706680485通过。</x:v>
      </x:c>
      <x:c r="K17" s="17" t="str">
        <x:v>GITHUB_ACTIONS_UBUNTU_AND_LOCAL_WINDOWS_DOCKER_MYSQL_CHROMIUM</x:v>
      </x:c>
      <x:c r="L17" s="17" t="str">
        <x:v>Node 22.23.1 / MySQL 8 / Chromium / GitHub Actions</x:v>
      </x:c>
      <x:c r="M17" s="17" t="n">
        <x:v>46245.31234953704</x:v>
      </x:c>
      <x:c r="N17" s="17" t="str">
        <x:v>f76b2c0708bba03c3ce52d72b23b12d8206ed08d</x:v>
      </x:c>
      <x:c r="O17" s="17" t="str">
        <x:v>https://github.com/EasyStep-lee/flt1/actions/runs/31468592265</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EXACT_IMPLEMENTATION_HEAD_PR_CI</x:v>
      </x:c>
      <x:c r="S17" s="17" t="str">
        <x:v>人工Ready/合并、合并后main CI、staging、device、production与EXT-007正式数码数据未执行</x:v>
      </x:c>
      <x:c r="T17" s="17" t="str">
        <x:v>YES</x:v>
      </x:c>
      <x:c r="U17" s="17" t="str">
        <x:v>P0-016达到CI_PASS；任务保持IN_PROGRESS并等待人工精确head合并门禁，P017及以后锁定</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6b50ee18b6e4d3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x:v>
      </x:c>
      <x:c r="D6" s="17" t="str">
        <x:v>MIG-007</x:v>
      </x:c>
      <x:c r="E6" s="17" t="str">
        <x:v>Category/CategoryHistory/CategoryCommand/CategoryTemplate/CategoryTemplateHistory/CategoryTemplateCommand/CategoryTemplate.profile</x:v>
      </x:c>
      <x:c r="F6" s="17" t="str">
        <x:v>三级分类树、模板版本及食品/生鲜/服饰/数码类型</x:v>
      </x:c>
      <x:c r="G6" s="17" t="str">
        <x:v>先建立公司范围三级分类与引用保护；再增加模板版本、唯一槽位和商品复合外键；P013增加GENERIC|FOOD不可变profile；P014扩展FRESH；P015扩展APPAREL；P016以前向迁移将CHECK扩展为GENERIC|FOOD|FRESH|APPAREL|DIGITAL，已发布模板更新保护触发器保持有效</x:v>
      </x:c>
      <x:c r="H6" s="17" t="str">
        <x:v>已发布迁移不回改；失败前恢复备份或创建向前修复迁移；应用版本可回退时保持schema兼容窗口</x:v>
      </x:c>
      <x:c r="I6" s="17" t="str">
        <x:v>既有模板自动回填GENERIC；无正式FOOD/FRESH/APPAREL/DIGITAL数据回填；正式数据由授权运营/合规录入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CI_PASS</x:v>
      </x:c>
      <x:c r="M6" s="17" t="n">
        <x:v>46245.31234953704</x:v>
      </x:c>
      <x:c r="N6" s="17" t="str"/>
      <x:c r="O6" s="17" t="str"/>
      <x:c r="P6" s="17" t="str">
        <x:v>f76b2c0708bba03c3ce52d72b23b12d8206ed08d</x:v>
      </x:c>
      <x:c r="Q6" s="17" t="str">
        <x:v>packages/db/prisma/migrations/20260810062000_m2_category_tree/migration.sql|packages/db/prisma/migrations/20260810094000_m2_category_templates/migration.sql|packages/db/prisma/migrations/20260810110000_m2_food_template_profile/migration.sql|packages/db/prisma/migrations/20260810213000_m2_fresh_template_profile/migration.sql|packages/db/prisma/migrations/20260810230500_m2_apparel_template_profile/migration.sql|packages/db/prisma/migrations/20260811060000_m2_digital_template_profile/migration.sql|tests/migrations/m2-p016-digital-template-migration.contract.test.mjs|artifacts/verification/M2-P016/digital-detail.json|https://github.com/EasyStep-lee/flt1/actions/runs/31468592265</x:v>
      </x:c>
      <x:c r="R6" s="17" t="str">
        <x:v>六个已发布前向迁移组成分类/模板逻辑迁移组；本轮本地演练empty=2/upgrade=2/restore=2/product=19/cleanup=PASS，Draft PR #58实现head f76b2c0的run 31468592265通过；staging/production应用未执行。</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d26ee8e5ba1481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x:v>
      </x:c>
      <x:c r="K31" s="17" t="str">
        <x:v>NONE</x:v>
      </x:c>
      <x:c r="L31" s="17" t="str">
        <x:v>NEVER_RETURN; DTO白名单；对象归属校验先于查询结果返回</x:v>
      </x:c>
      <x:c r="M31" s="17" t="str">
        <x:v>金额字段整数分；服务端重算；禁止客户端提交供应价或结算快照</x:v>
      </x:c>
      <x:c r="N31" s="17" t="str">
        <x:v>P0-013,P0-014,P0-015,P0-016,P0-021,P0-088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tests/contracts/m2-p013-food-detail.contract.test.mjs|tests/contracts/m2-p014-fresh-detail.contract.test.mjs|tests/contracts/m2-p015-apparel-detail.contract.test.mjs|tests/openapi/openapi-generation.test.mjs|packages/contracts/openapi.json</x:v>
      </x:c>
      <x:c r="S31" s="17" t="str">
        <x:v>CODEX</x:v>
      </x:c>
      <x:c r="T31" s="17" t="str">
        <x:v>P013食品、P014生鲜、P015服饰已CI_PASS；P016数码详情包含九项商品字段、颜色容量型号SKU唯一性及公司统一售后保修主体，Draft PR #58实现head f76b2c0的run 31468592265通过。P0-021/P0-088其他通用详情与完整交互仍为NOT_EXECUTED。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64f71384d73457a"/>
  </x:tableParts>
</x:worksheet>
</file>